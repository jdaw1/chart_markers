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9.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0.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1.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5.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6.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7.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8.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defaultThemeVersion="166925"/>
  <mc:AlternateContent xmlns:mc="http://schemas.openxmlformats.org/markup-compatibility/2006">
    <mc:Choice Requires="x15">
      <x15ac:absPath xmlns:x15ac="http://schemas.microsoft.com/office/spreadsheetml/2010/11/ac" url="/Volumes/JDAW_A/Documents/programming/SVG/CurrencySymbols/"/>
    </mc:Choice>
  </mc:AlternateContent>
  <xr:revisionPtr revIDLastSave="0" documentId="13_ncr:1_{11C1BD70-B660-C445-8FF3-61FD74C3E1C6}" xr6:coauthVersionLast="47" xr6:coauthVersionMax="47" xr10:uidLastSave="{00000000-0000-0000-0000-000000000000}"/>
  <bookViews>
    <workbookView xWindow="0" yWindow="620" windowWidth="46180" windowHeight="26820" firstSheet="36"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_NDB!$G$3:$G$50</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_NDB!$O$45:$O$49</definedName>
    <definedName name="_NDB.SVG_painting_D">_NDB!$C$14</definedName>
    <definedName name="_NDB.SVG_painting_L">_NDB!$C$15</definedName>
    <definedName name="_NDB.TightHeight">_NDB!$C$41</definedName>
    <definedName name="_NDB.TightWidth">_NDB!$C$40</definedName>
    <definedName name="_NDB.TriangleEdge">_NDB!$C$4</definedName>
    <definedName name="_NDB.viewBoxTight">_NDB!$C$42</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IF" hidden="1" xlm="1">#NAME?</definedName>
    <definedName name="_xleta.LEN" hidden="1" xlm="1">#NAME?</definedName>
    <definedName name="_xleta.MAX" hidden="1" xlm="1">#NAME?</definedName>
    <definedName name="_xleta.MIN" hidden="1" xlm="1">#NAME?</definedName>
    <definedName name="_xleta.REPT"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actual" hidden="1" xlm="1">#NAME?</definedName>
    <definedName name="_xlpm.ans" hidden="1" xlm="1">#NAME?</definedName>
    <definedName name="_xlpm.approx" hidden="1" xlm="1">#NAME?</definedName>
    <definedName name="_xlpm.b" hidden="1" xlm="1">#NAME?</definedName>
    <definedName name="_xlpm.c" hidden="1" xlm="1">#NAME?</definedName>
    <definedName name="_xlpm.dp" hidden="1" xlm="1">#NAME?</definedName>
    <definedName name="_xlpm.f" hidden="1" xlm="1">#NAME?</definedName>
    <definedName name="_xlpm.hex" hidden="1" xlm="1">#NAME?</definedName>
    <definedName name="_xlpm.maxX" hidden="1" xlm="1">#NAME?</definedName>
    <definedName name="_xlpm.maxY" hidden="1" xlm="1">#NAME?</definedName>
    <definedName name="_xlpm.maY" hidden="1" xlm="1">#NAME?</definedName>
    <definedName name="_xlpm.minX" hidden="1" xlm="1">#NAME?</definedName>
    <definedName name="_xlpm.minY" hidden="1" xlm="1">#NAME?</definedName>
    <definedName name="_xlpm.miY" hidden="1" xlm="1">#NAME?</definedName>
    <definedName name="_xlpm.multArea" hidden="1" xlm="1">#NAME?</definedName>
    <definedName name="_xlpm.multLArea" hidden="1" xlm="1">#NAME?</definedName>
    <definedName name="_xlpm.multLiArea" hidden="1" xlm="1">#NAME?</definedName>
    <definedName name="_xlpm.multLinArea" hidden="1" xlm="1">#NAME?</definedName>
    <definedName name="_xlpm.multLineaArea" hidden="1" xlm="1">#NAME?</definedName>
    <definedName name="_xlpm.multLinear" hidden="1" xlm="1">#NAME?</definedName>
    <definedName name="_xlpm.multLineara" hidden="1" xlm="1">#NAME?</definedName>
    <definedName name="_xlpm.multLinearArea" hidden="1" xlm="1">#NAME?</definedName>
    <definedName name="_xlpm.multLineArea" hidden="1" xlm="1">#NAME?</definedName>
    <definedName name="_xlpm.multLinearrea" hidden="1" xlm="1">#NAME?</definedName>
    <definedName name="_xlpm.mY"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AED!$F$54:$F$57</definedName>
    <definedName name="AED.SVG_painting_Inner">AED!$F$47</definedName>
    <definedName name="AED.SVG_painting_Outer">AED!$F$46</definedName>
    <definedName name="AED.svgWorking">AED!$F$6:$F$33</definedName>
    <definedName name="AED.TightHeight">AED!$F$50</definedName>
    <definedName name="AED.TightWidth">AED!$F$49</definedName>
    <definedName name="AED.viewBoxTight">AED!$F$51</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Star_7!$I$43:$I$47</definedName>
    <definedName name="AUD.SVG_painting_Inner">Star_7!$I$33</definedName>
    <definedName name="AUD.SVG_painting_Outer">Star_7!$I$32</definedName>
    <definedName name="AUD.svgWorking">Star_7!$I$6:$I$19</definedName>
    <definedName name="AUD.TightHeight">Star_7!$I$38</definedName>
    <definedName name="AUD.TightWidth">Star_7!$I$37</definedName>
    <definedName name="AUD.viewBoxTight">Star_7!$I$36</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CAD!$G$59:$G$62</definedName>
    <definedName name="CAD_2.TightHeight">CAD!$G$53</definedName>
    <definedName name="CAD_2.TightWidth">CAD!$G$50</definedName>
    <definedName name="CAD_2.viewBoxTight">CAD!$G$56</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CAD!$F$59:$F$62</definedName>
    <definedName name="CAD.SVG_painting_Inner">CAD!$F$47</definedName>
    <definedName name="CAD.SVG_painting_Outer">CAD!$F$46</definedName>
    <definedName name="CAD.svgWorking">CAD!$F$6:$F$34</definedName>
    <definedName name="CAD.TightHeight">CAD!$F$53</definedName>
    <definedName name="CAD.TightWidth">CAD!$F$50</definedName>
    <definedName name="CAD.viewBoxTight">CAD!$F$56</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ChartLines!$J$3:$J$404</definedName>
    <definedName name="ChartLines.G">ChartLines!$I$3:$I$404</definedName>
    <definedName name="ChartLines.Hex6">ChartLines!$C$3:$C$404</definedName>
    <definedName name="ChartLines.ID">ChartLines!$B$3:$B$404</definedName>
    <definedName name="ChartLines.InstanceNum">ChartLines!$F$3:$F$404</definedName>
    <definedName name="ChartLines.NumInstances">ChartLines!$E$3:$E$404</definedName>
    <definedName name="ChartLines.R">ChartLines!$H$3:$H$404</definedName>
    <definedName name="ChartLines.RowNum">ChartLines!$K$3:$K$404</definedName>
    <definedName name="ChartLines.ThicknessText">ChartLines!$G$3:$G$404</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svg">Ellipses!$G$12:$G$15</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Alternate_viewbox">Smalls!$AB$6:$AB$11</definedName>
    <definedName name="ExportControl.BasicBBoxArea">Smalls!$AC$6:$AC$11</definedName>
    <definedName name="ExportControl.BasicBBoxArea_Base">Smalls!$AC$3</definedName>
    <definedName name="ExportControl.FileNameSuffix">Smalls!$AD$6:$AD$11</definedName>
    <definedName name="ExportControl.IsJson">Smalls!$Y$6:$Y$11</definedName>
    <definedName name="ExportControl.IsMarkers">Smalls!$Z$6:$Z$11</definedName>
    <definedName name="ExportControl.Num">Smalls!$W$3</definedName>
    <definedName name="ExportControl.OneFile">Smalls!$X$6:$X$11</definedName>
    <definedName name="ExportControl.Path">Smalls!$AE$6:$AE$11</definedName>
    <definedName name="ExportControl.RowNum">Smalls!$W$6:$W$11</definedName>
    <definedName name="ExportControl.SizeConstant">Smalls!$AA$6:$AA$11</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HKD!$E$35:$E$38</definedName>
    <definedName name="HKD.SVG_painting_R">HKD!$E$24</definedName>
    <definedName name="HKD.SVG_painting_W">HKD!$E$25</definedName>
    <definedName name="HKD.svgWorking">HKD!$E$6:$E$11</definedName>
    <definedName name="HKD.TightHeight">HKD!$E$28</definedName>
    <definedName name="HKD.TightWidth">HKD!$E$27</definedName>
    <definedName name="HKD.viewBoxTight">HKD!$E$29</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Ellipses!$G$58:$G$62</definedName>
    <definedName name="IT.AreaMultiplier">Ellipses!$G$42</definedName>
    <definedName name="IT.Aspect">Ellipses!$G$43</definedName>
    <definedName name="IT.DecimalPlaces">Ellipses!$G$41</definedName>
    <definedName name="IT.Height">Ellipses!$G$44</definedName>
    <definedName name="IT.MaxX">Ellipses!$C$41</definedName>
    <definedName name="IT.MaxY">Ellipses!$C$42</definedName>
    <definedName name="IT.MinX">Ellipses!$C$43</definedName>
    <definedName name="IT.MinY">Ellipses!$C$44</definedName>
    <definedName name="IT.Multiplier">Ellipses!$C$46</definedName>
    <definedName name="IT.StrokeWidth">Ellipses!$B$49:$B$53</definedName>
    <definedName name="IT.svg">Ellipses!$G$49:$G$53</definedName>
    <definedName name="IT.SVG_painting">Ellipses!$C$49:$C$53</definedName>
    <definedName name="IT.Width">Ellipses!$G$45</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Star_7!$S$43:$S$47</definedName>
    <definedName name="JOD.SVG_painting_Inner">Star_7!$S$33</definedName>
    <definedName name="JOD.SVG_painting_Outer">Star_7!$S$32</definedName>
    <definedName name="JOD.svgWorking">Star_7!$S$6:$S$19</definedName>
    <definedName name="JOD.TightHeight">Star_7!$S$38</definedName>
    <definedName name="JOD.TightWidth">Star_7!$S$37</definedName>
    <definedName name="JOD.viewBoxTight">Star_7!$S$36</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Notes!$E$6:$E$200</definedName>
    <definedName name="Notes.ID">Notes!$B$6:$B$200</definedName>
    <definedName name="Notes.Mnemonic">Notes!$C$6:$C$200</definedName>
    <definedName name="Notes.Usage">Notes!$D$6:$D$200</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Smalls!$AE$3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RUB!$K$89:$K$94</definedName>
    <definedName name="RUB.SVG_painting_B">RUB!$K$76</definedName>
    <definedName name="RUB.SVG_painting_G">RUB!$K$75</definedName>
    <definedName name="RUB.SvgWorking">RUB!$K$6:$K$58</definedName>
    <definedName name="RUB.TightHeight">RUB!$K$84</definedName>
    <definedName name="RUB.TightWidth">RUB!$K$83</definedName>
    <definedName name="RUB.viewBoxTight">RUB!$K$85</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Simples!$C$3:$CU$3</definedName>
    <definedName name="Simple.Aspect">Simples!$C$17:$CU$17</definedName>
    <definedName name="Simple.Height">Simples!$C$18:$CU$18</definedName>
    <definedName name="Simple.ID">Simples!$C$2:$CU$2</definedName>
    <definedName name="Simple.MaxX">Simples!$C$11:$CU$11</definedName>
    <definedName name="Simple.MaxY">Simples!$C$12:$CU$12</definedName>
    <definedName name="Simple.MinX">Simples!$C$13:$CU$13</definedName>
    <definedName name="Simple.MinY">Simples!$C$14:$CU$14</definedName>
    <definedName name="Simple.svg">Simples!$C$24:$CU$29</definedName>
    <definedName name="Simple.SVG_borderWidth">Simples!$C$5:$CU$5</definedName>
    <definedName name="Simple.SVG_painting_0">Simples!$C$9:$CU$9</definedName>
    <definedName name="Simple.SVG_painting_1">Simples!$C$8:$CU$8</definedName>
    <definedName name="Simple.SVG_painting_2">Simples!$C$7:$CU$7</definedName>
    <definedName name="Simple.SVG_painting_3">Simples!$C$6:$CU$6</definedName>
    <definedName name="Simple.Width">Simples!$C$19:$CU$19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Star_5_2!$G$76:$DC$87</definedName>
    <definedName name="Star_5_2.SVG_painting_Inner">Star_5_2!$G$11:$DC$11</definedName>
    <definedName name="Star_5_2.SVG_painting_Middle">Star_5_2!$G$10:$DC$10</definedName>
    <definedName name="Star_5_2.SVG_painting_Outer">Star_5_2!$G$9:$DC$9</definedName>
    <definedName name="Star_5_2.TightHeight">Star_5_2!$G$73:$DC$73</definedName>
    <definedName name="Star_5_2.TightWidth">Star_5_2!$G$72:$DC$72</definedName>
    <definedName name="Star_5_2.viewBoxTight">Star_5_2!$G$71:$DC$71</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Ellipses!$G$24</definedName>
    <definedName name="VND.Aspect">Ellipses!$G$25</definedName>
    <definedName name="VND.DecimalPlaces">Ellipses!$G$23</definedName>
    <definedName name="VND.Height">Ellipses!$G$26</definedName>
    <definedName name="VND.MaxX">Ellipses!$C$23</definedName>
    <definedName name="VND.MaxY">Ellipses!$C$24</definedName>
    <definedName name="VND.MinX">Ellipses!$C$25</definedName>
    <definedName name="VND.MinY">Ellipses!$C$26</definedName>
    <definedName name="VND.svg">Ellipses!$G$31:$G$33</definedName>
    <definedName name="VND.Width">Ellipses!$G$27</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ZAR!$F$55:$F$58</definedName>
    <definedName name="ZAR.SVG_painting_Inner">ZAR!$F$47</definedName>
    <definedName name="ZAR.SVG_painting_Outer">ZAR!$F$46</definedName>
    <definedName name="ZAR.svgWorking">ZAR!$F$6:$F$33</definedName>
    <definedName name="ZAR.TightHeight">ZAR!$F$50</definedName>
    <definedName name="ZAR.TightWidth">ZAR!$F$49</definedName>
    <definedName name="ZAR.viewBoxTight">ZAR!$F$51</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5" i="5" l="1"/>
  <c r="D188" i="77"/>
  <c r="D189" i="77"/>
  <c r="D190" i="77"/>
  <c r="D191" i="77"/>
  <c r="D192" i="77"/>
  <c r="D193" i="77"/>
  <c r="D194" i="77"/>
  <c r="D195" i="77"/>
  <c r="D196" i="77"/>
  <c r="D197" i="77"/>
  <c r="D198" i="77"/>
  <c r="D199" i="77"/>
  <c r="D200" i="77"/>
  <c r="C189" i="77"/>
  <c r="C190" i="77"/>
  <c r="C191" i="77"/>
  <c r="C192" i="77"/>
  <c r="C193" i="77"/>
  <c r="C194" i="77"/>
  <c r="C195" i="77"/>
  <c r="C196" i="77"/>
  <c r="C197" i="77"/>
  <c r="C198" i="77"/>
  <c r="C199" i="77"/>
  <c r="C200" i="77"/>
  <c r="C188" i="77"/>
  <c r="C54" i="5"/>
  <c r="E371" i="63"/>
  <c r="E372" i="63"/>
  <c r="F372" i="63"/>
  <c r="E373" i="63"/>
  <c r="E374" i="63"/>
  <c r="E375" i="63"/>
  <c r="E376" i="63"/>
  <c r="E377" i="63"/>
  <c r="E378" i="63"/>
  <c r="E379" i="63"/>
  <c r="E380" i="63"/>
  <c r="E381" i="63"/>
  <c r="E382" i="63"/>
  <c r="E383" i="63"/>
  <c r="E384" i="63"/>
  <c r="E385" i="63"/>
  <c r="E386" i="63"/>
  <c r="E387" i="63"/>
  <c r="E388" i="63"/>
  <c r="E389" i="63"/>
  <c r="E390" i="63"/>
  <c r="E391" i="63"/>
  <c r="E392" i="63"/>
  <c r="E393" i="63"/>
  <c r="E394" i="63"/>
  <c r="E395" i="63"/>
  <c r="E396" i="63"/>
  <c r="E397" i="63"/>
  <c r="E398" i="63"/>
  <c r="E399" i="63"/>
  <c r="E400" i="63"/>
  <c r="E401" i="63"/>
  <c r="F401" i="63"/>
  <c r="E402" i="63"/>
  <c r="F402" i="63"/>
  <c r="E403" i="63"/>
  <c r="F403" i="63"/>
  <c r="E404" i="63"/>
  <c r="CS29" i="25"/>
  <c r="CR29" i="25"/>
  <c r="CQ29" i="25"/>
  <c r="CP29" i="25"/>
  <c r="CO29" i="25"/>
  <c r="CN29" i="25"/>
  <c r="CM29" i="25"/>
  <c r="CL29" i="25"/>
  <c r="CK29" i="25"/>
  <c r="CJ29" i="25"/>
  <c r="CI29" i="25"/>
  <c r="CH29" i="25"/>
  <c r="CG29" i="25"/>
  <c r="CG32" i="25"/>
  <c r="CH32" i="25"/>
  <c r="CI32" i="25"/>
  <c r="CJ32" i="25"/>
  <c r="CK32" i="25"/>
  <c r="CL32" i="25"/>
  <c r="CM32" i="25"/>
  <c r="CN32" i="25"/>
  <c r="CO32" i="25"/>
  <c r="CP32" i="25"/>
  <c r="CQ32" i="25"/>
  <c r="CR32" i="25"/>
  <c r="CS32" i="25"/>
  <c r="CF32" i="25"/>
  <c r="CT29" i="25"/>
  <c r="CT28" i="25"/>
  <c r="CT27" i="25"/>
  <c r="CT26" i="25"/>
  <c r="CT25" i="25"/>
  <c r="CT24" i="25"/>
  <c r="CH11" i="25"/>
  <c r="CH12" i="25" s="1"/>
  <c r="CH14" i="25" s="1"/>
  <c r="CI11" i="25"/>
  <c r="CI12" i="25" s="1"/>
  <c r="CI14" i="25" s="1"/>
  <c r="CJ11" i="25"/>
  <c r="CJ12" i="25" s="1"/>
  <c r="CJ14" i="25" s="1"/>
  <c r="CK11" i="25"/>
  <c r="CK12" i="25" s="1"/>
  <c r="CK14" i="25" s="1"/>
  <c r="CL11" i="25"/>
  <c r="CL13" i="25" s="1"/>
  <c r="CM11" i="25"/>
  <c r="CM13" i="25" s="1"/>
  <c r="CN11" i="25"/>
  <c r="CN13" i="25" s="1"/>
  <c r="CO11" i="25"/>
  <c r="CO13" i="25" s="1"/>
  <c r="CP11" i="25"/>
  <c r="CP12" i="25" s="1"/>
  <c r="CP14" i="25" s="1"/>
  <c r="CQ11" i="25"/>
  <c r="CQ12" i="25" s="1"/>
  <c r="CQ14" i="25" s="1"/>
  <c r="CR11" i="25"/>
  <c r="CR13" i="25" s="1"/>
  <c r="CS11" i="25"/>
  <c r="CS13" i="25" s="1"/>
  <c r="CG11" i="25"/>
  <c r="CG12" i="25" s="1"/>
  <c r="CG14" i="25" s="1"/>
  <c r="CF13" i="25"/>
  <c r="CF12" i="25"/>
  <c r="CF14" i="25" s="1"/>
  <c r="CS8" i="25"/>
  <c r="CS25" i="25" s="1"/>
  <c r="CR8" i="25"/>
  <c r="CR25" i="25" s="1"/>
  <c r="CQ8" i="25"/>
  <c r="CQ25" i="25" s="1"/>
  <c r="CP8" i="25"/>
  <c r="CP27" i="25" s="1"/>
  <c r="CO8" i="25"/>
  <c r="CO27" i="25" s="1"/>
  <c r="CN8" i="25"/>
  <c r="CN25" i="25" s="1"/>
  <c r="CM8" i="25"/>
  <c r="CM25" i="25" s="1"/>
  <c r="CL8" i="25"/>
  <c r="CL27" i="25" s="1"/>
  <c r="CK8" i="25"/>
  <c r="CK27" i="25" s="1"/>
  <c r="CJ8" i="25"/>
  <c r="CJ27" i="25" s="1"/>
  <c r="CI8" i="25"/>
  <c r="CI25" i="25" s="1"/>
  <c r="CH8" i="25"/>
  <c r="CH25" i="25" s="1"/>
  <c r="CG8" i="25"/>
  <c r="CG25" i="25" s="1"/>
  <c r="CF8" i="25"/>
  <c r="CF25" i="25" s="1"/>
  <c r="CS7" i="25"/>
  <c r="CS28" i="25" s="1"/>
  <c r="CR7" i="25"/>
  <c r="CR28" i="25" s="1"/>
  <c r="CQ7" i="25"/>
  <c r="CQ28" i="25" s="1"/>
  <c r="CP7" i="25"/>
  <c r="CP28" i="25" s="1"/>
  <c r="CO7" i="25"/>
  <c r="CO28" i="25" s="1"/>
  <c r="CN7" i="25"/>
  <c r="CN28" i="25" s="1"/>
  <c r="CM7" i="25"/>
  <c r="CM28" i="25" s="1"/>
  <c r="CL7" i="25"/>
  <c r="CL28" i="25" s="1"/>
  <c r="CK7" i="25"/>
  <c r="CK28" i="25" s="1"/>
  <c r="CJ7" i="25"/>
  <c r="CJ28" i="25" s="1"/>
  <c r="CI7" i="25"/>
  <c r="CI28" i="25" s="1"/>
  <c r="CH7" i="25"/>
  <c r="CH28" i="25" s="1"/>
  <c r="CG7" i="25"/>
  <c r="CG28" i="25" s="1"/>
  <c r="CF7" i="25"/>
  <c r="CF28" i="25" s="1"/>
  <c r="CH3" i="25"/>
  <c r="CI3" i="25"/>
  <c r="CJ3" i="25"/>
  <c r="CK3" i="25"/>
  <c r="CL3" i="25"/>
  <c r="CM3" i="25"/>
  <c r="CN3" i="25"/>
  <c r="CO3" i="25"/>
  <c r="CP3" i="25"/>
  <c r="CQ3" i="25"/>
  <c r="CR3" i="25"/>
  <c r="CS3" i="25"/>
  <c r="CG3" i="25"/>
  <c r="E120" i="77"/>
  <c r="B9" i="57"/>
  <c r="C120" i="77"/>
  <c r="E320" i="63"/>
  <c r="F320" i="63"/>
  <c r="C319" i="63"/>
  <c r="T44" i="25"/>
  <c r="T46" i="25"/>
  <c r="T43" i="25"/>
  <c r="T42" i="25"/>
  <c r="T40" i="25"/>
  <c r="T41" i="25" s="1"/>
  <c r="T26" i="25"/>
  <c r="T32" i="25"/>
  <c r="T14" i="25"/>
  <c r="T13" i="25"/>
  <c r="U29" i="25"/>
  <c r="U28" i="25"/>
  <c r="U27" i="25"/>
  <c r="U26" i="25"/>
  <c r="U25" i="25"/>
  <c r="U24" i="25"/>
  <c r="DC71" i="61"/>
  <c r="DC65" i="61"/>
  <c r="DC64" i="61"/>
  <c r="DC72" i="61" s="1"/>
  <c r="DC63" i="61"/>
  <c r="DC62" i="61"/>
  <c r="DC13" i="61"/>
  <c r="DC3" i="61"/>
  <c r="B52" i="35"/>
  <c r="C52" i="35" s="1"/>
  <c r="B51" i="35"/>
  <c r="C51" i="35" s="1"/>
  <c r="B50" i="35"/>
  <c r="C50" i="35" s="1"/>
  <c r="C36" i="25" a="1"/>
  <c r="C36" i="25" s="1"/>
  <c r="C35" i="25" a="1"/>
  <c r="C35" i="25" s="1"/>
  <c r="C34" i="25" a="1"/>
  <c r="C34" i="25" s="1"/>
  <c r="G39" i="25" a="1"/>
  <c r="G39" i="25" s="1"/>
  <c r="G38" i="25" a="1"/>
  <c r="G38" i="25" s="1"/>
  <c r="G37" i="25" a="1"/>
  <c r="G37" i="25" s="1"/>
  <c r="F35" i="25"/>
  <c r="D35" i="25"/>
  <c r="H35" i="25" s="1"/>
  <c r="F34" i="25"/>
  <c r="D34" i="25"/>
  <c r="O10" i="78" a="1"/>
  <c r="O10" i="78" s="1"/>
  <c r="D10" i="78"/>
  <c r="H16" i="78"/>
  <c r="C2" i="78"/>
  <c r="C3" i="78" s="1"/>
  <c r="C364" i="63"/>
  <c r="C363"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U2" i="25"/>
  <c r="CU29" i="25"/>
  <c r="CU28" i="25"/>
  <c r="CU27" i="25"/>
  <c r="CU26" i="25"/>
  <c r="CU25" i="25"/>
  <c r="CU24" i="25"/>
  <c r="CE29" i="25"/>
  <c r="CE28" i="25"/>
  <c r="CE27" i="25"/>
  <c r="CE26" i="25"/>
  <c r="CE25" i="25"/>
  <c r="CE24" i="25"/>
  <c r="CD26" i="25"/>
  <c r="CD25" i="25"/>
  <c r="CD14" i="25"/>
  <c r="CD13" i="25"/>
  <c r="CD32" i="25"/>
  <c r="CC29" i="25"/>
  <c r="CC28" i="25"/>
  <c r="CC27" i="25"/>
  <c r="CC26" i="25"/>
  <c r="CC25" i="25"/>
  <c r="CC24" i="25"/>
  <c r="C359" i="63"/>
  <c r="E358" i="63"/>
  <c r="F358" i="63"/>
  <c r="E365" i="63"/>
  <c r="F365" i="63"/>
  <c r="AP30" i="8"/>
  <c r="AP34" i="8"/>
  <c r="AP29" i="8"/>
  <c r="AP27" i="8"/>
  <c r="AP26" i="8"/>
  <c r="AP20" i="8"/>
  <c r="AP4" i="8"/>
  <c r="C14" i="78"/>
  <c r="C13" i="78"/>
  <c r="AF26" i="25"/>
  <c r="X14" i="25"/>
  <c r="C276" i="63"/>
  <c r="C277" i="63"/>
  <c r="E185" i="63"/>
  <c r="C184" i="63"/>
  <c r="V13" i="25"/>
  <c r="X32" i="25"/>
  <c r="Y29" i="25"/>
  <c r="Y28" i="25"/>
  <c r="Y27" i="25"/>
  <c r="Y26" i="25"/>
  <c r="Y25" i="25"/>
  <c r="Y24" i="25"/>
  <c r="X13" i="25"/>
  <c r="V32" i="25"/>
  <c r="W29" i="25"/>
  <c r="W28" i="25"/>
  <c r="W27" i="25"/>
  <c r="W26" i="25"/>
  <c r="W25" i="25"/>
  <c r="W24" i="25"/>
  <c r="V14" i="25"/>
  <c r="F275" i="63"/>
  <c r="E275" i="63"/>
  <c r="R16" i="8"/>
  <c r="R34" i="8"/>
  <c r="R29" i="8"/>
  <c r="R4" i="8"/>
  <c r="S31" i="8"/>
  <c r="S30" i="8"/>
  <c r="S29" i="8"/>
  <c r="S28" i="8"/>
  <c r="S27" i="8"/>
  <c r="S26" i="8"/>
  <c r="S25" i="8"/>
  <c r="E3" i="71"/>
  <c r="K3" i="63" a="1"/>
  <c r="F386" i="63" s="1"/>
  <c r="C11" i="63"/>
  <c r="F32" i="25"/>
  <c r="G29" i="25"/>
  <c r="G28" i="25"/>
  <c r="G27" i="25"/>
  <c r="G26" i="25"/>
  <c r="G25" i="25"/>
  <c r="G24" i="25"/>
  <c r="F13" i="25"/>
  <c r="F12" i="25"/>
  <c r="F26" i="25" s="1"/>
  <c r="L25" i="25"/>
  <c r="J25" i="25"/>
  <c r="J11" i="25"/>
  <c r="L11" i="25" s="1"/>
  <c r="L26" i="25" s="1"/>
  <c r="C125" i="77"/>
  <c r="C124" i="77"/>
  <c r="C123" i="77"/>
  <c r="C51" i="63"/>
  <c r="C7" i="63"/>
  <c r="C4" i="63"/>
  <c r="C6" i="63"/>
  <c r="AN27" i="25"/>
  <c r="AN26" i="25"/>
  <c r="C328"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X27" i="25"/>
  <c r="AP27" i="25"/>
  <c r="AB27" i="25"/>
  <c r="BX26" i="25"/>
  <c r="AP26" i="25"/>
  <c r="N26" i="25"/>
  <c r="BP25" i="25"/>
  <c r="Z25" i="25"/>
  <c r="BP11" i="25"/>
  <c r="AD11" i="25"/>
  <c r="AD12" i="25" s="1"/>
  <c r="BP8" i="25"/>
  <c r="BP26" i="25" s="1"/>
  <c r="L87" i="58"/>
  <c r="X25" i="25" a="1"/>
  <c r="X26" i="25" a="1"/>
  <c r="X27" i="25" a="1"/>
  <c r="T25" i="25" a="1"/>
  <c r="CG47" i="25"/>
  <c r="V25" i="25" a="1"/>
  <c r="V26" i="25" a="1"/>
  <c r="CG40" i="25"/>
  <c r="CF26" i="25" l="1"/>
  <c r="CO26" i="25" s="1"/>
  <c r="G372" i="63" a="1"/>
  <c r="G372" i="63" s="1"/>
  <c r="CF17" i="25"/>
  <c r="CJ13" i="25"/>
  <c r="CP25" i="25"/>
  <c r="CK25" i="25"/>
  <c r="F404" i="63"/>
  <c r="G404" i="63" s="1" a="1"/>
  <c r="G404" i="63" s="1"/>
  <c r="F399" i="63"/>
  <c r="G399" i="63" s="1" a="1"/>
  <c r="G399" i="63" s="1"/>
  <c r="CL25" i="25"/>
  <c r="CJ25" i="25"/>
  <c r="F394" i="63"/>
  <c r="G394" i="63" s="1" a="1"/>
  <c r="G394" i="63" s="1"/>
  <c r="F400" i="63"/>
  <c r="G400" i="63" s="1" a="1"/>
  <c r="G400" i="63" s="1"/>
  <c r="CK13" i="25"/>
  <c r="CK17" i="25" s="1"/>
  <c r="F384" i="63"/>
  <c r="G384" i="63" s="1" a="1"/>
  <c r="G384" i="63" s="1"/>
  <c r="F376" i="63"/>
  <c r="G376" i="63" s="1" a="1"/>
  <c r="G376" i="63" s="1"/>
  <c r="CL12" i="25"/>
  <c r="CL14" i="25" s="1"/>
  <c r="CL17" i="25" s="1"/>
  <c r="F397" i="63"/>
  <c r="C397" i="63" s="1" a="1"/>
  <c r="C397" i="63" s="1"/>
  <c r="F390" i="63"/>
  <c r="C390" i="63" s="1" a="1"/>
  <c r="C390" i="63" s="1"/>
  <c r="F383" i="63"/>
  <c r="G383" i="63" s="1" a="1"/>
  <c r="G383" i="63" s="1"/>
  <c r="G402" i="63" a="1"/>
  <c r="G402" i="63" s="1"/>
  <c r="F389" i="63"/>
  <c r="G389" i="63" s="1" a="1"/>
  <c r="G389" i="63" s="1"/>
  <c r="CG13" i="25"/>
  <c r="CG17" i="25" s="1"/>
  <c r="CS27" i="25"/>
  <c r="CN26" i="25"/>
  <c r="F395" i="63"/>
  <c r="G395" i="63" s="1" a="1"/>
  <c r="G395" i="63" s="1"/>
  <c r="CN27" i="25"/>
  <c r="CJ17" i="25"/>
  <c r="CI27" i="25"/>
  <c r="F392" i="63"/>
  <c r="G392" i="63" s="1" a="1"/>
  <c r="G392" i="63" s="1"/>
  <c r="F371" i="63"/>
  <c r="G371" i="63" s="1" a="1"/>
  <c r="G371" i="63" s="1"/>
  <c r="CM27" i="25"/>
  <c r="F388" i="63"/>
  <c r="C388" i="63" s="1" a="1"/>
  <c r="C388" i="63" s="1"/>
  <c r="F381" i="63"/>
  <c r="G381" i="63" s="1" a="1"/>
  <c r="G381" i="63" s="1"/>
  <c r="CH13" i="25"/>
  <c r="CH17" i="25" s="1"/>
  <c r="CR12" i="25"/>
  <c r="CR14" i="25" s="1"/>
  <c r="CR17" i="25" s="1"/>
  <c r="F398" i="63"/>
  <c r="G398" i="63" s="1" a="1"/>
  <c r="G398" i="63" s="1"/>
  <c r="F393" i="63"/>
  <c r="G393" i="63" s="1" a="1"/>
  <c r="G393" i="63" s="1"/>
  <c r="G386" i="63" a="1"/>
  <c r="G386" i="63" s="1"/>
  <c r="CI13" i="25"/>
  <c r="CI17" i="25" s="1"/>
  <c r="CO25" i="25"/>
  <c r="CM26" i="25"/>
  <c r="F385" i="63"/>
  <c r="G385" i="63" s="1" a="1"/>
  <c r="G385" i="63" s="1"/>
  <c r="G403" i="63" a="1"/>
  <c r="G403" i="63" s="1"/>
  <c r="F380" i="63"/>
  <c r="G380" i="63" s="1" a="1"/>
  <c r="G380" i="63" s="1"/>
  <c r="F375" i="63"/>
  <c r="G375" i="63" s="1" a="1"/>
  <c r="G375" i="63" s="1"/>
  <c r="CF27" i="25"/>
  <c r="CK26" i="25"/>
  <c r="F379" i="63"/>
  <c r="G379" i="63" s="1" a="1"/>
  <c r="G379" i="63" s="1"/>
  <c r="F374" i="63"/>
  <c r="G374" i="63" s="1" a="1"/>
  <c r="G374" i="63" s="1"/>
  <c r="CG26" i="25"/>
  <c r="CJ26" i="25"/>
  <c r="CS26" i="25"/>
  <c r="F378" i="63"/>
  <c r="G378" i="63" s="1" a="1"/>
  <c r="G378" i="63" s="1"/>
  <c r="F373" i="63"/>
  <c r="G373" i="63" s="1" a="1"/>
  <c r="G373" i="63" s="1"/>
  <c r="CS12" i="25"/>
  <c r="CS14" i="25" s="1"/>
  <c r="CS17" i="25" s="1"/>
  <c r="CR27" i="25"/>
  <c r="CH27" i="25"/>
  <c r="CI26" i="25"/>
  <c r="CQ27" i="25"/>
  <c r="CG27" i="25"/>
  <c r="CR26" i="25"/>
  <c r="CH26" i="25"/>
  <c r="F387" i="63"/>
  <c r="G387" i="63" s="1" a="1"/>
  <c r="G387" i="63" s="1"/>
  <c r="CQ26" i="25"/>
  <c r="CQ13" i="25"/>
  <c r="CQ17" i="25" s="1"/>
  <c r="CP26" i="25"/>
  <c r="F396" i="63"/>
  <c r="G396" i="63" s="1" a="1"/>
  <c r="G396" i="63" s="1"/>
  <c r="F391" i="63"/>
  <c r="C391" i="63" s="1" a="1"/>
  <c r="C391" i="63" s="1"/>
  <c r="F382" i="63"/>
  <c r="G382" i="63" s="1" a="1"/>
  <c r="G382" i="63" s="1"/>
  <c r="F377" i="63"/>
  <c r="G377" i="63" s="1" a="1"/>
  <c r="G377" i="63" s="1"/>
  <c r="G401" i="63" a="1"/>
  <c r="G401" i="63" s="1"/>
  <c r="C386" i="63" a="1"/>
  <c r="C386" i="63" s="1"/>
  <c r="E11" i="63"/>
  <c r="E5" i="63"/>
  <c r="E50" i="63"/>
  <c r="E48" i="63"/>
  <c r="E359" i="63"/>
  <c r="E277" i="63"/>
  <c r="E10" i="63"/>
  <c r="E6" i="63"/>
  <c r="E184" i="63"/>
  <c r="E319" i="63"/>
  <c r="E360" i="63"/>
  <c r="E7" i="63"/>
  <c r="E362" i="63"/>
  <c r="E274" i="63"/>
  <c r="E361" i="63"/>
  <c r="E363" i="63"/>
  <c r="E364" i="63"/>
  <c r="E47" i="63"/>
  <c r="E357" i="63"/>
  <c r="E4" i="63"/>
  <c r="E51" i="63"/>
  <c r="E49" i="63"/>
  <c r="E46" i="63"/>
  <c r="F319" i="63"/>
  <c r="CM12" i="25"/>
  <c r="CM14" i="25" s="1"/>
  <c r="CM17" i="25" s="1"/>
  <c r="CO12" i="25"/>
  <c r="CO14" i="25" s="1"/>
  <c r="CO17" i="25" s="1"/>
  <c r="CN12" i="25"/>
  <c r="CN14" i="25" s="1"/>
  <c r="CN17" i="25" s="1"/>
  <c r="CP13" i="25"/>
  <c r="CP17" i="25" s="1"/>
  <c r="T17" i="25"/>
  <c r="G320" i="63" a="1"/>
  <c r="G320" i="63" s="1"/>
  <c r="T25" i="25"/>
  <c r="DC73" i="61"/>
  <c r="G51" i="35"/>
  <c r="G50" i="35"/>
  <c r="G52" i="35"/>
  <c r="C42" i="35"/>
  <c r="C41" i="35"/>
  <c r="CD17" i="25"/>
  <c r="X26" i="25"/>
  <c r="X27" i="25"/>
  <c r="V26" i="25"/>
  <c r="X25" i="25"/>
  <c r="V25" i="25"/>
  <c r="C15" i="78"/>
  <c r="C16" i="78" s="1"/>
  <c r="F36" i="25"/>
  <c r="G358" i="63" a="1"/>
  <c r="G358" i="63" s="1"/>
  <c r="D36" i="25"/>
  <c r="H34" i="25"/>
  <c r="C19" i="78" a="1"/>
  <c r="C19" i="78" s="1"/>
  <c r="C21" i="78" s="1" a="1"/>
  <c r="C21" i="78" s="1"/>
  <c r="C8" i="78"/>
  <c r="H13" i="78"/>
  <c r="I13" i="78" s="1"/>
  <c r="C6" i="78"/>
  <c r="C4" i="78"/>
  <c r="C5" i="78" s="1"/>
  <c r="C36" i="78" s="1"/>
  <c r="F357" i="63"/>
  <c r="F361" i="63"/>
  <c r="F363" i="63"/>
  <c r="F359" i="63"/>
  <c r="F364" i="63"/>
  <c r="F360" i="63"/>
  <c r="F362" i="63"/>
  <c r="C11" i="78"/>
  <c r="I11" i="78" s="1"/>
  <c r="G365" i="63" a="1"/>
  <c r="G365" i="63" s="1"/>
  <c r="R10" i="78" a="1"/>
  <c r="Q10" i="78" a="1"/>
  <c r="P10" i="78" a="1"/>
  <c r="S10" i="78" a="1"/>
  <c r="F184" i="63"/>
  <c r="F274" i="63"/>
  <c r="F5" i="63"/>
  <c r="F276" i="63"/>
  <c r="F277" i="63"/>
  <c r="F185" i="63"/>
  <c r="G185" i="63" s="1" a="1"/>
  <c r="G185" i="63" s="1"/>
  <c r="X17" i="25"/>
  <c r="G275" i="63" a="1"/>
  <c r="G275" i="63" s="1"/>
  <c r="V17" i="25"/>
  <c r="K3" i="63"/>
  <c r="D3" i="71"/>
  <c r="F10" i="63"/>
  <c r="F11" i="63"/>
  <c r="F25" i="25"/>
  <c r="F14" i="25"/>
  <c r="F17" i="25" s="1"/>
  <c r="J26" i="25"/>
  <c r="F51" i="63"/>
  <c r="F47" i="63"/>
  <c r="F7" i="63"/>
  <c r="F6" i="63"/>
  <c r="F50" i="63"/>
  <c r="F4" i="63"/>
  <c r="F48" i="63"/>
  <c r="F46" i="63"/>
  <c r="F49" i="63"/>
  <c r="BR109" i="61"/>
  <c r="AX109" i="61"/>
  <c r="AP109" i="61"/>
  <c r="J109" i="61"/>
  <c r="AP108" i="61"/>
  <c r="BR107" i="61"/>
  <c r="BR106" i="61"/>
  <c r="CV7" i="61"/>
  <c r="CB6" i="61"/>
  <c r="BH6" i="61"/>
  <c r="AV4" i="61"/>
  <c r="AF10" i="8"/>
  <c r="X99" i="58"/>
  <c r="V99" i="58"/>
  <c r="P99" i="58"/>
  <c r="N99" i="58"/>
  <c r="L99" i="58"/>
  <c r="J99" i="58"/>
  <c r="X87" i="58"/>
  <c r="AP28" i="25"/>
  <c r="E37" i="15"/>
  <c r="C16" i="19"/>
  <c r="B16" i="19"/>
  <c r="H59" i="22"/>
  <c r="D33" i="68"/>
  <c r="B38" i="72"/>
  <c r="B37" i="72"/>
  <c r="F3" i="76"/>
  <c r="I12" i="49"/>
  <c r="H12" i="49"/>
  <c r="K92" i="67"/>
  <c r="I8" i="48"/>
  <c r="H8" i="48"/>
  <c r="G8" i="48"/>
  <c r="D18" i="34"/>
  <c r="C18" i="34"/>
  <c r="D18" i="39"/>
  <c r="C18" i="39"/>
  <c r="C14" i="69"/>
  <c r="B14" i="69"/>
  <c r="C15" i="42"/>
  <c r="E3" i="70"/>
  <c r="D36" i="70"/>
  <c r="I17" i="43"/>
  <c r="D9" i="45"/>
  <c r="I17" i="45" s="1"/>
  <c r="C9" i="45"/>
  <c r="C350" i="63"/>
  <c r="AH9" i="61"/>
  <c r="AD9" i="61"/>
  <c r="Z9" i="61"/>
  <c r="AG12" i="61"/>
  <c r="AH12" i="61" s="1"/>
  <c r="AH79" i="61" s="1" a="1"/>
  <c r="AH79" i="61" s="1"/>
  <c r="AF6" i="61"/>
  <c r="AF7" i="61" s="1"/>
  <c r="AG5" i="61"/>
  <c r="AH5" i="61" s="1"/>
  <c r="AF4" i="61"/>
  <c r="AG4" i="61" s="1"/>
  <c r="AH4" i="61" s="1"/>
  <c r="AH2" i="61"/>
  <c r="AG2" i="61"/>
  <c r="AC12" i="61"/>
  <c r="AD12" i="61" s="1"/>
  <c r="AD79" i="61" s="1" a="1"/>
  <c r="AD79" i="61" s="1"/>
  <c r="AB6" i="61"/>
  <c r="AB7" i="61" s="1"/>
  <c r="AC5" i="61"/>
  <c r="AD5" i="61" s="1"/>
  <c r="AB4" i="61"/>
  <c r="AC4" i="61" s="1"/>
  <c r="AD4" i="61" s="1"/>
  <c r="AD2" i="61"/>
  <c r="AC2" i="61"/>
  <c r="Y12" i="61"/>
  <c r="Z12" i="61" s="1"/>
  <c r="Z79" i="61" s="1" a="1"/>
  <c r="Z79"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D9" i="5"/>
  <c r="AD10" i="5"/>
  <c r="AD8" i="5"/>
  <c r="AD23" i="5"/>
  <c r="F27" i="25" a="1"/>
  <c r="C384" i="63" l="1" a="1"/>
  <c r="C384" i="63" s="1"/>
  <c r="CL26" i="25"/>
  <c r="G363" i="63" a="1"/>
  <c r="G363" i="63" s="1"/>
  <c r="C381" i="63" a="1"/>
  <c r="C381" i="63" s="1"/>
  <c r="C399" i="63" a="1"/>
  <c r="C399" i="63" s="1"/>
  <c r="C394" i="63" a="1"/>
  <c r="C394" i="63" s="1"/>
  <c r="C393" i="63" a="1"/>
  <c r="C393" i="63" s="1"/>
  <c r="C400" i="63" a="1"/>
  <c r="C400" i="63" s="1"/>
  <c r="G390" i="63" a="1"/>
  <c r="G390" i="63" s="1"/>
  <c r="C395" i="63" a="1"/>
  <c r="C395" i="63" s="1"/>
  <c r="G48" i="63" a="1"/>
  <c r="G48" i="63" s="1"/>
  <c r="C376" i="63" a="1"/>
  <c r="C376" i="63" s="1"/>
  <c r="G388" i="63" a="1"/>
  <c r="G388" i="63" s="1"/>
  <c r="G361" i="63" a="1"/>
  <c r="G361" i="63" s="1"/>
  <c r="C385" i="63" a="1"/>
  <c r="C385" i="63" s="1"/>
  <c r="G397" i="63" a="1"/>
  <c r="G397" i="63" s="1"/>
  <c r="C379" i="63" a="1"/>
  <c r="C379" i="63" s="1"/>
  <c r="C383" i="63" a="1"/>
  <c r="C383" i="63" s="1"/>
  <c r="C389" i="63" a="1"/>
  <c r="C389" i="63" s="1"/>
  <c r="C398" i="63" a="1"/>
  <c r="C398" i="63" s="1"/>
  <c r="C380" i="63" a="1"/>
  <c r="C380" i="63" s="1"/>
  <c r="C382" i="63" a="1"/>
  <c r="C382" i="63" s="1"/>
  <c r="G391" i="63" a="1"/>
  <c r="G391" i="63" s="1"/>
  <c r="G7" i="63" a="1"/>
  <c r="G7" i="63" s="1"/>
  <c r="C392" i="63" a="1"/>
  <c r="C392" i="63" s="1"/>
  <c r="G49" i="63" a="1"/>
  <c r="G49" i="63" s="1"/>
  <c r="G5" i="63" a="1"/>
  <c r="G5" i="63" s="1"/>
  <c r="C374" i="63" a="1"/>
  <c r="C374" i="63" s="1"/>
  <c r="G46" i="63" a="1"/>
  <c r="G46" i="63" s="1"/>
  <c r="G11" i="63" a="1"/>
  <c r="G11" i="63" s="1"/>
  <c r="G360" i="63" a="1"/>
  <c r="G360" i="63" s="1"/>
  <c r="G50" i="63" a="1"/>
  <c r="G50" i="63" s="1"/>
  <c r="G359" i="63" a="1"/>
  <c r="G359" i="63" s="1"/>
  <c r="G362" i="63" a="1"/>
  <c r="G362" i="63" s="1"/>
  <c r="C396" i="63" a="1"/>
  <c r="C396" i="63" s="1"/>
  <c r="C378" i="63" a="1"/>
  <c r="C378" i="63" s="1"/>
  <c r="C375" i="63" a="1"/>
  <c r="C375" i="63" s="1"/>
  <c r="C373" i="63" a="1"/>
  <c r="C373" i="63" s="1"/>
  <c r="C377" i="63" a="1"/>
  <c r="C377" i="63" s="1"/>
  <c r="C387" i="63" a="1"/>
  <c r="C387" i="63" s="1"/>
  <c r="G51" i="63" a="1"/>
  <c r="G51" i="63" s="1"/>
  <c r="G10" i="63" a="1"/>
  <c r="G10" i="63" s="1"/>
  <c r="G274" i="63" a="1"/>
  <c r="G274" i="63" s="1"/>
  <c r="G277" i="63" a="1"/>
  <c r="G277" i="63" s="1"/>
  <c r="G184" i="63" a="1"/>
  <c r="G184" i="63" s="1"/>
  <c r="G6" i="63" a="1"/>
  <c r="G6" i="63" s="1"/>
  <c r="G4" i="63" a="1"/>
  <c r="G4" i="63" s="1"/>
  <c r="G357" i="63" a="1"/>
  <c r="G357" i="63" s="1"/>
  <c r="G319" i="63" a="1"/>
  <c r="G319" i="63" s="1"/>
  <c r="G47" i="63" a="1"/>
  <c r="G47" i="63" s="1"/>
  <c r="G364" i="63" a="1"/>
  <c r="G364" i="63" s="1"/>
  <c r="E276" i="63"/>
  <c r="G276" i="63" s="1" a="1"/>
  <c r="G276" i="63" s="1"/>
  <c r="C20" i="78" a="1"/>
  <c r="C20" i="78" s="1"/>
  <c r="C22" i="78" s="1" a="1"/>
  <c r="C22" i="78" s="1"/>
  <c r="C25" i="78" s="1" a="1"/>
  <c r="C25" i="78" s="1"/>
  <c r="U10" i="78" a="1"/>
  <c r="U10" i="78" s="1"/>
  <c r="H10" i="78"/>
  <c r="I10" i="78" s="1"/>
  <c r="I17" i="78" s="1"/>
  <c r="H14" i="78"/>
  <c r="H18" i="78"/>
  <c r="H19" i="78"/>
  <c r="C29" i="78"/>
  <c r="C38" i="78" s="1"/>
  <c r="V10" i="78" a="1"/>
  <c r="I16" i="78"/>
  <c r="I19" i="78"/>
  <c r="I18" i="78"/>
  <c r="I14" i="78"/>
  <c r="Y10" i="78" s="1" a="1"/>
  <c r="R10" i="78"/>
  <c r="Q10" i="78"/>
  <c r="P10" i="78"/>
  <c r="S10" i="78"/>
  <c r="F27" i="25"/>
  <c r="AH80" i="61"/>
  <c r="AD80" i="61"/>
  <c r="Z80" i="61"/>
  <c r="B39" i="72"/>
  <c r="N8" i="61"/>
  <c r="N81" i="61" s="1"/>
  <c r="M8" i="61"/>
  <c r="Q8" i="61"/>
  <c r="R8" i="61"/>
  <c r="X8" i="61"/>
  <c r="Y7" i="61"/>
  <c r="Z7" i="61" s="1"/>
  <c r="Z82" i="61" s="1"/>
  <c r="AF8" i="61"/>
  <c r="AG7" i="61"/>
  <c r="AH7" i="61" s="1"/>
  <c r="AH82" i="61" s="1"/>
  <c r="AB8" i="61"/>
  <c r="AC7" i="61"/>
  <c r="AD7" i="61" s="1"/>
  <c r="AD82" i="61" s="1"/>
  <c r="N82" i="61"/>
  <c r="X13" i="61"/>
  <c r="Y13" i="61" s="1"/>
  <c r="Z13" i="61" s="1"/>
  <c r="Z77" i="61" s="1"/>
  <c r="AB13" i="61"/>
  <c r="AC13" i="61" s="1"/>
  <c r="AD13" i="61" s="1"/>
  <c r="AD77" i="61" s="1"/>
  <c r="AF13" i="61"/>
  <c r="AG13" i="61" s="1"/>
  <c r="AH13" i="61" s="1"/>
  <c r="AH77" i="61" s="1"/>
  <c r="Y6" i="61"/>
  <c r="Z6" i="61" s="1"/>
  <c r="AC6" i="61"/>
  <c r="AD6" i="61" s="1"/>
  <c r="AG6" i="61"/>
  <c r="AH6" i="61" s="1"/>
  <c r="R85" i="61" a="1"/>
  <c r="R85" i="61" s="1"/>
  <c r="R82" i="61"/>
  <c r="N84" i="61" a="1"/>
  <c r="N84" i="61" s="1"/>
  <c r="R83" i="61" a="1"/>
  <c r="R83" i="61" s="1"/>
  <c r="N83" i="61" a="1"/>
  <c r="N83" i="61" s="1"/>
  <c r="N85" i="61" a="1"/>
  <c r="N85" i="61" s="1"/>
  <c r="R84" i="61" a="1"/>
  <c r="R84" i="61" s="1"/>
  <c r="C150" i="77"/>
  <c r="B150" i="77"/>
  <c r="C148" i="77"/>
  <c r="B148" i="77"/>
  <c r="C146" i="77"/>
  <c r="B146" i="77"/>
  <c r="C144" i="77"/>
  <c r="B144" i="77"/>
  <c r="C142" i="77"/>
  <c r="B142" i="77"/>
  <c r="C140" i="77"/>
  <c r="B140" i="77"/>
  <c r="C138" i="77"/>
  <c r="B138" i="77"/>
  <c r="C136" i="77"/>
  <c r="B136" i="77"/>
  <c r="C134" i="77"/>
  <c r="B134" i="77"/>
  <c r="C132" i="77"/>
  <c r="B132" i="77"/>
  <c r="C130" i="77"/>
  <c r="B130" i="77"/>
  <c r="C128" i="77"/>
  <c r="B128" i="77"/>
  <c r="H7" i="78" l="1"/>
  <c r="H15" i="78"/>
  <c r="H17" i="78"/>
  <c r="X10" i="78" a="1"/>
  <c r="X10" i="78" s="1"/>
  <c r="C44" i="78"/>
  <c r="H12" i="78"/>
  <c r="I12" i="78" s="1"/>
  <c r="V10" i="78"/>
  <c r="Y10" i="78"/>
  <c r="AH62" i="61"/>
  <c r="AH64" i="61" s="1"/>
  <c r="AD8" i="61"/>
  <c r="AC8" i="61"/>
  <c r="Y8" i="61"/>
  <c r="Z8" i="61"/>
  <c r="AG8" i="61"/>
  <c r="AH8" i="61"/>
  <c r="AD81" i="61"/>
  <c r="AD78" i="61"/>
  <c r="AD62" i="61"/>
  <c r="Z81" i="61"/>
  <c r="Z78" i="61"/>
  <c r="Z62" i="61"/>
  <c r="R81" i="61"/>
  <c r="AH81" i="61"/>
  <c r="AH78" i="61"/>
  <c r="W6" i="5" a="1"/>
  <c r="W6" i="5" s="1"/>
  <c r="I15" i="78" l="1"/>
  <c r="AH63" i="61"/>
  <c r="AH65" i="61" s="1"/>
  <c r="AH67" i="61" s="1"/>
  <c r="AD64" i="61"/>
  <c r="AD63" i="61"/>
  <c r="AD65" i="61" s="1"/>
  <c r="Z64" i="61"/>
  <c r="Z63" i="61"/>
  <c r="Z65" i="61" s="1"/>
  <c r="C322" i="63"/>
  <c r="K10" i="78" l="1" a="1"/>
  <c r="K10" i="78" s="1"/>
  <c r="L10" i="78" s="1" a="1"/>
  <c r="L10" i="78" s="1"/>
  <c r="AD67" i="61"/>
  <c r="Z67" i="61"/>
  <c r="BX25" i="25"/>
  <c r="BX28" i="25"/>
  <c r="C37" i="78"/>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D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CA29" i="25"/>
  <c r="CA28" i="25"/>
  <c r="CA27" i="25"/>
  <c r="CA26" i="25"/>
  <c r="CA25" i="25"/>
  <c r="CA24" i="25"/>
  <c r="CB25" i="25"/>
  <c r="CB32" i="25"/>
  <c r="CB13" i="25"/>
  <c r="CB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J31" i="14" a="1"/>
  <c r="CX8" i="61" l="1"/>
  <c r="CW8" i="61"/>
  <c r="CW7" i="61"/>
  <c r="CX7" i="61" s="1"/>
  <c r="CB17" i="25"/>
  <c r="CB26" i="25"/>
  <c r="CB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81" i="61"/>
  <c r="CT85" i="61" a="1"/>
  <c r="CT85" i="61" s="1"/>
  <c r="AD30" i="8"/>
  <c r="V31" i="14" a="1"/>
  <c r="V31" i="14" l="1"/>
  <c r="E31" i="72"/>
  <c r="CX78" i="61"/>
  <c r="CX77" i="61"/>
  <c r="C28" i="75"/>
  <c r="D29" i="75"/>
  <c r="E30" i="72"/>
  <c r="E28" i="72"/>
  <c r="E29" i="72"/>
  <c r="CX80" i="61"/>
  <c r="CX82" i="61"/>
  <c r="C93" i="63"/>
  <c r="F40" i="73" l="1"/>
  <c r="D30" i="75"/>
  <c r="C29" i="75"/>
  <c r="E38" i="72" a="1"/>
  <c r="E38" i="72" s="1"/>
  <c r="E3" i="72"/>
  <c r="E24" i="72" s="1"/>
  <c r="BJ11" i="25"/>
  <c r="C30" i="75" l="1"/>
  <c r="D31" i="75"/>
  <c r="E14" i="72"/>
  <c r="E11" i="72"/>
  <c r="E16" i="72"/>
  <c r="E13" i="72"/>
  <c r="E19" i="72"/>
  <c r="E21" i="72"/>
  <c r="E22" i="72"/>
  <c r="E18" i="72"/>
  <c r="E10" i="72"/>
  <c r="E23" i="72"/>
  <c r="E12" i="72"/>
  <c r="E20" i="72"/>
  <c r="E17" i="72"/>
  <c r="E7" i="72"/>
  <c r="E15" i="72"/>
  <c r="E9" i="72"/>
  <c r="CX79" i="61" a="1"/>
  <c r="CX79" i="61" s="1"/>
  <c r="CX67" i="61"/>
  <c r="Z14" i="8"/>
  <c r="BJ28" i="25"/>
  <c r="BJ27" i="25"/>
  <c r="BJ26" i="25"/>
  <c r="BJ25" i="25"/>
  <c r="E45" i="72" l="1"/>
  <c r="C31" i="75"/>
  <c r="C229" i="63"/>
  <c r="C230" i="63"/>
  <c r="E230" i="63"/>
  <c r="E229" i="63"/>
  <c r="BJ12" i="25"/>
  <c r="BJ14" i="25" s="1"/>
  <c r="BJ32" i="25"/>
  <c r="BK29" i="25"/>
  <c r="BK28" i="25"/>
  <c r="BK27" i="25"/>
  <c r="BK26" i="25"/>
  <c r="BK25" i="25"/>
  <c r="BK24" i="25"/>
  <c r="BJ13" i="25" l="1"/>
  <c r="Z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15" i="75" a="1"/>
  <c r="F24"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BB32" i="25"/>
  <c r="BC29" i="25"/>
  <c r="BC28" i="25"/>
  <c r="BC27" i="25"/>
  <c r="BC26" i="25"/>
  <c r="BC25" i="25"/>
  <c r="BC24" i="25"/>
  <c r="BB14" i="25"/>
  <c r="BB13" i="25"/>
  <c r="Z37" i="14"/>
  <c r="AA34" i="14"/>
  <c r="AA33" i="14"/>
  <c r="AA32" i="14"/>
  <c r="Z32" i="14" a="1"/>
  <c r="Z32" i="14" s="1"/>
  <c r="AA31" i="14"/>
  <c r="AA30" i="14"/>
  <c r="AA29" i="14"/>
  <c r="AA28" i="14"/>
  <c r="BB25" i="25" a="1"/>
  <c r="BB26" i="25" a="1"/>
  <c r="F93" i="63" l="1"/>
  <c r="G93" i="63" s="1" a="1"/>
  <c r="G93" i="63" s="1"/>
  <c r="Z27" i="8"/>
  <c r="Z26" i="8"/>
  <c r="F29" i="39"/>
  <c r="F85" i="63"/>
  <c r="G85" i="63" s="1" a="1"/>
  <c r="G85" i="63" s="1"/>
  <c r="F72" i="63"/>
  <c r="G72" i="63" s="1" a="1"/>
  <c r="G72" i="63" s="1"/>
  <c r="BB17" i="25"/>
  <c r="BB26" i="25"/>
  <c r="BB25" i="25"/>
  <c r="C65" i="63"/>
  <c r="E65" i="63"/>
  <c r="E64" i="63"/>
  <c r="C61" i="63"/>
  <c r="E61" i="63"/>
  <c r="E60" i="63"/>
  <c r="E57" i="63"/>
  <c r="E56" i="63"/>
  <c r="C56" i="63"/>
  <c r="AX32" i="25"/>
  <c r="AX26" i="25"/>
  <c r="AX14" i="25"/>
  <c r="AX13" i="25"/>
  <c r="AY29" i="25"/>
  <c r="AY28" i="25"/>
  <c r="AY27" i="25"/>
  <c r="AY26" i="25"/>
  <c r="AY25" i="25"/>
  <c r="AY24" i="25"/>
  <c r="H30" i="36"/>
  <c r="AX25" i="25" a="1"/>
  <c r="F56" i="63" l="1"/>
  <c r="G56" i="63" s="1" a="1"/>
  <c r="G56" i="63" s="1"/>
  <c r="F57" i="63"/>
  <c r="G57" i="63" s="1" a="1"/>
  <c r="G57" i="63" s="1"/>
  <c r="AX17" i="25"/>
  <c r="AX25" i="25"/>
  <c r="CN7" i="61"/>
  <c r="CO7" i="61" s="1"/>
  <c r="CP7" i="61" s="1"/>
  <c r="CP77" i="61"/>
  <c r="CP64" i="61"/>
  <c r="CP78"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91" i="67"/>
  <c r="S45" i="9"/>
  <c r="I45"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31" i="63" l="1"/>
  <c r="E332" i="63"/>
  <c r="E333" i="63"/>
  <c r="F333" i="63"/>
  <c r="AH34" i="8"/>
  <c r="AH29" i="8"/>
  <c r="AH28" i="8"/>
  <c r="AH27" i="8"/>
  <c r="AH26" i="8"/>
  <c r="AH20" i="8"/>
  <c r="AH4" i="8"/>
  <c r="AI31" i="8"/>
  <c r="AI30" i="8"/>
  <c r="AI29" i="8"/>
  <c r="AI28" i="8"/>
  <c r="AI27" i="8"/>
  <c r="AI26" i="8"/>
  <c r="AI25" i="8"/>
  <c r="AG31" i="8"/>
  <c r="AG30" i="8"/>
  <c r="AG29" i="8"/>
  <c r="AG28" i="8"/>
  <c r="AG27" i="8"/>
  <c r="AG26" i="8"/>
  <c r="AG25" i="8"/>
  <c r="E326" i="63"/>
  <c r="E327" i="63"/>
  <c r="C326"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7" i="63" l="1"/>
  <c r="G327" i="63" s="1" a="1"/>
  <c r="G327" i="63" s="1"/>
  <c r="F331" i="63"/>
  <c r="G331" i="63" s="1" a="1"/>
  <c r="G331" i="63" s="1"/>
  <c r="F332" i="63"/>
  <c r="G332" i="63" s="1" a="1"/>
  <c r="G332" i="63" s="1"/>
  <c r="F326" i="63"/>
  <c r="G326" i="63" s="1" a="1"/>
  <c r="G326" i="63" s="1"/>
  <c r="G333" i="63" a="1"/>
  <c r="G333"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6" i="61"/>
  <c r="C12" i="5" a="1"/>
  <c r="C12" i="5" s="1"/>
  <c r="D33" i="70" l="1"/>
  <c r="I25" i="70"/>
  <c r="E26" i="70"/>
  <c r="I26" i="70" s="1"/>
  <c r="I24" i="70"/>
  <c r="E32" i="70"/>
  <c r="F24" i="70"/>
  <c r="B22" i="70" s="1"/>
  <c r="D27" i="70"/>
  <c r="D34" i="70"/>
  <c r="AB26" i="25"/>
  <c r="AB25" i="25"/>
  <c r="AB13" i="25"/>
  <c r="AB12" i="25"/>
  <c r="AB14" i="25" s="1"/>
  <c r="AB32" i="25"/>
  <c r="AC29" i="25"/>
  <c r="AC28" i="25"/>
  <c r="AC27" i="25"/>
  <c r="AC26" i="25"/>
  <c r="AC25" i="25"/>
  <c r="AC24" i="25"/>
  <c r="I32" i="70" l="1"/>
  <c r="F32" i="70"/>
  <c r="F33" i="70"/>
  <c r="F25" i="70"/>
  <c r="F26" i="70"/>
  <c r="D35" i="70"/>
  <c r="E27" i="70"/>
  <c r="I27" i="70" s="1"/>
  <c r="E34" i="70"/>
  <c r="AB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F25" i="25"/>
  <c r="BF26" i="25"/>
  <c r="BN26" i="25" l="1"/>
  <c r="BL26" i="25"/>
  <c r="BG29" i="25" l="1"/>
  <c r="BG28" i="25"/>
  <c r="BG27" i="25"/>
  <c r="BG26" i="25"/>
  <c r="BG25" i="25"/>
  <c r="BG24" i="25"/>
  <c r="BE29" i="25"/>
  <c r="BE28" i="25"/>
  <c r="BE27" i="25"/>
  <c r="BE26" i="25"/>
  <c r="BE25" i="25"/>
  <c r="BE24" i="25"/>
  <c r="BH27" i="25"/>
  <c r="BH32" i="25"/>
  <c r="BI29" i="25"/>
  <c r="BI28" i="25"/>
  <c r="BI27" i="25"/>
  <c r="BI26" i="25"/>
  <c r="BI25" i="25"/>
  <c r="BI24" i="25"/>
  <c r="AJ27" i="25" l="1"/>
  <c r="AJ26" i="25"/>
  <c r="AL27" i="25"/>
  <c r="AL26" i="25"/>
  <c r="C12" i="69"/>
  <c r="C13" i="69"/>
  <c r="C15" i="69"/>
  <c r="C16" i="69"/>
  <c r="C17" i="69"/>
  <c r="B13" i="69"/>
  <c r="B15" i="69"/>
  <c r="B16" i="69"/>
  <c r="B17" i="69"/>
  <c r="B12" i="69"/>
  <c r="BD27" i="25"/>
  <c r="E38" i="69" a="1"/>
  <c r="E3" i="69" l="1"/>
  <c r="E20" i="69" s="1"/>
  <c r="E38" i="69"/>
  <c r="BM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N9" i="25"/>
  <c r="BN7" i="25"/>
  <c r="BN25" i="25" s="1"/>
  <c r="BN32" i="25"/>
  <c r="BN13" i="25"/>
  <c r="BN12" i="25"/>
  <c r="BN14" i="25" s="1"/>
  <c r="BO29" i="25"/>
  <c r="BO28" i="25"/>
  <c r="BO27" i="25"/>
  <c r="BO26" i="25"/>
  <c r="BO25" i="25"/>
  <c r="BO24" i="25"/>
  <c r="BN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N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N27" i="25"/>
  <c r="BT26" i="25"/>
  <c r="BT12" i="25"/>
  <c r="BL25" i="25" l="1"/>
  <c r="BL27" i="25" a="1"/>
  <c r="BL27" i="25" l="1"/>
  <c r="C54" i="67"/>
  <c r="C55" i="67" l="1"/>
  <c r="K7" i="5" a="1"/>
  <c r="K7" i="5" s="1"/>
  <c r="K8" i="5" a="1"/>
  <c r="K8" i="5" s="1"/>
  <c r="K9" i="5" a="1"/>
  <c r="K9" i="5" s="1"/>
  <c r="BR27" i="25"/>
  <c r="BR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R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93"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Z27" i="25" a="1"/>
  <c r="BZ27" i="25" s="1"/>
  <c r="BZ26" i="25"/>
  <c r="BZ25" i="25"/>
  <c r="E49" i="67" l="1"/>
  <c r="H49" i="67" s="1"/>
  <c r="F49" i="67"/>
  <c r="I49" i="67" s="1"/>
  <c r="F19" i="67"/>
  <c r="I19" i="67" s="1"/>
  <c r="E19" i="67"/>
  <c r="H19" i="67" s="1"/>
  <c r="H20" i="67" s="1"/>
  <c r="F36" i="67"/>
  <c r="I36" i="67" s="1"/>
  <c r="E36" i="67"/>
  <c r="H36" i="67" s="1"/>
  <c r="E46" i="67"/>
  <c r="H46" i="67" s="1"/>
  <c r="F46" i="67"/>
  <c r="I46" i="67" s="1"/>
  <c r="F22" i="67"/>
  <c r="I22" i="67" s="1"/>
  <c r="I23" i="67" s="1"/>
  <c r="E23" i="67"/>
  <c r="H23" i="67" s="1"/>
  <c r="F37" i="67"/>
  <c r="I37" i="67" s="1"/>
  <c r="E37" i="67"/>
  <c r="H37" i="67" s="1"/>
  <c r="D26" i="67" a="1"/>
  <c r="D26" i="67" s="1"/>
  <c r="F26" i="67" s="1"/>
  <c r="E48" i="67"/>
  <c r="H48" i="67" s="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Z12" i="25"/>
  <c r="BZ14" i="25" s="1"/>
  <c r="BZ32" i="25"/>
  <c r="BY29" i="25"/>
  <c r="BY28" i="25"/>
  <c r="BY27" i="25"/>
  <c r="BY26" i="25"/>
  <c r="BY25" i="25"/>
  <c r="BY24" i="25"/>
  <c r="BZ13" i="25"/>
  <c r="K45" i="67" a="1"/>
  <c r="K39" i="67" a="1"/>
  <c r="K48" i="67" a="1"/>
  <c r="K36" i="67" a="1"/>
  <c r="K7"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Z17" i="25"/>
  <c r="E342" i="63"/>
  <c r="E343" i="63"/>
  <c r="E348" i="63"/>
  <c r="E349"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93" i="67" a="1"/>
  <c r="K93" i="67" s="1"/>
  <c r="F30" i="67"/>
  <c r="I30" i="67" s="1"/>
  <c r="K90" i="67" a="1"/>
  <c r="K90" i="67" s="1"/>
  <c r="D31" i="67" a="1"/>
  <c r="D31" i="67" s="1"/>
  <c r="I28" i="67"/>
  <c r="H32" i="67"/>
  <c r="F343" i="63"/>
  <c r="G343" i="63" s="1" a="1"/>
  <c r="G343" i="63" s="1"/>
  <c r="F342" i="63"/>
  <c r="G342" i="63" s="1" a="1"/>
  <c r="G342" i="63" s="1"/>
  <c r="F348" i="63"/>
  <c r="G348" i="63" s="1" a="1"/>
  <c r="G348" i="63" s="1"/>
  <c r="F349" i="63"/>
  <c r="G349" i="63" s="1" a="1"/>
  <c r="G349" i="63" s="1"/>
  <c r="AN27" i="8"/>
  <c r="AN20" i="8"/>
  <c r="AN28" i="8"/>
  <c r="E346" i="63"/>
  <c r="E347" i="63"/>
  <c r="BR12" i="25"/>
  <c r="BR14" i="25" s="1"/>
  <c r="BR32" i="25"/>
  <c r="BR13" i="25"/>
  <c r="BS29" i="25"/>
  <c r="BS28" i="25"/>
  <c r="BS27" i="25"/>
  <c r="BS26" i="25"/>
  <c r="BS25" i="25"/>
  <c r="BS24" i="25"/>
  <c r="BR25" i="25" a="1"/>
  <c r="F31" i="67" l="1"/>
  <c r="I31" i="67" s="1"/>
  <c r="E31" i="67"/>
  <c r="H31" i="67" s="1"/>
  <c r="J46" i="67" s="1"/>
  <c r="F346" i="63"/>
  <c r="G346" i="63" s="1" a="1"/>
  <c r="G346" i="63" s="1"/>
  <c r="BR17" i="25"/>
  <c r="F347" i="63"/>
  <c r="G347" i="63" s="1" a="1"/>
  <c r="G347" i="63" s="1"/>
  <c r="BR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T32" i="25"/>
  <c r="AU29" i="25"/>
  <c r="AU28" i="25"/>
  <c r="AU27" i="25"/>
  <c r="AU26" i="25"/>
  <c r="AU25" i="25"/>
  <c r="AU24" i="25"/>
  <c r="AT13" i="25"/>
  <c r="AT12" i="25"/>
  <c r="AT14" i="25" s="1"/>
  <c r="AT26" i="25" a="1"/>
  <c r="C24" i="65" l="1"/>
  <c r="D29" i="65"/>
  <c r="C13" i="65"/>
  <c r="D16" i="65"/>
  <c r="D26" i="65" s="1"/>
  <c r="AT27" i="25"/>
  <c r="AT26" i="25"/>
  <c r="AT17" i="25"/>
  <c r="C23" i="65" l="1"/>
  <c r="D17" i="65"/>
  <c r="C19" i="65"/>
  <c r="D27" i="65" l="1"/>
  <c r="C29" i="65"/>
  <c r="C18" i="65"/>
  <c r="C28" i="65" s="1"/>
  <c r="R9" i="63"/>
  <c r="S9" i="63" s="1"/>
  <c r="V16" i="8" l="1"/>
  <c r="C164" i="63" l="1"/>
  <c r="F3" i="65" l="1"/>
  <c r="E214" i="63"/>
  <c r="E215" i="63"/>
  <c r="F16" i="65" a="1"/>
  <c r="F26" i="65" a="1"/>
  <c r="F11"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4" i="63"/>
  <c r="C329" i="63"/>
  <c r="C338" i="63"/>
  <c r="C340" i="63"/>
  <c r="C341" i="63"/>
  <c r="C344" i="63"/>
  <c r="C352" i="63"/>
  <c r="C366" i="63"/>
  <c r="C367" i="63"/>
  <c r="C369" i="63"/>
  <c r="E370" i="63"/>
  <c r="E369" i="63"/>
  <c r="E368" i="63"/>
  <c r="E367" i="63"/>
  <c r="E366" i="63"/>
  <c r="F356" i="63"/>
  <c r="E356" i="63"/>
  <c r="F355" i="63"/>
  <c r="E355" i="63"/>
  <c r="F354" i="63"/>
  <c r="E354" i="63"/>
  <c r="E353" i="63"/>
  <c r="E352" i="63"/>
  <c r="E351" i="63"/>
  <c r="E350" i="63"/>
  <c r="E345" i="63"/>
  <c r="E344" i="63"/>
  <c r="E341" i="63"/>
  <c r="E340" i="63"/>
  <c r="E339" i="63"/>
  <c r="E338" i="63"/>
  <c r="E337" i="63"/>
  <c r="E336" i="63"/>
  <c r="F335" i="63"/>
  <c r="E335" i="63"/>
  <c r="F334" i="63"/>
  <c r="E334" i="63"/>
  <c r="F330" i="63"/>
  <c r="E330" i="63"/>
  <c r="E329" i="63"/>
  <c r="E328" i="63"/>
  <c r="E325" i="63"/>
  <c r="E324" i="63"/>
  <c r="E323" i="63"/>
  <c r="E322" i="63"/>
  <c r="F321" i="63"/>
  <c r="E321"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4" i="63" a="1"/>
  <c r="G354" i="63" s="1"/>
  <c r="F246" i="63"/>
  <c r="G246" i="63" s="1" a="1"/>
  <c r="G246" i="63" s="1"/>
  <c r="G330" i="63" a="1"/>
  <c r="G330" i="63" s="1"/>
  <c r="G334" i="63" a="1"/>
  <c r="G334" i="63" s="1"/>
  <c r="G208" i="63" a="1"/>
  <c r="G208" i="63" s="1"/>
  <c r="G12" i="63" a="1"/>
  <c r="G12" i="63" s="1"/>
  <c r="G13" i="63" a="1"/>
  <c r="G13" i="63" s="1"/>
  <c r="G207" i="63" a="1"/>
  <c r="G207" i="63" s="1"/>
  <c r="G8" i="63" a="1"/>
  <c r="G8" i="63" s="1"/>
  <c r="G43" i="63" a="1"/>
  <c r="G43" i="63" s="1"/>
  <c r="G245" i="63" a="1"/>
  <c r="G245" i="63" s="1"/>
  <c r="G321" i="63" a="1"/>
  <c r="G321" i="63" s="1"/>
  <c r="G335" i="63" a="1"/>
  <c r="G335" i="63" s="1"/>
  <c r="F339" i="63"/>
  <c r="G339" i="63" s="1" a="1"/>
  <c r="G339" i="63" s="1"/>
  <c r="F353" i="63"/>
  <c r="G353" i="63" s="1" a="1"/>
  <c r="G353" i="63" s="1"/>
  <c r="G150" i="63" a="1"/>
  <c r="G150" i="63" s="1"/>
  <c r="G355" i="63" a="1"/>
  <c r="G355" i="63" s="1"/>
  <c r="G14" i="63" a="1"/>
  <c r="G14" i="63" s="1"/>
  <c r="G151" i="63" a="1"/>
  <c r="G151" i="63" s="1"/>
  <c r="G186" i="63" a="1"/>
  <c r="G186" i="63" s="1"/>
  <c r="G9" i="63" a="1"/>
  <c r="G9" i="63" s="1"/>
  <c r="G83" i="63" a="1"/>
  <c r="G83" i="63" s="1"/>
  <c r="G209" i="63" a="1"/>
  <c r="G209" i="63" s="1"/>
  <c r="G356" i="63" a="1"/>
  <c r="G356" i="63" s="1"/>
  <c r="G3" i="63" a="1"/>
  <c r="G3" i="63" s="1"/>
  <c r="F351" i="63"/>
  <c r="G351" i="63" s="1" a="1"/>
  <c r="G351" i="63" s="1"/>
  <c r="F162" i="63"/>
  <c r="G162" i="63" s="1" a="1"/>
  <c r="G162" i="63" s="1"/>
  <c r="F368" i="63"/>
  <c r="G368" i="63" s="1" a="1"/>
  <c r="G368" i="63" s="1"/>
  <c r="F323" i="63"/>
  <c r="G323" i="63" s="1" a="1"/>
  <c r="G323" i="63" s="1"/>
  <c r="F324" i="63"/>
  <c r="G324" i="63" s="1" a="1"/>
  <c r="G324" i="63" s="1"/>
  <c r="F317" i="63"/>
  <c r="G317" i="63" s="1" a="1"/>
  <c r="G317" i="63" s="1"/>
  <c r="F328" i="63"/>
  <c r="G328" i="63" s="1" a="1"/>
  <c r="G328" i="63" s="1"/>
  <c r="F350" i="63"/>
  <c r="G350" i="63" s="1" a="1"/>
  <c r="G350" i="63" s="1"/>
  <c r="F369" i="63"/>
  <c r="G369" i="63" s="1" a="1"/>
  <c r="G369" i="63" s="1"/>
  <c r="F352" i="63"/>
  <c r="G352" i="63" s="1" a="1"/>
  <c r="G352" i="63" s="1"/>
  <c r="F160" i="63"/>
  <c r="G160" i="63" s="1" a="1"/>
  <c r="G160" i="63" s="1"/>
  <c r="F163" i="63"/>
  <c r="G163" i="63" s="1" a="1"/>
  <c r="G163" i="63" s="1"/>
  <c r="F366" i="63"/>
  <c r="G366" i="63" s="1" a="1"/>
  <c r="G366" i="63" s="1"/>
  <c r="F268" i="63"/>
  <c r="G268" i="63" s="1" a="1"/>
  <c r="G268" i="63" s="1"/>
  <c r="E23" i="64"/>
  <c r="E29" i="64" s="1" a="1"/>
  <c r="E29" i="64" s="1"/>
  <c r="F370" i="63"/>
  <c r="G370" i="63" s="1" a="1"/>
  <c r="G370" i="63" s="1"/>
  <c r="F39" i="63"/>
  <c r="G39" i="63" s="1" a="1"/>
  <c r="G39" i="63" s="1"/>
  <c r="F337" i="63"/>
  <c r="G337" i="63" s="1" a="1"/>
  <c r="G337"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40" i="63"/>
  <c r="G340" i="63" s="1" a="1"/>
  <c r="G340" i="63" s="1"/>
  <c r="F338" i="63"/>
  <c r="G338" i="63" s="1" a="1"/>
  <c r="G338"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5" i="63"/>
  <c r="G325" i="63" s="1" a="1"/>
  <c r="G325"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2" i="63"/>
  <c r="G322" i="63" s="1" a="1"/>
  <c r="G322" i="63" s="1"/>
  <c r="F341" i="63"/>
  <c r="G341" i="63" s="1" a="1"/>
  <c r="G341"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4" i="63"/>
  <c r="G344" i="63" s="1" a="1"/>
  <c r="G344"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9" i="63"/>
  <c r="G329" i="63" s="1" a="1"/>
  <c r="G329" i="63" s="1"/>
  <c r="F336" i="63"/>
  <c r="G336" i="63" s="1" a="1"/>
  <c r="G336" i="63" s="1"/>
  <c r="F289" i="63"/>
  <c r="G289" i="63" s="1" a="1"/>
  <c r="G289" i="63" s="1"/>
  <c r="F312" i="63"/>
  <c r="G312" i="63" s="1" a="1"/>
  <c r="G312" i="63" s="1"/>
  <c r="F284" i="63"/>
  <c r="G284" i="63" s="1" a="1"/>
  <c r="G284" i="63" s="1"/>
  <c r="F314" i="63"/>
  <c r="G314" i="63" s="1" a="1"/>
  <c r="G314" i="63" s="1"/>
  <c r="F316" i="63"/>
  <c r="G316" i="63" s="1" a="1"/>
  <c r="G316" i="63" s="1"/>
  <c r="F345" i="63"/>
  <c r="G345" i="63" s="1" a="1"/>
  <c r="G345" i="63" s="1"/>
  <c r="F367" i="63"/>
  <c r="G367" i="63" s="1" a="1"/>
  <c r="G367" i="63" s="1"/>
  <c r="J3" i="63" l="1"/>
  <c r="H3" i="63"/>
  <c r="I3" i="63"/>
  <c r="AC3" i="5"/>
  <c r="AC6" i="5" l="1"/>
  <c r="AC11" i="5"/>
  <c r="AC8" i="5"/>
  <c r="AC10" i="5"/>
  <c r="AC7" i="5"/>
  <c r="AC23" i="5"/>
  <c r="F18" i="36"/>
  <c r="C11" i="5" l="1" a="1"/>
  <c r="C11" i="5" s="1"/>
  <c r="D110"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AB29" i="14" a="1"/>
  <c r="D29" i="14" a="1"/>
  <c r="AB30" i="14" a="1"/>
  <c r="F30" i="14" a="1"/>
  <c r="F29" i="14" a="1"/>
  <c r="CF18" i="25" l="1"/>
  <c r="CF19" i="25" s="1"/>
  <c r="CR18" i="25"/>
  <c r="CR19" i="25" s="1"/>
  <c r="CH18" i="25"/>
  <c r="CH19" i="25" s="1"/>
  <c r="CI18" i="25"/>
  <c r="CI19" i="25" s="1"/>
  <c r="CS18" i="25"/>
  <c r="CS19" i="25" s="1"/>
  <c r="CJ18" i="25"/>
  <c r="CJ19" i="25" s="1"/>
  <c r="CK18" i="25"/>
  <c r="CK19" i="25" s="1"/>
  <c r="CM18" i="25"/>
  <c r="CM19" i="25" s="1"/>
  <c r="CP18" i="25"/>
  <c r="CP19" i="25" s="1"/>
  <c r="CO18" i="25"/>
  <c r="CO19" i="25" s="1"/>
  <c r="CQ18" i="25"/>
  <c r="CQ19" i="25" s="1"/>
  <c r="CG18" i="25"/>
  <c r="CG19" i="25" s="1"/>
  <c r="CN18" i="25"/>
  <c r="CN19" i="25" s="1"/>
  <c r="CL18" i="25"/>
  <c r="CL19" i="25" s="1"/>
  <c r="AP6" i="8"/>
  <c r="AP7" i="8" s="1"/>
  <c r="AR6" i="8"/>
  <c r="AR7" i="8" s="1"/>
  <c r="AF6" i="14"/>
  <c r="AF7" i="14" s="1"/>
  <c r="R6" i="8"/>
  <c r="R7" i="8" s="1"/>
  <c r="D115" i="61"/>
  <c r="D116" i="61" s="1"/>
  <c r="V6" i="14"/>
  <c r="V7" i="14" s="1"/>
  <c r="AD6" i="14"/>
  <c r="AD7" i="14" s="1"/>
  <c r="J6" i="14"/>
  <c r="J7" i="14" s="1"/>
  <c r="F41" i="75" a="1"/>
  <c r="F41" i="75" s="1"/>
  <c r="F42" i="75" s="1" a="1"/>
  <c r="F42" i="75" s="1"/>
  <c r="AX18" i="25"/>
  <c r="AX19" i="25" s="1"/>
  <c r="BB18" i="25"/>
  <c r="BB19" i="25" s="1"/>
  <c r="AN6" i="8"/>
  <c r="AN7" i="8" s="1"/>
  <c r="AH6" i="8"/>
  <c r="AH7" i="8" s="1"/>
  <c r="C13" i="5"/>
  <c r="AB29" i="14"/>
  <c r="AB31" i="14"/>
  <c r="AB30" i="14"/>
  <c r="F30" i="14"/>
  <c r="F29" i="14"/>
  <c r="D29" i="14"/>
  <c r="R26" i="25"/>
  <c r="R25" i="25" a="1"/>
  <c r="AZ26" i="25" a="1"/>
  <c r="AV25" i="25" a="1"/>
  <c r="AZ25" i="25" a="1"/>
  <c r="J116" i="61" l="1"/>
  <c r="AX116" i="61"/>
  <c r="AP116" i="61"/>
  <c r="BR116" i="61"/>
  <c r="R25" i="25"/>
  <c r="AZ26" i="25"/>
  <c r="AZ25" i="25"/>
  <c r="AV25" i="25"/>
  <c r="P27" i="25" a="1"/>
  <c r="P27" i="25" l="1"/>
  <c r="BT25" i="25" a="1"/>
  <c r="BT25" i="25" l="1"/>
  <c r="F54" i="33" a="1"/>
  <c r="F54" i="33" l="1"/>
  <c r="T10" i="8" l="1"/>
  <c r="T11" i="8" s="1"/>
  <c r="L11" i="8"/>
  <c r="AR11" i="8" s="1"/>
  <c r="J12" i="8"/>
  <c r="J30" i="8" s="1"/>
  <c r="AR28" i="8" l="1"/>
  <c r="V11" i="8"/>
  <c r="R11" i="8"/>
  <c r="P11" i="8"/>
  <c r="AB11" i="8"/>
  <c r="N11" i="8"/>
  <c r="AL11" i="8"/>
  <c r="BR113" i="61"/>
  <c r="BR111" i="61"/>
  <c r="AX100" i="61"/>
  <c r="AP100" i="61"/>
  <c r="J100" i="61"/>
  <c r="AX101" i="61"/>
  <c r="AP101" i="61"/>
  <c r="J101" i="61"/>
  <c r="BR98" i="61"/>
  <c r="BR99" i="61"/>
  <c r="D113" i="61"/>
  <c r="D112" i="61"/>
  <c r="D111" i="61"/>
  <c r="C112" i="61"/>
  <c r="C113" i="61"/>
  <c r="C111" i="61"/>
  <c r="C115" i="61"/>
  <c r="D114" i="61"/>
  <c r="R28" i="8" l="1"/>
  <c r="R10" i="14"/>
  <c r="R9" i="14"/>
  <c r="R29" i="14" a="1"/>
  <c r="R30"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7" i="61"/>
  <c r="CI86" i="61"/>
  <c r="CI85" i="61"/>
  <c r="CI84" i="61"/>
  <c r="CI83" i="61"/>
  <c r="CI82" i="61"/>
  <c r="CI81" i="61"/>
  <c r="CI80" i="61"/>
  <c r="CI79" i="61"/>
  <c r="CI78" i="61"/>
  <c r="CI77" i="61"/>
  <c r="CI76" i="61"/>
  <c r="CE87" i="61"/>
  <c r="CE86" i="61"/>
  <c r="CE85" i="61"/>
  <c r="CE84" i="61"/>
  <c r="CE83" i="61"/>
  <c r="CE82" i="61"/>
  <c r="CE81" i="61"/>
  <c r="CE80" i="61"/>
  <c r="CE79" i="61"/>
  <c r="CE78" i="61"/>
  <c r="CE77" i="61"/>
  <c r="CE76" i="61"/>
  <c r="CA87" i="61"/>
  <c r="CA86" i="61"/>
  <c r="CA85" i="61"/>
  <c r="CA84" i="61"/>
  <c r="CA83" i="61"/>
  <c r="CA82" i="61"/>
  <c r="CA81" i="61"/>
  <c r="CA80" i="61"/>
  <c r="CA79" i="61"/>
  <c r="CA78" i="61"/>
  <c r="CA77" i="61"/>
  <c r="CA76" i="61"/>
  <c r="BX8" i="61"/>
  <c r="BW87" i="61"/>
  <c r="BW86" i="61"/>
  <c r="BW85" i="61"/>
  <c r="BW84" i="61"/>
  <c r="BW83" i="61"/>
  <c r="BW82" i="61"/>
  <c r="BW81" i="61"/>
  <c r="BW80" i="61"/>
  <c r="BW79" i="61"/>
  <c r="BW78" i="61"/>
  <c r="BW77" i="61"/>
  <c r="BW76" i="61"/>
  <c r="BL8" i="61"/>
  <c r="BO87" i="61"/>
  <c r="BO86" i="61"/>
  <c r="BO85" i="61"/>
  <c r="BO84" i="61"/>
  <c r="BO83" i="61"/>
  <c r="BO82" i="61"/>
  <c r="BO81" i="61"/>
  <c r="BO80" i="61"/>
  <c r="BO79" i="61"/>
  <c r="BO78" i="61"/>
  <c r="BO77" i="61"/>
  <c r="BO76" i="61"/>
  <c r="BK87" i="61"/>
  <c r="BK86" i="61"/>
  <c r="BK85" i="61"/>
  <c r="BK84" i="61"/>
  <c r="BK83" i="61"/>
  <c r="BK82" i="61"/>
  <c r="BK81" i="61"/>
  <c r="BK80" i="61"/>
  <c r="BK79" i="61"/>
  <c r="BK78" i="61"/>
  <c r="BK77" i="61"/>
  <c r="BK76" i="61"/>
  <c r="BG87" i="61"/>
  <c r="BG86" i="61"/>
  <c r="BG85" i="61"/>
  <c r="BG84" i="61"/>
  <c r="BG83" i="61"/>
  <c r="BG82" i="61"/>
  <c r="BG81" i="61"/>
  <c r="BG80" i="61"/>
  <c r="BG79" i="61"/>
  <c r="BG78" i="61"/>
  <c r="BG77" i="61"/>
  <c r="BG76" i="61"/>
  <c r="BC87" i="61"/>
  <c r="BC86" i="61"/>
  <c r="BC85" i="61"/>
  <c r="BC84" i="61"/>
  <c r="BC83" i="61"/>
  <c r="BC82" i="61"/>
  <c r="BC81" i="61"/>
  <c r="BC80" i="61"/>
  <c r="BC79" i="61"/>
  <c r="BC78" i="61"/>
  <c r="BC77" i="61"/>
  <c r="BC76" i="61"/>
  <c r="BH7" i="61"/>
  <c r="BH8" i="61" s="1"/>
  <c r="AZ8" i="61"/>
  <c r="AY87" i="61"/>
  <c r="AY86" i="61"/>
  <c r="AY85" i="61"/>
  <c r="AY84" i="61"/>
  <c r="AY83" i="61"/>
  <c r="AY82" i="61"/>
  <c r="AY81" i="61"/>
  <c r="AY80" i="61"/>
  <c r="AY79" i="61"/>
  <c r="AY78" i="61"/>
  <c r="AY77" i="61"/>
  <c r="AY76" i="61"/>
  <c r="AU87" i="61"/>
  <c r="AU86" i="61"/>
  <c r="AU85" i="61"/>
  <c r="AU84" i="61"/>
  <c r="AU83" i="61"/>
  <c r="AU82" i="61"/>
  <c r="AU81" i="61"/>
  <c r="AU80" i="61"/>
  <c r="AU79" i="61"/>
  <c r="AU78" i="61"/>
  <c r="AU77" i="61"/>
  <c r="AU76" i="61"/>
  <c r="AV8" i="61"/>
  <c r="AR6" i="61"/>
  <c r="AS6" i="61" s="1"/>
  <c r="AT6" i="61" s="1"/>
  <c r="AR8" i="61"/>
  <c r="AQ87" i="61"/>
  <c r="AQ86" i="61"/>
  <c r="AQ85" i="61"/>
  <c r="AQ84" i="61"/>
  <c r="AQ83" i="61"/>
  <c r="AQ82" i="61"/>
  <c r="AQ81" i="61"/>
  <c r="AQ80" i="61"/>
  <c r="AQ79" i="61"/>
  <c r="AQ78" i="61"/>
  <c r="AQ77" i="61"/>
  <c r="AQ76" i="61"/>
  <c r="AN8" i="61"/>
  <c r="AM87" i="61"/>
  <c r="AM86" i="61"/>
  <c r="AM85" i="61"/>
  <c r="AM84" i="61"/>
  <c r="AM83" i="61"/>
  <c r="AM82" i="61"/>
  <c r="AM81" i="61"/>
  <c r="AM80" i="61"/>
  <c r="AM79" i="61"/>
  <c r="AM78" i="61"/>
  <c r="AM77" i="61"/>
  <c r="AM76" i="61"/>
  <c r="C34" i="30" l="1"/>
  <c r="C33" i="30"/>
  <c r="BR8" i="61"/>
  <c r="BQ8" i="61"/>
  <c r="BJ8" i="61"/>
  <c r="BI8" i="61"/>
  <c r="BZ8" i="61"/>
  <c r="BY8" i="61"/>
  <c r="AT8" i="61"/>
  <c r="AS8" i="61"/>
  <c r="BM8" i="61"/>
  <c r="BN8" i="61"/>
  <c r="AW8" i="61"/>
  <c r="AX8" i="61"/>
  <c r="AO8" i="61"/>
  <c r="AP8" i="61"/>
  <c r="BB8" i="61"/>
  <c r="BA8" i="61"/>
  <c r="CH8" i="61"/>
  <c r="CG8" i="61"/>
  <c r="D34" i="30"/>
  <c r="C35" i="30"/>
  <c r="W87" i="61"/>
  <c r="W86" i="61"/>
  <c r="W85" i="61"/>
  <c r="W84" i="61"/>
  <c r="W83" i="61"/>
  <c r="W82" i="61"/>
  <c r="W81" i="61"/>
  <c r="W80" i="61"/>
  <c r="W79" i="61"/>
  <c r="W78" i="61"/>
  <c r="W77" i="61"/>
  <c r="W76" i="61"/>
  <c r="G87" i="61"/>
  <c r="G86" i="61"/>
  <c r="G85" i="61"/>
  <c r="G84" i="61"/>
  <c r="G83" i="61"/>
  <c r="G82" i="61"/>
  <c r="G81" i="61"/>
  <c r="G80" i="61"/>
  <c r="G79" i="61"/>
  <c r="G78" i="61"/>
  <c r="G77" i="61"/>
  <c r="G76" i="61"/>
  <c r="K87" i="61"/>
  <c r="K86" i="61"/>
  <c r="K85" i="61"/>
  <c r="K84" i="61"/>
  <c r="K83" i="61"/>
  <c r="K82" i="61"/>
  <c r="K81" i="61"/>
  <c r="K80" i="61"/>
  <c r="K79" i="61"/>
  <c r="K78" i="61"/>
  <c r="K77" i="61"/>
  <c r="AG24" i="25"/>
  <c r="AG25" i="25"/>
  <c r="AG26" i="25"/>
  <c r="AG27" i="25"/>
  <c r="AG28" i="25"/>
  <c r="AG29" i="25"/>
  <c r="C36" i="30" l="1"/>
  <c r="D35" i="30"/>
  <c r="AF32" i="25"/>
  <c r="AF13" i="25"/>
  <c r="AF14" i="25"/>
  <c r="AF25" i="25" l="1"/>
  <c r="D36" i="30"/>
  <c r="C37" i="30"/>
  <c r="C38" i="30"/>
  <c r="AF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7" i="34" a="1"/>
  <c r="F42" i="34" a="1"/>
  <c r="F24" i="34" a="1"/>
  <c r="F3" i="33"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9" i="61" s="1" a="1"/>
  <c r="CH79" i="61" s="1"/>
  <c r="CC12" i="61"/>
  <c r="CD12" i="61" s="1"/>
  <c r="CD79" i="61" s="1" a="1"/>
  <c r="CD79" i="61" s="1"/>
  <c r="BI12" i="61"/>
  <c r="BJ12" i="61" s="1"/>
  <c r="BJ79" i="61" s="1" a="1"/>
  <c r="BJ79" i="61" s="1"/>
  <c r="AS12" i="61"/>
  <c r="AT12" i="61" s="1"/>
  <c r="U12" i="61"/>
  <c r="V12" i="61" s="1"/>
  <c r="V79" i="61" s="1" a="1"/>
  <c r="V79" i="61" s="1"/>
  <c r="BY12" i="61"/>
  <c r="BZ12" i="61" s="1"/>
  <c r="BM12" i="61"/>
  <c r="BN12" i="61" s="1"/>
  <c r="BN79" i="61" s="1" a="1"/>
  <c r="BN79"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7" i="61" a="1"/>
  <c r="CD77" i="61" a="1"/>
  <c r="CD80" i="61" l="1"/>
  <c r="BN80" i="61"/>
  <c r="AT80" i="61"/>
  <c r="AL8" i="61"/>
  <c r="AK8" i="61"/>
  <c r="BE8" i="61"/>
  <c r="BF8" i="61"/>
  <c r="L18" i="61"/>
  <c r="P18" i="61"/>
  <c r="X18" i="61"/>
  <c r="AB18" i="61"/>
  <c r="AF18" i="61"/>
  <c r="M18" i="61"/>
  <c r="Q18" i="61"/>
  <c r="AG18" i="61"/>
  <c r="Y18" i="61"/>
  <c r="AC18" i="61"/>
  <c r="V80" i="61"/>
  <c r="BB81" i="61"/>
  <c r="BR80" i="61"/>
  <c r="BR103" i="61" s="1"/>
  <c r="BJ80" i="61"/>
  <c r="AX81" i="61"/>
  <c r="AX104" i="61" s="1"/>
  <c r="CW18" i="61"/>
  <c r="CP3" i="61"/>
  <c r="CX3" i="61"/>
  <c r="CV18" i="61"/>
  <c r="CO18" i="61"/>
  <c r="BN81" i="61"/>
  <c r="J103" i="61"/>
  <c r="AP80" i="61"/>
  <c r="AP103" i="61" s="1"/>
  <c r="CN18" i="61"/>
  <c r="AP81" i="61"/>
  <c r="AP104" i="61" s="1"/>
  <c r="BZ81" i="61"/>
  <c r="BZ80" i="61"/>
  <c r="CH80" i="61"/>
  <c r="AX80" i="61"/>
  <c r="AX103" i="61" s="1"/>
  <c r="CH81" i="61"/>
  <c r="BB80" i="61"/>
  <c r="J81" i="61"/>
  <c r="J104" i="61" s="1"/>
  <c r="AT79" i="61" a="1"/>
  <c r="AT79" i="61" s="1"/>
  <c r="AT81" i="61"/>
  <c r="BR79" i="61" a="1"/>
  <c r="BR79" i="61" s="1"/>
  <c r="BR102" i="61" s="1"/>
  <c r="BB82" i="61"/>
  <c r="J111" i="61"/>
  <c r="AX110" i="61"/>
  <c r="J110" i="61"/>
  <c r="AP110" i="61"/>
  <c r="AX111" i="61"/>
  <c r="AP111" i="61"/>
  <c r="CH77" i="61"/>
  <c r="CD77" i="61"/>
  <c r="AP82" i="61"/>
  <c r="AP105" i="61" s="1"/>
  <c r="AX82" i="61"/>
  <c r="AX105" i="61" s="1"/>
  <c r="BR82" i="61"/>
  <c r="BR105" i="61" s="1"/>
  <c r="J82" i="61"/>
  <c r="J105" i="61" s="1"/>
  <c r="AT82" i="61"/>
  <c r="BN82" i="61"/>
  <c r="BZ82" i="61"/>
  <c r="AP83" i="61" a="1"/>
  <c r="AP83" i="61" s="1"/>
  <c r="AP106" i="61" s="1"/>
  <c r="BZ83" i="61" a="1"/>
  <c r="BZ83" i="61" s="1"/>
  <c r="J85" i="61" a="1"/>
  <c r="J85" i="61" s="1"/>
  <c r="AP84" i="61" a="1"/>
  <c r="AP84" i="61" s="1"/>
  <c r="BZ84" i="61" a="1"/>
  <c r="BZ84" i="61" s="1"/>
  <c r="BR64" i="61"/>
  <c r="BR62" i="61"/>
  <c r="BX18" i="61"/>
  <c r="AZ18" i="61"/>
  <c r="AV18" i="61"/>
  <c r="AN18" i="61"/>
  <c r="H18" i="61"/>
  <c r="J84" i="61" a="1"/>
  <c r="J84" i="61" s="1"/>
  <c r="J107" i="61" s="1"/>
  <c r="BZ85" i="61" a="1"/>
  <c r="BZ85" i="61" s="1"/>
  <c r="BY18" i="61"/>
  <c r="BA18" i="61"/>
  <c r="AW18" i="61"/>
  <c r="AO18" i="61"/>
  <c r="I18" i="61"/>
  <c r="CH84" i="61" a="1"/>
  <c r="CH84" i="61" s="1"/>
  <c r="BL18" i="61"/>
  <c r="BM13" i="61"/>
  <c r="BN13" i="61" s="1"/>
  <c r="BN84" i="61" a="1"/>
  <c r="BN84" i="61" s="1"/>
  <c r="BB85" i="61" a="1"/>
  <c r="BB85" i="61" s="1"/>
  <c r="BB84" i="61" a="1"/>
  <c r="BB84" i="61" s="1"/>
  <c r="BB83" i="61" a="1"/>
  <c r="BB83" i="61" s="1"/>
  <c r="AX85" i="61" a="1"/>
  <c r="AX85" i="61" s="1"/>
  <c r="AX84" i="61" a="1"/>
  <c r="AX84" i="61" s="1"/>
  <c r="AX107" i="61" s="1"/>
  <c r="AX83" i="61" a="1"/>
  <c r="AX83" i="61" s="1"/>
  <c r="AX106" i="61" s="1"/>
  <c r="AT85" i="61" a="1"/>
  <c r="AT85" i="61" s="1"/>
  <c r="J83" i="61" a="1"/>
  <c r="J83" i="61" s="1"/>
  <c r="J106" i="61" s="1"/>
  <c r="BE6" i="61"/>
  <c r="BF6" i="61" s="1"/>
  <c r="BI6" i="61"/>
  <c r="BJ6" i="61" s="1"/>
  <c r="BJ81" i="61" s="1"/>
  <c r="AJ7" i="61"/>
  <c r="AK7" i="61" s="1"/>
  <c r="AL7" i="61" s="1"/>
  <c r="T13" i="61"/>
  <c r="U13" i="61" s="1"/>
  <c r="AR13" i="61"/>
  <c r="CC6" i="61"/>
  <c r="CD6" i="61" s="1"/>
  <c r="CD81" i="61" s="1"/>
  <c r="CF13" i="61"/>
  <c r="BZ13" i="61"/>
  <c r="BU12" i="61"/>
  <c r="BV12" i="61" s="1"/>
  <c r="CK12" i="61"/>
  <c r="CL12" i="61" s="1"/>
  <c r="AK12" i="61"/>
  <c r="AL12" i="61" s="1"/>
  <c r="CG7" i="61"/>
  <c r="CH7" i="61" s="1"/>
  <c r="CH82" i="61" s="1"/>
  <c r="AK6" i="61"/>
  <c r="AL6" i="61" s="1"/>
  <c r="U6" i="61"/>
  <c r="V6" i="61" s="1"/>
  <c r="V81" i="61" s="1"/>
  <c r="CB7" i="61"/>
  <c r="BD7" i="61"/>
  <c r="BH13" i="61"/>
  <c r="CD78" i="61" a="1"/>
  <c r="AP107" i="61" l="1"/>
  <c r="J108" i="61"/>
  <c r="AX108" i="61"/>
  <c r="AL82" i="61"/>
  <c r="AL81" i="61"/>
  <c r="AL83" i="61" a="1"/>
  <c r="AL83" i="61" s="1"/>
  <c r="CD78" i="61"/>
  <c r="CB13" i="61"/>
  <c r="CC13" i="61" s="1"/>
  <c r="CB8" i="61"/>
  <c r="CL85" i="61" a="1"/>
  <c r="CL85" i="61" s="1"/>
  <c r="AL84" i="61" a="1"/>
  <c r="AL84" i="61" s="1"/>
  <c r="AL85" i="61" a="1"/>
  <c r="AL85" i="61" s="1"/>
  <c r="BV85" i="61" a="1"/>
  <c r="BV85" i="61" s="1"/>
  <c r="BM18" i="61"/>
  <c r="AJ13" i="61"/>
  <c r="AJ18" i="61" s="1"/>
  <c r="V78" i="61"/>
  <c r="CF18" i="61"/>
  <c r="AS13" i="61"/>
  <c r="AT13" i="61" s="1"/>
  <c r="AR18" i="61"/>
  <c r="U7" i="61"/>
  <c r="V7" i="61" s="1"/>
  <c r="V82" i="61" s="1"/>
  <c r="T8" i="61"/>
  <c r="BH18" i="61"/>
  <c r="BD13" i="61"/>
  <c r="BI13" i="61"/>
  <c r="BJ13" i="61" s="1"/>
  <c r="BJ77" i="61" s="1"/>
  <c r="CG13" i="61"/>
  <c r="V13" i="61"/>
  <c r="V77" i="61" s="1"/>
  <c r="BE12" i="61"/>
  <c r="BF12" i="61" s="1"/>
  <c r="CC7" i="61"/>
  <c r="CD7" i="61" s="1"/>
  <c r="CD82" i="61" s="1"/>
  <c r="BI7" i="61"/>
  <c r="BJ7" i="61" s="1"/>
  <c r="BJ82" i="61" s="1"/>
  <c r="BE7" i="61"/>
  <c r="BF7" i="61" s="1"/>
  <c r="D3" i="31"/>
  <c r="V8" i="61" l="1"/>
  <c r="U8" i="61"/>
  <c r="CC8" i="61"/>
  <c r="CC18" i="61" s="1"/>
  <c r="CD8" i="61"/>
  <c r="BF82" i="61"/>
  <c r="BF81" i="61"/>
  <c r="CB18" i="61"/>
  <c r="V62" i="61"/>
  <c r="AT77" i="61"/>
  <c r="AT62" i="61"/>
  <c r="BJ62" i="61"/>
  <c r="AK13" i="61"/>
  <c r="AL13" i="61" s="1"/>
  <c r="BJ78" i="61"/>
  <c r="BF85" i="61" a="1"/>
  <c r="BF85" i="61" s="1"/>
  <c r="BF83" i="61" a="1"/>
  <c r="BF83" i="61" s="1"/>
  <c r="BF84" i="61" a="1"/>
  <c r="BF84" i="61" s="1"/>
  <c r="CG18" i="61"/>
  <c r="BI18" i="61"/>
  <c r="T18" i="61"/>
  <c r="AS18" i="61"/>
  <c r="CD13" i="61"/>
  <c r="CD62" i="61" s="1"/>
  <c r="BD18" i="61"/>
  <c r="CH13" i="61"/>
  <c r="BE13" i="61"/>
  <c r="AK18" i="61" l="1"/>
  <c r="CD64" i="61"/>
  <c r="CD63" i="61"/>
  <c r="CD65" i="61" s="1"/>
  <c r="AL77" i="61"/>
  <c r="AL62" i="61"/>
  <c r="AT64" i="61"/>
  <c r="AT63" i="61"/>
  <c r="AT65" i="61" s="1"/>
  <c r="CH62" i="61"/>
  <c r="BJ64" i="61"/>
  <c r="BJ63" i="61"/>
  <c r="BJ65" i="61" s="1"/>
  <c r="V63" i="61"/>
  <c r="V65" i="61" s="1"/>
  <c r="V64" i="61"/>
  <c r="U18" i="61"/>
  <c r="BE18" i="61"/>
  <c r="BF13" i="61"/>
  <c r="CH64" i="61" l="1"/>
  <c r="CH63" i="61"/>
  <c r="CH65" i="61" s="1"/>
  <c r="AL64" i="61"/>
  <c r="AL63" i="61"/>
  <c r="AL65" i="61" s="1"/>
  <c r="BF77"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T32" i="25"/>
  <c r="BT13" i="25"/>
  <c r="BT14" i="25"/>
  <c r="BU29" i="25"/>
  <c r="BU28" i="25"/>
  <c r="BU27" i="25"/>
  <c r="BU26" i="25"/>
  <c r="BU25" i="25"/>
  <c r="BU24" i="25"/>
  <c r="BQ29" i="25"/>
  <c r="BQ28" i="25"/>
  <c r="BQ27" i="25"/>
  <c r="BQ26" i="25"/>
  <c r="BQ25" i="25"/>
  <c r="BQ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T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H26" i="25"/>
  <c r="L10" i="8"/>
  <c r="AR10" i="8" s="1"/>
  <c r="BD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AF31" i="14" a="1"/>
  <c r="AD31" i="14" a="1"/>
  <c r="H31" i="14" a="1"/>
  <c r="T30" i="14" a="1"/>
  <c r="H38" i="25" l="1"/>
  <c r="H37" i="25"/>
  <c r="AR27" i="8"/>
  <c r="AF28" i="25"/>
  <c r="AF27" i="25"/>
  <c r="AL10" i="8"/>
  <c r="R10" i="8"/>
  <c r="AF31" i="14"/>
  <c r="AD31" i="14"/>
  <c r="AD10" i="14"/>
  <c r="AF10" i="14"/>
  <c r="H31" i="14"/>
  <c r="J9" i="14"/>
  <c r="J19" i="14" s="1"/>
  <c r="CR5" i="61"/>
  <c r="V9" i="14"/>
  <c r="V19" i="14" s="1"/>
  <c r="CT84" i="61" a="1"/>
  <c r="CT84" i="61" s="1"/>
  <c r="Z28" i="25"/>
  <c r="Z27" i="25"/>
  <c r="F31" i="36"/>
  <c r="H32" i="36"/>
  <c r="H31" i="36"/>
  <c r="F42" i="32"/>
  <c r="F32" i="36"/>
  <c r="F43" i="32"/>
  <c r="P10" i="8"/>
  <c r="AB10" i="8"/>
  <c r="V10" i="8"/>
  <c r="N10" i="8"/>
  <c r="BH25" i="25"/>
  <c r="BH11" i="25"/>
  <c r="BH13" i="25" s="1"/>
  <c r="BH12" i="25"/>
  <c r="BH14" i="25" s="1"/>
  <c r="L9" i="8"/>
  <c r="AR9" i="8" s="1"/>
  <c r="BD25" i="25"/>
  <c r="T30" i="14"/>
  <c r="CL84" i="61" a="1"/>
  <c r="CL84" i="61" s="1"/>
  <c r="BV84" i="61" a="1"/>
  <c r="BV84" i="61" s="1"/>
  <c r="CJ5" i="61"/>
  <c r="BT5" i="61"/>
  <c r="C40" i="60"/>
  <c r="D40" i="60"/>
  <c r="O41" i="60" a="1"/>
  <c r="O41" i="60" s="1"/>
  <c r="P41" i="60" a="1"/>
  <c r="P41" i="60" s="1"/>
  <c r="H9" i="14"/>
  <c r="T9" i="14"/>
  <c r="BD11" i="25"/>
  <c r="H13" i="25"/>
  <c r="H12" i="25"/>
  <c r="C3" i="53"/>
  <c r="C8" i="53" s="1"/>
  <c r="C5" i="53"/>
  <c r="C27" i="53"/>
  <c r="C12" i="53"/>
  <c r="V30" i="14" a="1"/>
  <c r="H30" i="14" a="1"/>
  <c r="J30" i="14" a="1"/>
  <c r="AF30" i="14" a="1"/>
  <c r="T29" i="14" a="1"/>
  <c r="AD30" i="14" a="1"/>
  <c r="H39" i="25" l="1"/>
  <c r="AR20" i="8"/>
  <c r="AR26" i="8"/>
  <c r="R27" i="8"/>
  <c r="N9" i="8"/>
  <c r="R9" i="8"/>
  <c r="AF30" i="14"/>
  <c r="AD30" i="14"/>
  <c r="AD9" i="14"/>
  <c r="AD19" i="14" s="1"/>
  <c r="AF9" i="14"/>
  <c r="J30" i="14"/>
  <c r="H30" i="14"/>
  <c r="V30" i="14"/>
  <c r="CS5" i="61"/>
  <c r="CT5" i="61" s="1"/>
  <c r="CR8" i="61"/>
  <c r="CR13" i="61"/>
  <c r="CS13" i="61" s="1"/>
  <c r="CT13" i="61" s="1"/>
  <c r="BJ17" i="25"/>
  <c r="BH17" i="25"/>
  <c r="P9" i="8"/>
  <c r="AB9" i="8"/>
  <c r="V9" i="8"/>
  <c r="AL9" i="8"/>
  <c r="H26" i="25"/>
  <c r="H25" i="25"/>
  <c r="H14" i="25"/>
  <c r="T29" i="14"/>
  <c r="BT8" i="61"/>
  <c r="BT13" i="61"/>
  <c r="BU13" i="61" s="1"/>
  <c r="BV13" i="61" s="1"/>
  <c r="BU5" i="61"/>
  <c r="BV5" i="61" s="1"/>
  <c r="CJ8" i="61"/>
  <c r="CK5" i="61"/>
  <c r="CL5" i="61" s="1"/>
  <c r="CJ13" i="61"/>
  <c r="CK13" i="61" s="1"/>
  <c r="CL13" i="61" s="1"/>
  <c r="D41" i="60"/>
  <c r="C41" i="60"/>
  <c r="C28" i="53"/>
  <c r="X11" i="14"/>
  <c r="Z11" i="14" s="1"/>
  <c r="X10" i="14"/>
  <c r="Z10" i="14" s="1"/>
  <c r="X9" i="14"/>
  <c r="Z9" i="14" s="1"/>
  <c r="V29" i="14" a="1"/>
  <c r="AF29" i="14" a="1"/>
  <c r="J29" i="14" a="1"/>
  <c r="H29" i="14" a="1"/>
  <c r="Z29" i="14" a="1"/>
  <c r="Z30" i="14" a="1"/>
  <c r="R26" i="8" l="1"/>
  <c r="R20" i="8"/>
  <c r="V29" i="14"/>
  <c r="CS8" i="61"/>
  <c r="CT8" i="61"/>
  <c r="CT80" i="61" s="1"/>
  <c r="BU8" i="61"/>
  <c r="BV8" i="61"/>
  <c r="CK8" i="61"/>
  <c r="CL8" i="61"/>
  <c r="AF29" i="14"/>
  <c r="AF19" i="14"/>
  <c r="J29" i="14"/>
  <c r="H29" i="14"/>
  <c r="CR18" i="61"/>
  <c r="CT83" i="61" a="1"/>
  <c r="CT83" i="61" s="1"/>
  <c r="Z30" i="14"/>
  <c r="Z29" i="14"/>
  <c r="CJ18" i="61"/>
  <c r="BV83" i="61" a="1"/>
  <c r="BV83" i="61" s="1"/>
  <c r="CL83" i="61" a="1"/>
  <c r="CL83" i="61" s="1"/>
  <c r="BT18" i="61"/>
  <c r="F3" i="60"/>
  <c r="AF30" i="8"/>
  <c r="X30" i="14" a="1"/>
  <c r="F26" i="60" a="1"/>
  <c r="AD29" i="14" a="1"/>
  <c r="X29" i="14" a="1"/>
  <c r="AD29" i="14" l="1"/>
  <c r="CS18" i="61"/>
  <c r="CT82" i="61"/>
  <c r="CT81" i="61"/>
  <c r="X29" i="14"/>
  <c r="X30" i="14"/>
  <c r="CL81" i="61"/>
  <c r="CL82" i="61"/>
  <c r="BV81" i="61"/>
  <c r="BV82" i="61"/>
  <c r="CL80" i="61"/>
  <c r="F37" i="60"/>
  <c r="F38" i="60"/>
  <c r="F39" i="60"/>
  <c r="F40" i="60"/>
  <c r="F26" i="60"/>
  <c r="F27" i="60"/>
  <c r="F28" i="60"/>
  <c r="F33" i="60"/>
  <c r="F32" i="60"/>
  <c r="F35" i="60"/>
  <c r="F31" i="60"/>
  <c r="F41" i="60"/>
  <c r="F34" i="60"/>
  <c r="F30" i="60"/>
  <c r="F29" i="60"/>
  <c r="F36" i="60"/>
  <c r="BU18" i="61"/>
  <c r="CK18" i="61"/>
  <c r="F43" i="60"/>
  <c r="F45" i="60"/>
  <c r="F44" i="60"/>
  <c r="F46" i="60"/>
  <c r="C46" i="35"/>
  <c r="G59" i="60" l="1" a="1"/>
  <c r="G59" i="60" s="1"/>
  <c r="F59" i="60" a="1"/>
  <c r="F59" i="60" s="1"/>
  <c r="C44" i="35" l="1" a="1"/>
  <c r="C44" i="35" s="1"/>
  <c r="R37" i="14"/>
  <c r="R32" i="14"/>
  <c r="R4" i="14"/>
  <c r="R6" i="14" s="1"/>
  <c r="R7" i="14" s="1"/>
  <c r="S34" i="14"/>
  <c r="S33" i="14"/>
  <c r="S32" i="14"/>
  <c r="S31" i="14"/>
  <c r="S30" i="14"/>
  <c r="S29" i="14"/>
  <c r="S28" i="14"/>
  <c r="E3" i="15" l="1"/>
  <c r="M29" i="5" l="1"/>
  <c r="L29" i="5"/>
  <c r="K29" i="5" a="1"/>
  <c r="K29" i="5" s="1"/>
  <c r="C43" i="35" l="1" a="1"/>
  <c r="C43" i="35" s="1"/>
  <c r="G43" i="35" s="1" a="1"/>
  <c r="G43" i="35" s="1"/>
  <c r="BD12" i="25"/>
  <c r="G41" i="35" l="1" a="1"/>
  <c r="G41" i="35" s="1"/>
  <c r="L59" i="40"/>
  <c r="C34" i="40"/>
  <c r="C35" i="40"/>
  <c r="C36" i="40"/>
  <c r="C37" i="40"/>
  <c r="C33" i="40"/>
  <c r="C26" i="40"/>
  <c r="C25" i="40"/>
  <c r="Q3" i="9"/>
  <c r="S46" i="9" s="1"/>
  <c r="G3" i="9"/>
  <c r="I46" i="9" s="1"/>
  <c r="F3" i="32" l="1"/>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37" i="24" a="1"/>
  <c r="H37" i="24" a="1"/>
  <c r="J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V26" i="25"/>
  <c r="BV25" i="25"/>
  <c r="N30" i="14" a="1"/>
  <c r="L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P25" i="25" l="1"/>
  <c r="AP32" i="25" l="1"/>
  <c r="AP13" i="25"/>
  <c r="AP14" i="25"/>
  <c r="AQ29" i="25"/>
  <c r="AQ28" i="25"/>
  <c r="AQ27" i="25"/>
  <c r="AQ26" i="25"/>
  <c r="AQ25" i="25"/>
  <c r="AQ24" i="25"/>
  <c r="AP17" i="25" l="1"/>
  <c r="I3" i="21"/>
  <c r="I23" i="21"/>
  <c r="AR32" i="25" l="1"/>
  <c r="AR13" i="25"/>
  <c r="AR12" i="25"/>
  <c r="AS29" i="25"/>
  <c r="AS28" i="25"/>
  <c r="AS27" i="25"/>
  <c r="AS26" i="25"/>
  <c r="AS25" i="25"/>
  <c r="AS24" i="25"/>
  <c r="AR26" i="25" a="1"/>
  <c r="AR26" i="25" l="1"/>
  <c r="AR14" i="25"/>
  <c r="AR27" i="25" s="1"/>
  <c r="AR17" i="25" l="1"/>
  <c r="N27" i="25"/>
  <c r="N25" i="25"/>
  <c r="BW29" i="25"/>
  <c r="BW28" i="25"/>
  <c r="BW27" i="25"/>
  <c r="BW26" i="25"/>
  <c r="BW25" i="25"/>
  <c r="BW24" i="25"/>
  <c r="BM29" i="25"/>
  <c r="BM28" i="25"/>
  <c r="BM27" i="25"/>
  <c r="BM25" i="25"/>
  <c r="BM24" i="25"/>
  <c r="BA29" i="25"/>
  <c r="BA28" i="25"/>
  <c r="BA27" i="25"/>
  <c r="BA26" i="25"/>
  <c r="BA25" i="25"/>
  <c r="BA24" i="25"/>
  <c r="AW29" i="25"/>
  <c r="AW28" i="25"/>
  <c r="AW27" i="25"/>
  <c r="AW26" i="25"/>
  <c r="AW25" i="25"/>
  <c r="AW24" i="25"/>
  <c r="AO29" i="25"/>
  <c r="AO28" i="25"/>
  <c r="AO27" i="25"/>
  <c r="AO26" i="25"/>
  <c r="AO25" i="25"/>
  <c r="AO24" i="25"/>
  <c r="AM29" i="25"/>
  <c r="AM28" i="25"/>
  <c r="AM27" i="25"/>
  <c r="AM26" i="25"/>
  <c r="AM25" i="25"/>
  <c r="AM24" i="25"/>
  <c r="AK29" i="25"/>
  <c r="AK28" i="25"/>
  <c r="AK27" i="25"/>
  <c r="AK26" i="25"/>
  <c r="AK25" i="25"/>
  <c r="AK24" i="25"/>
  <c r="AI29" i="25"/>
  <c r="AI28" i="25"/>
  <c r="AI27" i="25"/>
  <c r="AI26" i="25"/>
  <c r="AI25" i="25"/>
  <c r="AI24" i="25"/>
  <c r="AE29" i="25"/>
  <c r="AE28" i="25"/>
  <c r="AE27" i="25"/>
  <c r="AE26" i="25"/>
  <c r="AE25" i="25"/>
  <c r="AE24" i="25"/>
  <c r="AA29" i="25"/>
  <c r="AA28" i="25"/>
  <c r="AA27" i="25"/>
  <c r="AA26" i="25"/>
  <c r="AA25" i="25"/>
  <c r="AA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AB4" i="14"/>
  <c r="X4" i="14"/>
  <c r="Z4" i="14" s="1"/>
  <c r="T4" i="14"/>
  <c r="P4" i="14"/>
  <c r="N4" i="14"/>
  <c r="L4" i="14"/>
  <c r="H4" i="14"/>
  <c r="F4" i="14"/>
  <c r="AL4" i="8"/>
  <c r="AD4" i="8"/>
  <c r="AB4" i="8"/>
  <c r="X4" i="8"/>
  <c r="Z4" i="8" s="1"/>
  <c r="V4" i="8"/>
  <c r="T4" i="8"/>
  <c r="N4" i="8"/>
  <c r="L4" i="8"/>
  <c r="J4" i="8"/>
  <c r="H4" i="8"/>
  <c r="F4" i="8"/>
  <c r="T3" i="25" l="1"/>
  <c r="T18" i="25" s="1"/>
  <c r="T19" i="25" s="1"/>
  <c r="CD3" i="25"/>
  <c r="CD18" i="25" s="1"/>
  <c r="CD19" i="25" s="1"/>
  <c r="C24" i="78"/>
  <c r="C26" i="78" s="1" a="1"/>
  <c r="C26" i="78" s="1"/>
  <c r="C27" i="78" s="1" a="1"/>
  <c r="C27" i="78" s="1"/>
  <c r="X3" i="25"/>
  <c r="X18" i="25" s="1"/>
  <c r="X19" i="25" s="1"/>
  <c r="V3" i="25"/>
  <c r="V18" i="25" s="1"/>
  <c r="V19" i="25" s="1"/>
  <c r="F3" i="25"/>
  <c r="F18" i="25" s="1"/>
  <c r="F19" i="25" s="1"/>
  <c r="E37" i="72"/>
  <c r="E39" i="72" s="1" a="1"/>
  <c r="E39" i="72" s="1"/>
  <c r="E40" i="72" s="1" a="1"/>
  <c r="E40" i="72" s="1"/>
  <c r="F46" i="26"/>
  <c r="BX3" i="25"/>
  <c r="CB3" i="25"/>
  <c r="CB18" i="25" s="1"/>
  <c r="CB19" i="25" s="1"/>
  <c r="F32" i="73"/>
  <c r="BJ3" i="25"/>
  <c r="BJ18" i="25" s="1"/>
  <c r="BJ19" i="25" s="1"/>
  <c r="G31" i="71"/>
  <c r="G33" i="71" s="1" a="1"/>
  <c r="G33" i="71" s="1"/>
  <c r="G34" i="71" s="1" a="1"/>
  <c r="G34" i="71" s="1"/>
  <c r="I44" i="70"/>
  <c r="AB3" i="25"/>
  <c r="AB18" i="25" s="1"/>
  <c r="AB19" i="25" s="1"/>
  <c r="AD3" i="25"/>
  <c r="BP3" i="25"/>
  <c r="AF3" i="25"/>
  <c r="BD3" i="25"/>
  <c r="F30" i="76" s="1"/>
  <c r="F32" i="76" s="1" a="1"/>
  <c r="F32" i="76" s="1"/>
  <c r="F33" i="76" s="1" a="1"/>
  <c r="F33" i="76" s="1"/>
  <c r="BH3" i="25"/>
  <c r="BH18" i="25" s="1"/>
  <c r="BH19" i="25" s="1"/>
  <c r="E25" i="69"/>
  <c r="E27" i="69" s="1" a="1"/>
  <c r="E27" i="69" s="1"/>
  <c r="E28" i="69" s="1" a="1"/>
  <c r="E28" i="69" s="1"/>
  <c r="BN3" i="25"/>
  <c r="BN18" i="25" s="1"/>
  <c r="BN19" i="25" s="1"/>
  <c r="BT3" i="25"/>
  <c r="BT18" i="25" s="1"/>
  <c r="BT19" i="25" s="1"/>
  <c r="F60" i="68"/>
  <c r="BZ3" i="25"/>
  <c r="BZ18" i="25" s="1"/>
  <c r="BZ19" i="25" s="1"/>
  <c r="BR3" i="25"/>
  <c r="BR18" i="25" s="1"/>
  <c r="BR19" i="25" s="1"/>
  <c r="F37" i="65"/>
  <c r="F39" i="65" s="1" a="1"/>
  <c r="F39" i="65" s="1"/>
  <c r="F40" i="65" s="1" a="1"/>
  <c r="F40" i="65" s="1"/>
  <c r="AT3" i="25"/>
  <c r="AT18" i="25" s="1"/>
  <c r="AT19" i="25" s="1"/>
  <c r="E28" i="64"/>
  <c r="E30" i="64" s="1" a="1"/>
  <c r="E30" i="64" s="1"/>
  <c r="E31" i="64" s="1" a="1"/>
  <c r="E31" i="64" s="1"/>
  <c r="F33" i="62"/>
  <c r="BR3" i="61"/>
  <c r="CH3" i="61"/>
  <c r="CD3" i="61"/>
  <c r="G42" i="35"/>
  <c r="G44" i="35" s="1" a="1"/>
  <c r="G44" i="35" s="1"/>
  <c r="G45" i="35" s="1" a="1"/>
  <c r="G45" i="35" s="1"/>
  <c r="AR3" i="25"/>
  <c r="AR18" i="25" s="1"/>
  <c r="AR19" i="25" s="1"/>
  <c r="AF18" i="25" l="1"/>
  <c r="AF19" i="25" s="1"/>
  <c r="F6" i="14"/>
  <c r="D6" i="14"/>
  <c r="AL6" i="8"/>
  <c r="AD6" i="8"/>
  <c r="AB6" i="8"/>
  <c r="X6" i="8"/>
  <c r="Z6" i="8" s="1"/>
  <c r="V6" i="8"/>
  <c r="T6" i="8"/>
  <c r="N6" i="8"/>
  <c r="L6" i="8"/>
  <c r="J6" i="8"/>
  <c r="H6" i="8"/>
  <c r="F6" i="8"/>
  <c r="D6" i="8"/>
  <c r="C32" i="5"/>
  <c r="D3" i="58"/>
  <c r="I100" i="58"/>
  <c r="I99" i="58"/>
  <c r="I98" i="58"/>
  <c r="I97" i="58"/>
  <c r="I96" i="58"/>
  <c r="I95" i="58"/>
  <c r="I94" i="58"/>
  <c r="CK24" i="25" l="1"/>
  <c r="CR24" i="25"/>
  <c r="CJ24" i="25"/>
  <c r="CN24" i="25"/>
  <c r="CO24" i="25"/>
  <c r="CL24" i="25"/>
  <c r="CF24" i="25"/>
  <c r="CI24" i="25"/>
  <c r="CP24" i="25"/>
  <c r="CQ24" i="25"/>
  <c r="CS24" i="25"/>
  <c r="CM24" i="25"/>
  <c r="CG24" i="25"/>
  <c r="CH24" i="25"/>
  <c r="G49" i="35"/>
  <c r="T24" i="25"/>
  <c r="J17" i="40"/>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V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P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H32" i="25" l="1"/>
  <c r="AH12" i="25"/>
  <c r="AH13" i="25"/>
  <c r="AH26" i="25" a="1"/>
  <c r="AH25" i="25" a="1"/>
  <c r="AH26" i="25" l="1"/>
  <c r="AH25" i="25"/>
  <c r="AH14" i="25"/>
  <c r="AH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X32" i="25" l="1"/>
  <c r="BX14" i="25"/>
  <c r="BX13" i="25"/>
  <c r="BX17" i="25" l="1"/>
  <c r="BX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V32" i="25" l="1"/>
  <c r="BV14" i="25"/>
  <c r="BV13" i="25"/>
  <c r="BV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P32" i="25"/>
  <c r="BP13" i="25"/>
  <c r="BP14" i="25"/>
  <c r="BL32" i="25"/>
  <c r="BL13" i="25"/>
  <c r="BL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P17" i="25"/>
  <c r="BP18" i="25" s="1"/>
  <c r="BL14" i="25"/>
  <c r="BL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Z32" i="25"/>
  <c r="AZ14" i="25"/>
  <c r="AZ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Z17" i="25"/>
  <c r="AZ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V32" i="25"/>
  <c r="AV13" i="25"/>
  <c r="AV14" i="25"/>
  <c r="AN13" i="25"/>
  <c r="AN12" i="25"/>
  <c r="AN32" i="25"/>
  <c r="AL32" i="25"/>
  <c r="AL13" i="25"/>
  <c r="AL12" i="25"/>
  <c r="AJ32" i="25"/>
  <c r="AJ12" i="25"/>
  <c r="AJ13" i="25"/>
  <c r="C25" i="35"/>
  <c r="G24" i="35"/>
  <c r="G5" i="35"/>
  <c r="F23" i="39" l="1"/>
  <c r="C24" i="39" a="1"/>
  <c r="C24" i="39" s="1"/>
  <c r="D24" i="39"/>
  <c r="B9" i="38"/>
  <c r="D8" i="38"/>
  <c r="C8" i="38"/>
  <c r="F37" i="44"/>
  <c r="AP3" i="25"/>
  <c r="AP18" i="25" s="1"/>
  <c r="AP19" i="25" s="1"/>
  <c r="N3" i="25"/>
  <c r="N18" i="25" s="1"/>
  <c r="N19" i="25" s="1"/>
  <c r="AV17" i="25"/>
  <c r="AV18" i="25" s="1"/>
  <c r="C25" i="41"/>
  <c r="K25" i="41" s="1"/>
  <c r="I31" i="41"/>
  <c r="AL14" i="25"/>
  <c r="AL17" i="25" s="1"/>
  <c r="AJ14" i="25"/>
  <c r="AN14" i="25"/>
  <c r="AN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D32" i="25"/>
  <c r="AD14" i="25"/>
  <c r="AD13" i="25"/>
  <c r="C48" i="5"/>
  <c r="F32" i="74" s="1"/>
  <c r="Z32" i="25"/>
  <c r="Z14" i="25"/>
  <c r="Z13" i="25"/>
  <c r="F24" i="39" l="1"/>
  <c r="F31" i="39" s="1"/>
  <c r="C9" i="38"/>
  <c r="D9" i="38"/>
  <c r="AD26" i="25"/>
  <c r="AD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D17" i="25"/>
  <c r="AD18" i="25" s="1"/>
  <c r="AD19" i="25" s="1"/>
  <c r="AJ17" i="25"/>
  <c r="Z17" i="25"/>
  <c r="Z18" i="25" s="1"/>
  <c r="Z19" i="25" s="1"/>
  <c r="C29" i="41"/>
  <c r="K29" i="41" s="1"/>
  <c r="C27" i="41"/>
  <c r="H27" i="41" s="1"/>
  <c r="H31" i="41" s="1"/>
  <c r="C26" i="41"/>
  <c r="F53" i="33" a="1"/>
  <c r="F53" i="33" s="1"/>
  <c r="F64" i="34" a="1"/>
  <c r="F64" i="34" s="1"/>
  <c r="F63" i="34" a="1"/>
  <c r="F63" i="34" s="1"/>
  <c r="C13" i="50" a="1"/>
  <c r="C13" i="50" s="1"/>
  <c r="C15" i="49" a="1"/>
  <c r="C15" i="49" s="1"/>
  <c r="C13" i="48" a="1"/>
  <c r="C13" i="48" s="1"/>
  <c r="AD7" i="8"/>
  <c r="BP19" i="25"/>
  <c r="J20" i="40" a="1"/>
  <c r="J20" i="40" s="1"/>
  <c r="D19" i="25"/>
  <c r="C12" i="39" a="1"/>
  <c r="C12" i="39" s="1"/>
  <c r="H19" i="25"/>
  <c r="AZ19" i="25"/>
  <c r="AB7" i="14"/>
  <c r="B10" i="38"/>
  <c r="F48" i="34"/>
  <c r="F49" i="34"/>
  <c r="C10" i="30"/>
  <c r="C11" i="30" s="1"/>
  <c r="C12" i="30" s="1"/>
  <c r="C13" i="30" s="1"/>
  <c r="D9" i="30"/>
  <c r="I20" i="29" a="1"/>
  <c r="I20" i="29" s="1"/>
  <c r="H22" i="29" s="1" a="1"/>
  <c r="H22" i="29" s="1"/>
  <c r="H22" i="28" a="1"/>
  <c r="H22" i="28" s="1"/>
  <c r="F6" i="32" a="1"/>
  <c r="F57" i="30" a="1"/>
  <c r="AJ30" i="8"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6" i="35"/>
  <c r="G25" i="35" s="1"/>
  <c r="H23" i="29" a="1"/>
  <c r="H23" i="29" s="1"/>
  <c r="I22" i="29" a="1"/>
  <c r="I22" i="29" s="1"/>
  <c r="J22" i="29" s="1" a="1"/>
  <c r="J22" i="29" s="1"/>
  <c r="L22" i="29" a="1"/>
  <c r="L22" i="29" s="1"/>
  <c r="K22" i="29" a="1"/>
  <c r="K22" i="29" s="1"/>
  <c r="I22" i="28" a="1"/>
  <c r="I22" i="28" s="1"/>
  <c r="J22" i="28" s="1" a="1"/>
  <c r="J22" i="28" s="1"/>
  <c r="P22" i="28" s="1" a="1"/>
  <c r="P22" i="28" s="1"/>
  <c r="H23" i="28" a="1"/>
  <c r="H23" i="28" s="1"/>
  <c r="BD32" i="25"/>
  <c r="BD14" i="25"/>
  <c r="BD13" i="25"/>
  <c r="E6" i="64" a="1"/>
  <c r="E36" i="64" a="1"/>
  <c r="E6" i="64" l="1"/>
  <c r="D11" i="38"/>
  <c r="C11" i="38"/>
  <c r="F40" i="32" a="1"/>
  <c r="F40" i="32" s="1"/>
  <c r="E36" i="64"/>
  <c r="K27" i="41"/>
  <c r="K31" i="41"/>
  <c r="BD17" i="25"/>
  <c r="K30" i="41"/>
  <c r="O22" i="28" a="1"/>
  <c r="O22" i="28" s="1"/>
  <c r="K26" i="41"/>
  <c r="N22" i="28" a="1"/>
  <c r="N22" i="28" s="1"/>
  <c r="B12" i="38"/>
  <c r="G26" i="35"/>
  <c r="G23"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BD18" i="25"/>
  <c r="BD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F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F12" i="25"/>
  <c r="BF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F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F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39" i="22" a="1"/>
  <c r="H31" i="22" a="1"/>
  <c r="H6" i="18" a="1"/>
  <c r="H35" i="22" a="1"/>
  <c r="H27" i="22" a="1"/>
  <c r="H47" i="22" a="1"/>
  <c r="H51" i="18" a="1"/>
  <c r="H51" i="22" a="1"/>
  <c r="H23" i="22" a="1"/>
  <c r="H43" i="22" a="1"/>
  <c r="S36" i="9" l="1"/>
  <c r="L30" i="23" a="1"/>
  <c r="L30" i="23" s="1"/>
  <c r="K30" i="23" a="1"/>
  <c r="K30" i="23" s="1"/>
  <c r="J27" i="23"/>
  <c r="N27" i="23" a="1"/>
  <c r="N27" i="23" s="1"/>
  <c r="M27" i="23" a="1"/>
  <c r="M27" i="23" s="1"/>
  <c r="S44"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Z31" i="14" a="1"/>
  <c r="T31" i="14" a="1"/>
  <c r="L29"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F3" i="25"/>
  <c r="E26" i="42"/>
  <c r="I13" i="41"/>
  <c r="R3" i="25"/>
  <c r="AH3" i="25"/>
  <c r="BX19" i="25"/>
  <c r="F37" i="54"/>
  <c r="H41" i="18"/>
  <c r="BV3" i="25"/>
  <c r="F36" i="45"/>
  <c r="F36" i="43"/>
  <c r="BL3" i="25"/>
  <c r="AJ3" i="25"/>
  <c r="AL3" i="25"/>
  <c r="AN3" i="25"/>
  <c r="AV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X31" i="14" a="1"/>
  <c r="F11" i="62" a="1"/>
  <c r="T22" i="25" a="1"/>
  <c r="T22" i="25" l="1"/>
  <c r="F25" i="74"/>
  <c r="F27" i="74" s="1"/>
  <c r="C6" i="74" a="1"/>
  <c r="C6" i="74"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N18" i="25"/>
  <c r="AN19" i="25" s="1"/>
  <c r="F38" i="45"/>
  <c r="F39" i="45" s="1" a="1"/>
  <c r="F39" i="45" s="1"/>
  <c r="R18" i="25"/>
  <c r="R19" i="25" s="1"/>
  <c r="BF18" i="25"/>
  <c r="BF19" i="25" s="1"/>
  <c r="AL18" i="25"/>
  <c r="AL19" i="25" s="1"/>
  <c r="BV18" i="25"/>
  <c r="BV19" i="25" s="1"/>
  <c r="AH18" i="25"/>
  <c r="AH19" i="25" s="1"/>
  <c r="F55" i="34"/>
  <c r="F56" i="34" s="1" a="1"/>
  <c r="F56" i="34" s="1"/>
  <c r="AJ18" i="25"/>
  <c r="AJ19" i="25" s="1"/>
  <c r="BL18" i="25"/>
  <c r="BL19" i="25" s="1"/>
  <c r="I32" i="23"/>
  <c r="H35" i="23"/>
  <c r="C14" i="42"/>
  <c r="B13" i="42"/>
  <c r="C17" i="42"/>
  <c r="C17" i="19"/>
  <c r="C9" i="19"/>
  <c r="C19" i="19"/>
  <c r="C11" i="19"/>
  <c r="C15" i="19"/>
  <c r="C7" i="19"/>
  <c r="C21" i="19"/>
  <c r="C13" i="19"/>
  <c r="C46" i="78" a="1"/>
  <c r="C45" i="78" a="1"/>
  <c r="F15" i="62" a="1"/>
  <c r="F19" i="62" a="1"/>
  <c r="C46" i="78" l="1"/>
  <c r="C45" i="78"/>
  <c r="F33" i="74" a="1"/>
  <c r="F33" i="74" s="1"/>
  <c r="F34" i="74" s="1" a="1"/>
  <c r="F34" i="74" s="1"/>
  <c r="F35" i="74" s="1" a="1"/>
  <c r="F35" i="74" s="1"/>
  <c r="F3" i="74" a="1"/>
  <c r="F3"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E3" i="5" a="1"/>
  <c r="AE3" i="5" s="1"/>
  <c r="AE11" i="5" s="1"/>
  <c r="E5" i="42" a="1"/>
  <c r="F32" i="68" a="1"/>
  <c r="F44" i="68" a="1"/>
  <c r="F23" i="62" a="1"/>
  <c r="F6" i="74" a="1"/>
  <c r="F37" i="68" a="1"/>
  <c r="F27" i="68" a="1"/>
  <c r="F6" i="68" a="1"/>
  <c r="AE9" i="5" l="1"/>
  <c r="F6" i="74"/>
  <c r="F40" i="74" s="1"/>
  <c r="C47" i="78"/>
  <c r="J35" i="23"/>
  <c r="M35" i="23" a="1"/>
  <c r="M35" i="23" s="1"/>
  <c r="N35" i="23" a="1"/>
  <c r="N35" i="23" s="1"/>
  <c r="O32" i="23" a="1"/>
  <c r="O32" i="23" s="1"/>
  <c r="P32" i="23" a="1"/>
  <c r="P32" i="23" s="1"/>
  <c r="K36" i="23" a="1"/>
  <c r="K36" i="23" s="1"/>
  <c r="L36" i="23" a="1"/>
  <c r="L36" i="23" s="1"/>
  <c r="AE10" i="5"/>
  <c r="AE8" i="5"/>
  <c r="AE7" i="5"/>
  <c r="AE23" i="5"/>
  <c r="AE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6" i="19" a="1"/>
  <c r="E36" i="42"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H40" i="23"/>
  <c r="I37" i="23"/>
  <c r="C32" i="23"/>
  <c r="D32" i="23"/>
  <c r="S30" i="9" l="1" a="1"/>
  <c r="S30" i="9" s="1"/>
  <c r="S37" i="9" s="1"/>
  <c r="S38" i="9"/>
  <c r="O36" i="23"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3" i="61"/>
  <c r="J112" i="61"/>
  <c r="AX113" i="61"/>
  <c r="AP113" i="61"/>
  <c r="AX112" i="61"/>
  <c r="AP112"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0" i="31" a="1"/>
  <c r="F26" i="31" a="1"/>
  <c r="F19" i="31" a="1"/>
  <c r="F38" i="31" a="1"/>
  <c r="E6" i="15" a="1"/>
  <c r="F46" i="31" a="1"/>
  <c r="F34" i="31" a="1"/>
  <c r="E14" i="15" l="1"/>
  <c r="E17" i="15"/>
  <c r="E16" i="15"/>
  <c r="F38" i="3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L24" i="3" a="1"/>
  <c r="L24" i="3" s="1"/>
  <c r="N23" i="3" a="1"/>
  <c r="N23" i="3" s="1"/>
  <c r="J34" i="40"/>
  <c r="I40" i="40" s="1"/>
  <c r="E35" i="40"/>
  <c r="M24" i="3" a="1"/>
  <c r="M24" i="3" s="1"/>
  <c r="O23" i="3" a="1"/>
  <c r="O23" i="3" s="1"/>
  <c r="E3" i="51"/>
  <c r="F2" i="36"/>
  <c r="C22" i="28"/>
  <c r="C23" i="28"/>
  <c r="D23" i="28"/>
  <c r="D22" i="28"/>
  <c r="F3" i="23"/>
  <c r="D23" i="7"/>
  <c r="C22" i="7"/>
  <c r="C23" i="7"/>
  <c r="D22" i="7"/>
  <c r="BF18" i="61" a="1"/>
  <c r="BV18" i="61" a="1"/>
  <c r="F25" i="23" a="1"/>
  <c r="BJ18" i="61" a="1"/>
  <c r="CD18" i="61" a="1"/>
  <c r="E6" i="51" a="1"/>
  <c r="BB18" i="61" a="1"/>
  <c r="AH18" i="61" a="1"/>
  <c r="BN18" i="61" a="1"/>
  <c r="F8" i="23" a="1"/>
  <c r="AD18" i="61" a="1"/>
  <c r="F5" i="36" a="1"/>
  <c r="AT18" i="61" a="1"/>
  <c r="AL18" i="61" a="1"/>
  <c r="F30" i="23" a="1"/>
  <c r="CL18" i="61" a="1"/>
  <c r="BN52" i="61" a="1"/>
  <c r="CP18" i="61" a="1"/>
  <c r="R18" i="61" a="1"/>
  <c r="CT18" i="61" a="1"/>
  <c r="CH18" i="61" a="1"/>
  <c r="BZ18" i="61" a="1"/>
  <c r="V18" i="61" a="1"/>
  <c r="AP18" i="61" a="1"/>
  <c r="CX18" i="61" a="1"/>
  <c r="J18" i="61" a="1"/>
  <c r="F35" i="23" a="1"/>
  <c r="AX18" i="61" a="1"/>
  <c r="Z18" i="61" a="1"/>
  <c r="N18" i="61" a="1"/>
  <c r="F40" i="23" a="1"/>
  <c r="K81" i="67" l="1" a="1"/>
  <c r="K81" i="67" s="1"/>
  <c r="K83" i="67" s="1"/>
  <c r="K84" i="67"/>
  <c r="BM57" i="61"/>
  <c r="CL21" i="6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4" i="61"/>
  <c r="R62" i="61"/>
  <c r="R64" i="61"/>
  <c r="N65" i="61"/>
  <c r="N63" i="61"/>
  <c r="AP63" i="61"/>
  <c r="AP65" i="61"/>
  <c r="J64" i="61"/>
  <c r="J62" i="61"/>
  <c r="BZ62" i="61"/>
  <c r="BZ64" i="61"/>
  <c r="CT62" i="61"/>
  <c r="CT64" i="61"/>
  <c r="CL65" i="61"/>
  <c r="CL63" i="61"/>
  <c r="AX63" i="61"/>
  <c r="AX65" i="61"/>
  <c r="AP64" i="61"/>
  <c r="AP62" i="61"/>
  <c r="J114" i="61"/>
  <c r="J40" i="40"/>
  <c r="J46" i="40"/>
  <c r="BV63" i="61"/>
  <c r="BV65" i="61"/>
  <c r="BB65" i="61"/>
  <c r="BB63" i="61"/>
  <c r="CL62" i="61"/>
  <c r="CL64" i="61"/>
  <c r="AX64" i="61"/>
  <c r="AX62" i="61"/>
  <c r="BR81" i="61"/>
  <c r="BR104" i="61" s="1"/>
  <c r="AP114" i="61"/>
  <c r="CT63" i="61"/>
  <c r="CT65" i="61"/>
  <c r="N62" i="61"/>
  <c r="N64" i="61"/>
  <c r="R63" i="61"/>
  <c r="R65" i="61"/>
  <c r="I46" i="40"/>
  <c r="AP3" i="61"/>
  <c r="AH68" i="61"/>
  <c r="AH69" i="61" s="1"/>
  <c r="AD68" i="61"/>
  <c r="AD69" i="61" s="1"/>
  <c r="Z68" i="61"/>
  <c r="Z69" i="61" s="1"/>
  <c r="AX3" i="61"/>
  <c r="CL3" i="61"/>
  <c r="CP68" i="61"/>
  <c r="CP69" i="61" s="1"/>
  <c r="CT3" i="61"/>
  <c r="CX68" i="61"/>
  <c r="CX69" i="61" s="1"/>
  <c r="E36"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0" i="61" a="1"/>
  <c r="BN57" i="61" a="1"/>
  <c r="BN37" i="61" a="1"/>
  <c r="BV71" i="61" l="1"/>
  <c r="CL71" i="61"/>
  <c r="BB71" i="61"/>
  <c r="N71" i="61"/>
  <c r="BZ71" i="61"/>
  <c r="AX71" i="61"/>
  <c r="AP71" i="61"/>
  <c r="J71" i="61"/>
  <c r="CT71" i="61"/>
  <c r="R71" i="61"/>
  <c r="R79" i="61" a="1"/>
  <c r="R79" i="61" s="1"/>
  <c r="N79" i="61" a="1"/>
  <c r="N79" i="61" s="1"/>
  <c r="BV79" i="61" a="1"/>
  <c r="BV79" i="61" s="1"/>
  <c r="L46" i="40"/>
  <c r="BN33" i="61"/>
  <c r="BN32" i="61"/>
  <c r="BN30" i="61"/>
  <c r="BN34" i="61"/>
  <c r="BN31" i="61"/>
  <c r="BN57" i="61"/>
  <c r="BN58" i="61"/>
  <c r="BN59" i="61"/>
  <c r="BN37" i="61"/>
  <c r="BN38" i="61"/>
  <c r="BN39" i="61"/>
  <c r="Z85" i="61" a="1"/>
  <c r="Z85" i="61" s="1"/>
  <c r="AH85" i="61" a="1"/>
  <c r="AH85" i="61" s="1"/>
  <c r="AD85" i="61" a="1"/>
  <c r="AD85" i="61" s="1"/>
  <c r="N67" i="61"/>
  <c r="N66" i="61" s="1"/>
  <c r="C14" i="5"/>
  <c r="G58" i="35" s="1" a="1"/>
  <c r="G58" i="35" s="1"/>
  <c r="E47" i="40"/>
  <c r="L35" i="40"/>
  <c r="F41" i="40"/>
  <c r="F47" i="40"/>
  <c r="R67" i="61"/>
  <c r="CX85" i="61" a="1"/>
  <c r="CX85" i="61" s="1"/>
  <c r="CT67" i="61"/>
  <c r="CT68" i="61" s="1"/>
  <c r="CT79" i="61" a="1"/>
  <c r="CT79" i="61" s="1"/>
  <c r="H29" i="36" a="1"/>
  <c r="H29" i="36" s="1"/>
  <c r="CP85" i="61" a="1"/>
  <c r="CP85" i="61" s="1"/>
  <c r="AL79" i="61" a="1"/>
  <c r="AL79" i="61" s="1"/>
  <c r="AX79" i="61" a="1"/>
  <c r="AX79" i="61" s="1"/>
  <c r="AP79" i="61" a="1"/>
  <c r="AP79" i="61" s="1"/>
  <c r="BF79" i="61" a="1"/>
  <c r="BF79" i="61" s="1"/>
  <c r="CL79" i="61" a="1"/>
  <c r="CL79" i="61" s="1"/>
  <c r="F29" i="36" a="1"/>
  <c r="F29" i="36" s="1"/>
  <c r="BB79" i="61" a="1"/>
  <c r="BB79" i="61" s="1"/>
  <c r="BZ79" i="61" a="1"/>
  <c r="BZ79" i="61" s="1"/>
  <c r="AP115" i="61"/>
  <c r="AX115" i="61"/>
  <c r="J115" i="61"/>
  <c r="AX99" i="61"/>
  <c r="AX98" i="61"/>
  <c r="J98" i="61"/>
  <c r="J99" i="61"/>
  <c r="AP99" i="61"/>
  <c r="AP98" i="61"/>
  <c r="AP67" i="61"/>
  <c r="AP93" i="61" s="1"/>
  <c r="AP117" i="61" s="1"/>
  <c r="BL47" i="61"/>
  <c r="L40" i="40"/>
  <c r="BJ67" i="61"/>
  <c r="CH67" i="61"/>
  <c r="CD67" i="61"/>
  <c r="J67" i="61"/>
  <c r="J93" i="61" s="1"/>
  <c r="J117" i="61" s="1"/>
  <c r="BB67" i="61"/>
  <c r="CH85" i="61" a="1"/>
  <c r="CH85" i="61" s="1"/>
  <c r="BJ85" i="61" a="1"/>
  <c r="BJ85" i="61" s="1"/>
  <c r="D48" i="61"/>
  <c r="BM44" i="61"/>
  <c r="BL44" i="61"/>
  <c r="AT67" i="61"/>
  <c r="V67" i="61"/>
  <c r="BV67" i="61"/>
  <c r="BZ67" i="61"/>
  <c r="BF67" i="61"/>
  <c r="AT84" i="61" a="1"/>
  <c r="AT84" i="61" s="1"/>
  <c r="V85" i="61" a="1"/>
  <c r="V85" i="61" s="1"/>
  <c r="BR13" i="61"/>
  <c r="BQ18" i="61"/>
  <c r="BQ25" i="61"/>
  <c r="BQ23" i="61"/>
  <c r="BQ26" i="61"/>
  <c r="BQ21" i="61"/>
  <c r="BQ24" i="61"/>
  <c r="BQ19" i="61"/>
  <c r="BQ27" i="61"/>
  <c r="BQ20" i="61"/>
  <c r="BQ22" i="61"/>
  <c r="AX67" i="61"/>
  <c r="AX93" i="61" s="1"/>
  <c r="AX117" i="61" s="1"/>
  <c r="AL67" i="61"/>
  <c r="CL67" i="61"/>
  <c r="CD85" i="61" a="1"/>
  <c r="CD85" i="61" s="1"/>
  <c r="E32" i="51"/>
  <c r="F63" i="23" a="1"/>
  <c r="F63" i="23" s="1"/>
  <c r="F64" i="23" a="1"/>
  <c r="F64" i="23" s="1"/>
  <c r="F30" i="32"/>
  <c r="F31" i="32" s="1"/>
  <c r="F32" i="32" s="1" a="1"/>
  <c r="F32" i="32" s="1"/>
  <c r="F57" i="31"/>
  <c r="F58" i="31" s="1"/>
  <c r="F59" i="31" s="1" a="1"/>
  <c r="F59" i="31" s="1"/>
  <c r="BN42" i="61" a="1"/>
  <c r="BR18" i="61" a="1"/>
  <c r="CT69" i="61" l="1"/>
  <c r="CT72" i="61" s="1"/>
  <c r="CT73" i="61"/>
  <c r="K85" i="67"/>
  <c r="E29" i="15"/>
  <c r="AR25" i="8"/>
  <c r="CD24" i="25"/>
  <c r="C35" i="78"/>
  <c r="X24" i="25"/>
  <c r="AP25" i="8"/>
  <c r="R25" i="8"/>
  <c r="V24" i="25"/>
  <c r="Z76" i="61"/>
  <c r="F24" i="25"/>
  <c r="N68" i="61"/>
  <c r="N73" i="61" s="1"/>
  <c r="CT76" i="61"/>
  <c r="F39" i="32"/>
  <c r="X25" i="8"/>
  <c r="H57" i="22"/>
  <c r="AP24" i="25"/>
  <c r="CP76" i="61"/>
  <c r="AL24" i="25"/>
  <c r="M54" i="40"/>
  <c r="E35" i="42"/>
  <c r="AJ24" i="25"/>
  <c r="BP24" i="25"/>
  <c r="G40" i="71"/>
  <c r="AL25" i="8"/>
  <c r="AV24" i="25"/>
  <c r="AB28" i="14"/>
  <c r="D25" i="8"/>
  <c r="H50" i="18"/>
  <c r="F28" i="14"/>
  <c r="F53" i="26"/>
  <c r="O23" i="48"/>
  <c r="AT24" i="25"/>
  <c r="E35" i="64"/>
  <c r="AF28" i="14"/>
  <c r="H25" i="8"/>
  <c r="F45" i="45"/>
  <c r="T28" i="14"/>
  <c r="I22" i="21"/>
  <c r="H24" i="25"/>
  <c r="P25" i="8"/>
  <c r="R28" i="14"/>
  <c r="BB24" i="25"/>
  <c r="AH24" i="25"/>
  <c r="R24" i="25"/>
  <c r="L28" i="14"/>
  <c r="BD24" i="25"/>
  <c r="AJ25" i="8"/>
  <c r="C30" i="52"/>
  <c r="BT24" i="25"/>
  <c r="AB24" i="25"/>
  <c r="J25" i="8"/>
  <c r="L54" i="40"/>
  <c r="Z24" i="25"/>
  <c r="F25" i="8"/>
  <c r="BN24" i="25"/>
  <c r="BR24" i="25"/>
  <c r="F39" i="74"/>
  <c r="BN42" i="61"/>
  <c r="BN43" i="61"/>
  <c r="BN44" i="61"/>
  <c r="F37" i="69"/>
  <c r="E44" i="72"/>
  <c r="AD28" i="14"/>
  <c r="BR21" i="61"/>
  <c r="BR25" i="61"/>
  <c r="BR18" i="61"/>
  <c r="BR22" i="61"/>
  <c r="BR26" i="61"/>
  <c r="BR19" i="61"/>
  <c r="BR23" i="61"/>
  <c r="BR27" i="61"/>
  <c r="BR20" i="61"/>
  <c r="BR24" i="61"/>
  <c r="F42" i="62"/>
  <c r="AB25" i="8"/>
  <c r="N25" i="8"/>
  <c r="AN24" i="25"/>
  <c r="BL24" i="25"/>
  <c r="F62" i="34"/>
  <c r="H28" i="14"/>
  <c r="X28" i="14"/>
  <c r="F20" i="17"/>
  <c r="F45" i="66"/>
  <c r="O3" i="49"/>
  <c r="AZ24" i="25"/>
  <c r="D24" i="25"/>
  <c r="AD25" i="8"/>
  <c r="N24" i="25"/>
  <c r="L24" i="25"/>
  <c r="BZ24" i="25"/>
  <c r="AF25" i="8"/>
  <c r="Z28" i="14"/>
  <c r="E37" i="69"/>
  <c r="AN25" i="8"/>
  <c r="AX24" i="25"/>
  <c r="CX76" i="61"/>
  <c r="BJ24" i="25"/>
  <c r="V28" i="14"/>
  <c r="F65" i="31"/>
  <c r="K89" i="67"/>
  <c r="S43" i="9"/>
  <c r="V25" i="8"/>
  <c r="L25" i="8"/>
  <c r="BV24" i="25"/>
  <c r="BF24" i="25"/>
  <c r="P28" i="14"/>
  <c r="BX24" i="25"/>
  <c r="N28" i="14"/>
  <c r="J24" i="25"/>
  <c r="P24" i="25"/>
  <c r="F28" i="39"/>
  <c r="F52" i="33"/>
  <c r="AD24" i="25"/>
  <c r="P18" i="50"/>
  <c r="C26" i="53"/>
  <c r="D28" i="14"/>
  <c r="F46" i="65"/>
  <c r="AF24" i="25"/>
  <c r="AR24" i="25"/>
  <c r="AH25" i="8"/>
  <c r="BH24" i="25"/>
  <c r="Z25" i="8"/>
  <c r="J28" i="14"/>
  <c r="F48" i="75"/>
  <c r="AD76" i="61"/>
  <c r="AH76" i="61"/>
  <c r="G28" i="39"/>
  <c r="F37" i="76"/>
  <c r="CB24" i="25"/>
  <c r="BR63" i="61"/>
  <c r="AP102" i="61"/>
  <c r="AX102" i="61"/>
  <c r="BR114" i="61"/>
  <c r="R66" i="61"/>
  <c r="R68" i="61"/>
  <c r="CL68" i="61"/>
  <c r="CL73" i="61" s="1"/>
  <c r="BV68" i="61"/>
  <c r="BV73" i="61" s="1"/>
  <c r="J66" i="61"/>
  <c r="J68" i="61"/>
  <c r="AL68" i="61"/>
  <c r="AL69" i="61" s="1"/>
  <c r="AL76" i="61" s="1"/>
  <c r="V68" i="61"/>
  <c r="V69" i="61" s="1"/>
  <c r="V76" i="61" s="1"/>
  <c r="CD68" i="61"/>
  <c r="CD69" i="61" s="1"/>
  <c r="CD76" i="61" s="1"/>
  <c r="CH68" i="61"/>
  <c r="CH69" i="61" s="1"/>
  <c r="CH76" i="61" s="1"/>
  <c r="AP68" i="61"/>
  <c r="AX94" i="61"/>
  <c r="AX97" i="61" s="1"/>
  <c r="AX68" i="61"/>
  <c r="BF68" i="61"/>
  <c r="BF69" i="61" s="1"/>
  <c r="BF76" i="61" s="1"/>
  <c r="AT68" i="61"/>
  <c r="AT69" i="61" s="1"/>
  <c r="AT76" i="61" s="1"/>
  <c r="BJ68" i="61"/>
  <c r="BJ69" i="61" s="1"/>
  <c r="BJ76" i="61" s="1"/>
  <c r="BZ68" i="61"/>
  <c r="BZ73" i="61" s="1"/>
  <c r="BB68" i="61"/>
  <c r="BB73" i="61" s="1"/>
  <c r="L47" i="40"/>
  <c r="BR110" i="61"/>
  <c r="BR112" i="61"/>
  <c r="J94" i="61"/>
  <c r="J97"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7" i="61" a="1"/>
  <c r="BF22" i="25" a="1"/>
  <c r="CH15" i="61" a="1"/>
  <c r="BT22" i="25" a="1"/>
  <c r="F23" i="8" a="1"/>
  <c r="BL22" i="25" a="1"/>
  <c r="BD22" i="25" a="1"/>
  <c r="F25" i="14" a="1"/>
  <c r="AF25" i="14" a="1"/>
  <c r="S40" i="9" a="1"/>
  <c r="BV22" i="25" a="1"/>
  <c r="CB22" i="25" a="1"/>
  <c r="BX22" i="25" a="1"/>
  <c r="AN23" i="8" a="1"/>
  <c r="J25" i="14" a="1"/>
  <c r="AT22" i="25" a="1"/>
  <c r="AJ23" i="8" a="1"/>
  <c r="AB25" i="14" a="1"/>
  <c r="V15" i="61" a="1"/>
  <c r="AD15" i="61" a="1"/>
  <c r="AR23" i="8" a="1"/>
  <c r="AR22" i="25" a="1"/>
  <c r="D46" i="65" a="1"/>
  <c r="AL22" i="25" a="1"/>
  <c r="BF15" i="61" a="1"/>
  <c r="V22" i="25" a="1"/>
  <c r="AH15" i="61" a="1"/>
  <c r="CT15" i="61" a="1"/>
  <c r="C62" i="34" a="1"/>
  <c r="C39" i="32" a="1"/>
  <c r="BN22" i="25" a="1"/>
  <c r="F3" i="21" a="1"/>
  <c r="C31" i="51" a="1"/>
  <c r="L25" i="14" a="1"/>
  <c r="P23" i="8" a="1"/>
  <c r="F18" i="39" a="1"/>
  <c r="AH23" i="8" a="1"/>
  <c r="BH22" i="25" a="1"/>
  <c r="AD23" i="8" a="1"/>
  <c r="X22" i="25" a="1"/>
  <c r="AL15" i="61" a="1"/>
  <c r="BZ22" i="25" a="1"/>
  <c r="AX22" i="25" a="1"/>
  <c r="L23" i="8" a="1"/>
  <c r="BP22" i="25" a="1"/>
  <c r="P22" i="25" a="1"/>
  <c r="BJ15" i="61" a="1"/>
  <c r="AH22" i="25" a="1"/>
  <c r="H22" i="25" a="1"/>
  <c r="CP15" i="61" a="1"/>
  <c r="D48" i="75" a="1"/>
  <c r="Z22" i="25" a="1"/>
  <c r="D37" i="76" a="1"/>
  <c r="D39" i="74" a="1"/>
  <c r="AD25" i="14" a="1"/>
  <c r="Z15" i="61" a="1"/>
  <c r="AP23" i="8" a="1"/>
  <c r="D42" i="62" a="1"/>
  <c r="H23" i="8" a="1"/>
  <c r="X25" i="14" a="1"/>
  <c r="BR22" i="25" a="1"/>
  <c r="R22" i="25" a="1"/>
  <c r="H89" i="67" a="1"/>
  <c r="Z25" i="14" a="1"/>
  <c r="C35" i="42" a="1"/>
  <c r="V25" i="14" a="1"/>
  <c r="N25" i="14" a="1"/>
  <c r="V23" i="8" a="1"/>
  <c r="J22" i="25" a="1"/>
  <c r="C52" i="33" a="1"/>
  <c r="E34" i="69" a="1"/>
  <c r="AF23" i="8" a="1"/>
  <c r="AN22" i="25" a="1"/>
  <c r="P25" i="14" a="1"/>
  <c r="D25" i="14" a="1"/>
  <c r="D23" i="8" a="1"/>
  <c r="N22" i="25" a="1"/>
  <c r="CX15" i="61" a="1"/>
  <c r="AT15" i="61" a="1"/>
  <c r="J23" i="8" a="1"/>
  <c r="AD22" i="25" a="1"/>
  <c r="T25" i="14" a="1"/>
  <c r="R25" i="14" a="1"/>
  <c r="C35" i="64" a="1"/>
  <c r="CD22" i="25" a="1"/>
  <c r="L22" i="25" a="1"/>
  <c r="D65" i="31" a="1"/>
  <c r="AF22" i="25" a="1"/>
  <c r="AP22" i="25" a="1"/>
  <c r="E35" i="78" a="1"/>
  <c r="AL23" i="8" a="1"/>
  <c r="BB22" i="25" a="1"/>
  <c r="AV22" i="25" a="1"/>
  <c r="D22" i="25" a="1"/>
  <c r="AB22" i="25" a="1"/>
  <c r="E40" i="71" a="1"/>
  <c r="F22" i="25" a="1"/>
  <c r="O20" i="48" a="1"/>
  <c r="Z23" i="8" a="1"/>
  <c r="C44" i="72" a="1"/>
  <c r="H25" i="14" a="1"/>
  <c r="CD15" i="61" a="1"/>
  <c r="AJ22" i="25" a="1"/>
  <c r="C62" i="23" a="1"/>
  <c r="AB23" i="8" a="1"/>
  <c r="AZ22" i="25" a="1"/>
  <c r="X23" i="8" a="1"/>
  <c r="R23" i="8" a="1"/>
  <c r="E13" i="22" a="1"/>
  <c r="BJ22" i="25" a="1"/>
  <c r="N23" i="8" a="1"/>
  <c r="AX69" i="61" l="1"/>
  <c r="AX73" i="61"/>
  <c r="R69" i="61"/>
  <c r="R73" i="61"/>
  <c r="AP69" i="61"/>
  <c r="AP73" i="61"/>
  <c r="J69" i="61"/>
  <c r="J73" i="61"/>
  <c r="BB69" i="61"/>
  <c r="BB72" i="61" s="1"/>
  <c r="BZ69" i="61"/>
  <c r="BZ72" i="61" s="1"/>
  <c r="CL69" i="61"/>
  <c r="CL72" i="61" s="1"/>
  <c r="BV69" i="61"/>
  <c r="BV72" i="61" s="1"/>
  <c r="N69" i="61"/>
  <c r="N72" i="61" s="1"/>
  <c r="V22" i="25"/>
  <c r="R23" i="8"/>
  <c r="AP23" i="8"/>
  <c r="X22" i="25"/>
  <c r="E35" i="78"/>
  <c r="CD22" i="25"/>
  <c r="AR23" i="8"/>
  <c r="F22" i="25"/>
  <c r="Z15" i="61"/>
  <c r="C39" i="32"/>
  <c r="CT15" i="61"/>
  <c r="X23" i="8"/>
  <c r="AP22" i="25"/>
  <c r="E13" i="22"/>
  <c r="E40" i="71"/>
  <c r="AB25" i="14"/>
  <c r="BP22" i="25"/>
  <c r="AV22" i="25"/>
  <c r="AJ22" i="25"/>
  <c r="AL22" i="25"/>
  <c r="AL23" i="8"/>
  <c r="C35" i="42"/>
  <c r="CP15" i="61"/>
  <c r="F3" i="21"/>
  <c r="R25" i="14"/>
  <c r="T25" i="14"/>
  <c r="AF25" i="14"/>
  <c r="P23" i="8"/>
  <c r="C35" i="64"/>
  <c r="F25" i="14"/>
  <c r="H22" i="25"/>
  <c r="H23" i="8"/>
  <c r="AT22" i="25"/>
  <c r="O20" i="48"/>
  <c r="D23" i="8"/>
  <c r="BB22" i="25"/>
  <c r="AB22" i="25"/>
  <c r="BD22" i="25"/>
  <c r="BT22" i="25"/>
  <c r="L25" i="14"/>
  <c r="R22" i="25"/>
  <c r="AJ23" i="8"/>
  <c r="AH22" i="25"/>
  <c r="D39" i="74"/>
  <c r="F23" i="8"/>
  <c r="BR22" i="25"/>
  <c r="Z22" i="25"/>
  <c r="BN22" i="25"/>
  <c r="J23" i="8"/>
  <c r="BN48" i="61"/>
  <c r="BN49" i="61"/>
  <c r="BN47" i="61"/>
  <c r="BN63" i="61"/>
  <c r="AD25" i="14"/>
  <c r="C44" i="72"/>
  <c r="BR77" i="61"/>
  <c r="BR100" i="61" s="1"/>
  <c r="BH22" i="25"/>
  <c r="D46" i="65"/>
  <c r="AD22" i="25"/>
  <c r="J22" i="25"/>
  <c r="BF22" i="25"/>
  <c r="S40" i="9"/>
  <c r="O3" i="9" s="1"/>
  <c r="BJ22" i="25"/>
  <c r="E34" i="69"/>
  <c r="L22" i="25"/>
  <c r="AZ22" i="25"/>
  <c r="X25" i="14"/>
  <c r="AN22" i="25"/>
  <c r="D48" i="75"/>
  <c r="AH23" i="8"/>
  <c r="D25" i="14"/>
  <c r="C52" i="33"/>
  <c r="N25" i="14"/>
  <c r="BV22" i="25"/>
  <c r="H89" i="67"/>
  <c r="CX15" i="61"/>
  <c r="Z25" i="14"/>
  <c r="N22" i="25"/>
  <c r="H25" i="14"/>
  <c r="N23" i="8"/>
  <c r="J25" i="14"/>
  <c r="AR22" i="25"/>
  <c r="F18" i="39"/>
  <c r="BX22" i="25"/>
  <c r="L23" i="8"/>
  <c r="D65" i="31"/>
  <c r="AX22" i="25"/>
  <c r="AF23" i="8"/>
  <c r="AD23" i="8"/>
  <c r="C62" i="34"/>
  <c r="AB23" i="8"/>
  <c r="Z23" i="8"/>
  <c r="AF22" i="25"/>
  <c r="P22" i="25"/>
  <c r="P25" i="14"/>
  <c r="V23" i="8"/>
  <c r="V25" i="14"/>
  <c r="AN23" i="8"/>
  <c r="BZ22" i="25"/>
  <c r="D22" i="25"/>
  <c r="BL22" i="25"/>
  <c r="D42" i="62"/>
  <c r="F55" i="75"/>
  <c r="D37" i="76"/>
  <c r="AH15" i="61"/>
  <c r="CB22" i="25"/>
  <c r="AD15" i="61"/>
  <c r="BF15" i="61"/>
  <c r="CH15" i="61"/>
  <c r="CD15" i="61"/>
  <c r="BJ15" i="61"/>
  <c r="V15" i="61"/>
  <c r="AT15" i="61"/>
  <c r="AL15" i="61"/>
  <c r="BN64" i="61"/>
  <c r="BN65" i="61"/>
  <c r="M56" i="40" a="1"/>
  <c r="M56" i="40" s="1"/>
  <c r="F28" i="36"/>
  <c r="H28" i="36"/>
  <c r="L56" i="40" a="1"/>
  <c r="L56" i="40" s="1"/>
  <c r="AP94" i="61"/>
  <c r="AP97" i="61" s="1"/>
  <c r="BR65" i="61"/>
  <c r="C31" i="51"/>
  <c r="BR85" i="61" a="1"/>
  <c r="BR85" i="61" s="1"/>
  <c r="L58" i="40" a="1"/>
  <c r="L58" i="40" s="1"/>
  <c r="C62" i="23"/>
  <c r="BR78" i="61" a="1"/>
  <c r="B28" i="36" a="1"/>
  <c r="L51" i="40" a="1"/>
  <c r="J76" i="61" l="1"/>
  <c r="J72" i="61"/>
  <c r="AP76" i="61"/>
  <c r="AP72" i="61"/>
  <c r="R76" i="61"/>
  <c r="R72" i="61"/>
  <c r="BN71" i="61"/>
  <c r="AX76" i="61"/>
  <c r="AX72" i="61"/>
  <c r="BV76" i="61"/>
  <c r="CL76" i="61"/>
  <c r="BZ76" i="61"/>
  <c r="N76" i="61"/>
  <c r="BB76" i="61"/>
  <c r="BR78" i="61"/>
  <c r="BR101" i="61" s="1"/>
  <c r="BR108" i="61"/>
  <c r="B28" i="36"/>
  <c r="BR67" i="61"/>
  <c r="BR93" i="61" s="1"/>
  <c r="BR117" i="61" s="1"/>
  <c r="BR115" i="61"/>
  <c r="BN83" i="61" a="1"/>
  <c r="BN83" i="61" s="1"/>
  <c r="BN85" i="61" a="1"/>
  <c r="BN85" i="61" s="1"/>
  <c r="BN67" i="61"/>
  <c r="L51" i="40"/>
  <c r="E20" i="15"/>
  <c r="E21" i="15" s="1"/>
  <c r="AX15" i="61" a="1"/>
  <c r="BV15" i="61" a="1"/>
  <c r="BZ15" i="61" a="1"/>
  <c r="BB15" i="61" a="1"/>
  <c r="N15" i="61" a="1"/>
  <c r="CL15" i="61" a="1"/>
  <c r="R15" i="61" a="1"/>
  <c r="AP15" i="61" a="1"/>
  <c r="E22" i="15" l="1" a="1"/>
  <c r="E22" i="15" s="1"/>
  <c r="E28" i="15"/>
  <c r="AX15" i="61"/>
  <c r="AP15" i="61"/>
  <c r="R15" i="61"/>
  <c r="BB15" i="61"/>
  <c r="CL15" i="61"/>
  <c r="BZ15" i="61"/>
  <c r="N15" i="61"/>
  <c r="BV15" i="61"/>
  <c r="BN68" i="61"/>
  <c r="BR94" i="61"/>
  <c r="BR97" i="61" s="1"/>
  <c r="BR68" i="61"/>
  <c r="BR69" i="61" s="1"/>
  <c r="BR76" i="61" s="1"/>
  <c r="BR15" i="61" a="1"/>
  <c r="E35" i="15" l="1"/>
  <c r="E27" i="15"/>
  <c r="BN69" i="61"/>
  <c r="BN73" i="61"/>
  <c r="BR15" i="61"/>
  <c r="E32" i="15" a="1"/>
  <c r="E32" i="15" l="1"/>
  <c r="BN76" i="61"/>
  <c r="BN72" i="61"/>
  <c r="E46" i="19"/>
  <c r="E47" i="19" s="1"/>
  <c r="E48" i="19" s="1" a="1"/>
  <c r="E48" i="19" s="1"/>
  <c r="E54" i="19" s="1"/>
  <c r="G27" i="35"/>
  <c r="G31" i="35" s="1"/>
  <c r="BN15" i="61" a="1"/>
  <c r="C3" i="19" a="1"/>
  <c r="BN15" i="61" l="1"/>
  <c r="C3" i="19"/>
  <c r="C6" i="35"/>
  <c r="C20" i="43" l="1"/>
  <c r="D20" i="43"/>
  <c r="D25" i="43" s="1"/>
  <c r="C21" i="43"/>
  <c r="C22" i="43" l="1"/>
  <c r="C27" i="43" s="1"/>
  <c r="C26" i="43"/>
  <c r="C25" i="43"/>
  <c r="C23" i="43"/>
  <c r="D21" i="43"/>
  <c r="D26" i="43" s="1"/>
  <c r="D23" i="43"/>
  <c r="D22" i="43"/>
  <c r="D27" i="43" s="1"/>
  <c r="D28" i="43" l="1"/>
  <c r="C28" i="43"/>
  <c r="F3" i="43" l="1"/>
  <c r="F11" i="43" a="1"/>
  <c r="F25"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7" i="35"/>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20" i="44" a="1"/>
  <c r="F6" i="44" a="1"/>
  <c r="F15" i="30" a="1"/>
  <c r="F28" i="30" a="1"/>
  <c r="O19" i="55" l="1"/>
  <c r="H29" i="3"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C42" i="55" l="1"/>
  <c r="F3" i="38"/>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8" i="55" a="1"/>
  <c r="O48" i="55" s="1"/>
  <c r="O47" i="55" a="1"/>
  <c r="O47" i="55" s="1"/>
  <c r="O46" i="55" a="1"/>
  <c r="O46" i="55" s="1"/>
  <c r="C23" i="55"/>
  <c r="C24"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5" i="55" l="1"/>
  <c r="C41" i="55"/>
  <c r="F23" i="38"/>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O45" i="55" l="1"/>
  <c r="C40" i="55"/>
  <c r="F37" i="38"/>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C28" i="55" a="1"/>
  <c r="C28" i="55" l="1"/>
  <c r="D28" i="54"/>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F39" i="29" s="1"/>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6" i="29" a="1"/>
  <c r="F22" i="29" a="1"/>
  <c r="F38" i="29" l="1"/>
  <c r="B19" i="57"/>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7" i="29"/>
  <c r="F36" i="29"/>
  <c r="C35" i="3"/>
  <c r="F3" i="28"/>
  <c r="F3" i="7"/>
  <c r="F39" i="7" s="1"/>
  <c r="D35" i="3"/>
  <c r="E18" i="57" a="1"/>
  <c r="E18" i="57" s="1"/>
  <c r="O36" i="3" a="1"/>
  <c r="O36" i="3" s="1"/>
  <c r="P36" i="3" a="1"/>
  <c r="P36" i="3" s="1"/>
  <c r="I28" i="57"/>
  <c r="H29" i="57" s="1"/>
  <c r="M37" i="3" a="1"/>
  <c r="M37" i="3" s="1"/>
  <c r="J37" i="3" a="1"/>
  <c r="J37" i="3" s="1"/>
  <c r="N37" i="3" a="1"/>
  <c r="N37" i="3" s="1"/>
  <c r="F22" i="7" a="1"/>
  <c r="F6" i="28" a="1"/>
  <c r="F22" i="28" a="1"/>
  <c r="F6" i="7" a="1"/>
  <c r="F38" i="7" l="1"/>
  <c r="F51" i="29"/>
  <c r="M38" i="3"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6" i="29" a="1"/>
  <c r="F56" i="29" s="1"/>
  <c r="F55" i="29" a="1"/>
  <c r="F55" i="29" s="1"/>
  <c r="F38" i="28"/>
  <c r="F39" i="28"/>
  <c r="F36" i="28"/>
  <c r="F37" i="28"/>
  <c r="C36" i="3"/>
  <c r="D36" i="3"/>
  <c r="I29" i="57"/>
  <c r="H30" i="57" s="1"/>
  <c r="P37" i="3" a="1"/>
  <c r="P37" i="3" s="1"/>
  <c r="O37" i="3" a="1"/>
  <c r="O37" i="3" s="1"/>
  <c r="F56" i="7" l="1"/>
  <c r="G56" i="7" s="1"/>
  <c r="F51" i="28"/>
  <c r="F57" i="28" a="1"/>
  <c r="F57" i="28" s="1"/>
  <c r="P38" i="3" a="1"/>
  <c r="P38" i="3" s="1"/>
  <c r="O38" i="3" a="1"/>
  <c r="O38" i="3" s="1"/>
  <c r="F61" i="7" a="1"/>
  <c r="F61" i="7" s="1"/>
  <c r="F60" i="7" a="1"/>
  <c r="F60" i="7" s="1"/>
  <c r="F56" i="28" a="1"/>
  <c r="F56" i="28" s="1"/>
  <c r="F42" i="29"/>
  <c r="F43" i="29" s="1"/>
  <c r="D37" i="3"/>
  <c r="C37" i="3"/>
  <c r="I30" i="57"/>
  <c r="H31" i="57" s="1"/>
  <c r="C19" i="57"/>
  <c r="D19" i="57" s="1"/>
  <c r="F19" i="57" s="1"/>
  <c r="F44" i="29" l="1" a="1"/>
  <c r="F44" i="29" s="1"/>
  <c r="F50" i="29"/>
  <c r="B20" i="57"/>
  <c r="A20" i="57"/>
  <c r="F42" i="28"/>
  <c r="F43" i="28" s="1"/>
  <c r="D38" i="3"/>
  <c r="F42" i="7"/>
  <c r="F43" i="7" s="1"/>
  <c r="C38" i="3"/>
  <c r="I31" i="57"/>
  <c r="H32" i="57" s="1"/>
  <c r="E19" i="57" a="1"/>
  <c r="E19" i="57" s="1"/>
  <c r="F44" i="28" l="1" a="1"/>
  <c r="F44" i="28" s="1"/>
  <c r="F50" i="28"/>
  <c r="F54" i="29"/>
  <c r="F49" i="29"/>
  <c r="F44" i="7" a="1"/>
  <c r="F44" i="7" s="1"/>
  <c r="F53" i="7" s="1"/>
  <c r="G53" i="7" s="1"/>
  <c r="F3" i="3"/>
  <c r="I32" i="57"/>
  <c r="H33" i="57" s="1"/>
  <c r="F23" i="3" a="1"/>
  <c r="F6" i="3" a="1"/>
  <c r="C54" i="29" a="1"/>
  <c r="F55" i="28" l="1"/>
  <c r="F49" i="28"/>
  <c r="C54" i="29"/>
  <c r="F50" i="7"/>
  <c r="G50" i="7" s="1"/>
  <c r="F59" i="7"/>
  <c r="F38" i="3"/>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D59" i="7" a="1"/>
  <c r="C55" i="28" a="1"/>
  <c r="C55" i="28" l="1"/>
  <c r="D59" i="7"/>
  <c r="G59" i="7" a="1"/>
  <c r="G59" i="7" s="1"/>
  <c r="O54" i="3"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T95" i="58"/>
  <c r="V95" i="58"/>
  <c r="X95" i="58"/>
  <c r="N95" i="58"/>
  <c r="R95" i="58"/>
  <c r="J95" i="58"/>
  <c r="P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L97" i="58"/>
  <c r="N97" i="58"/>
  <c r="J97" i="58"/>
  <c r="T96" i="58"/>
  <c r="R96" i="58"/>
  <c r="P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T7" i="58" a="1"/>
  <c r="N7" i="58" a="1"/>
  <c r="R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X7" i="58" a="1"/>
  <c r="J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I36" i="9" l="1"/>
  <c r="L66" i="24"/>
  <c r="J70" i="24"/>
  <c r="L67" i="24"/>
  <c r="I44" i="9"/>
  <c r="I28" i="9"/>
  <c r="I29" i="9" s="1"/>
  <c r="I30" i="9" l="1"/>
  <c r="I38" i="9"/>
  <c r="L70" i="24"/>
  <c r="I43" i="9" l="1"/>
  <c r="I37" i="9"/>
  <c r="F49" i="60" a="1"/>
  <c r="F49" i="60" s="1"/>
  <c r="F50" i="60" s="1" a="1"/>
  <c r="F50" i="60" s="1"/>
  <c r="F51" i="60" s="1" a="1"/>
  <c r="F51" i="60" s="1"/>
  <c r="I40" i="9" a="1"/>
  <c r="I40" i="9" l="1"/>
  <c r="E3" i="9" s="1"/>
  <c r="F58" i="60"/>
  <c r="G58" i="60"/>
  <c r="T29" i="8"/>
  <c r="T27" i="8"/>
  <c r="T20" i="8"/>
  <c r="T25" i="8" s="1"/>
  <c r="T28" i="8"/>
  <c r="D58" i="60" a="1"/>
  <c r="T23" i="8" a="1"/>
  <c r="D58" i="60" l="1"/>
  <c r="T23" i="8"/>
  <c r="P11" i="63"/>
  <c r="P12" i="63" s="1"/>
  <c r="B25" i="66"/>
  <c r="B24" i="66" s="1"/>
  <c r="F19" i="66" a="1"/>
  <c r="F20" i="66" a="1"/>
  <c r="F22"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9" i="61" a="1"/>
  <c r="J79" i="61" s="1"/>
  <c r="J102" i="61" l="1"/>
  <c r="J15" i="61" a="1"/>
  <c r="J15" i="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 and spaces start and end.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<sst xmlns="http://schemas.openxmlformats.org/spreadsheetml/2006/main" count="4625" uniqueCount="2781">
  <si>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</si>
  <si>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</si>
  <si>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</si>
  <si>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</si>
  <si>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</si>
  <si>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</si>
  <si>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</si>
  <si>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</si>
  <si>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</si>
  <si>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</si>
  <si>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</si>
  <si>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</si>
  <si>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</si>
  <si>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</si>
  <si>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</si>
  <si>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</si>
  <si>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</si>
  <si>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</si>
  <si>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</si>
  <si>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</si>
  <si>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</si>
  <si>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</si>
  <si>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</si>
  <si>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</si>
  <si>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</si>
  <si>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</si>
  <si>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</si>
  <si>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</si>
  <si>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</si>
  <si>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</si>
  <si>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</si>
  <si>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</si>
  <si>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</si>
  <si>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</si>
  <si>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</si>
  <si>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</si>
  <si>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</si>
  <si>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</si>
  <si>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</si>
  <si>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</si>
  <si>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</si>
  <si>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</si>
  <si>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</si>
  <si>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</si>
  <si>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</si>
  <si>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</si>
  <si>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</si>
  <si>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</si>
  <si>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</si>
  <si>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</si>
  <si>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</si>
  <si>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</si>
  <si>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</si>
  <si>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</si>
  <si>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</si>
  <si>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</si>
  <si>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</si>
  <si>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</si>
  <si>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</si>
  <si>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</si>
  <si>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</si>
  <si>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</si>
  <si>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</si>
  <si>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</si>
  <si>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</si>
  <si>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</si>
  <si>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</si>
  <si>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</si>
  <si>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</si>
  <si>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</si>
  <si>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</si>
  <si>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</si>
  <si>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</si>
  <si>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</si>
  <si>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</si>
  <si>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</si>
  <si>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</si>
  <si>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</si>
  <si>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</si>
  <si>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</si>
  <si>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</si>
  <si>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</si>
  <si>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</si>
  <si>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</si>
  <si>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</si>
  <si>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</si>
  <si>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</si>
  <si>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</si>
  <si>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</si>
  <si>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</si>
  <si>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</si>
  <si>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</si>
  <si>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</si>
  <si>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</si>
  <si>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</si>
  <si>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</si>
  <si>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</si>
  <si>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</si>
  <si>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</si>
  <si>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</si>
  <si>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</si>
  <si>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</si>
  <si>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</si>
  <si>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</si>
  <si>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</si>
  <si>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</si>
  <si>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</si>
  <si>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</si>
  <si>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</si>
  <si>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</si>
  <si>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</si>
  <si>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</si>
  <si>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</si>
  <si>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</si>
  <si>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</si>
  <si>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</si>
  <si>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</si>
  <si>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</si>
  <si>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</si>
  <si>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</si>
  <si>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</si>
  <si>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</si>
  <si>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</si>
  <si>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</si>
  <si>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</si>
  <si>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</si>
  <si>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</si>
  <si>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</si>
  <si>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</si>
  <si>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</si>
  <si>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</si>
  <si>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</si>
  <si>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</si>
  <si>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</si>
  <si>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</si>
  <si>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</si>
  <si>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</si>
  <si>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</si>
  <si>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</si>
  <si>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</si>
  <si>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</si>
  <si>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</si>
  <si>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</si>
  <si>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</si>
  <si>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</si>
  <si>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</si>
  <si>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</si>
  <si>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</si>
  <si>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</si>
  <si>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</si>
  <si>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</si>
  <si>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</si>
  <si>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</si>
  <si>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</si>
  <si>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</si>
  <si>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</si>
  <si>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</si>
  <si>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</si>
  <si>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</si>
  <si>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</si>
  <si>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</si>
  <si>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</si>
  <si>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</si>
  <si>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</si>
  <si>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</si>
  <si>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</si>
  <si>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</si>
  <si>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</si>
  <si>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</si>
  <si>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</si>
  <si>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</si>
  <si>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</si>
  <si>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</si>
  <si>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</si>
  <si>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</si>
  <si>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</si>
  <si>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</si>
  <si>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</si>
  <si>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</si>
  <si>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</si>
  <si>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</si>
  <si>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</si>
  <si>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</si>
  <si>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</si>
  <si>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</si>
  <si>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</si>
  <si>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</si>
  <si>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</si>
  <si>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</si>
  <si>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</si>
  <si>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</si>
  <si>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</si>
  <si>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</si>
  <si>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</si>
  <si>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</si>
  <si>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</si>
  <si>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</si>
  <si>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</si>
  <si>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</si>
  <si>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</si>
  <si>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</si>
  <si>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</si>
  <si>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</si>
  <si>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</si>
  <si>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</si>
  <si>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</si>
  <si>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</si>
  <si>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</si>
  <si>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</si>
  <si>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</si>
  <si>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</si>
  <si>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</si>
  <si>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</si>
  <si>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</si>
  <si>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</si>
  <si>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</si>
  <si>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</si>
  <si>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</si>
  <si>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</si>
  <si>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</si>
  <si>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</si>
  <si>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</si>
  <si>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</si>
  <si>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</si>
  <si>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</si>
  <si>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</si>
  <si>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</si>
  <si>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</si>
  <si>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</si>
  <si>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</si>
  <si>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</si>
  <si>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</si>
  <si>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</si>
  <si>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</si>
  <si>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</si>
  <si>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</si>
  <si>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</si>
  <si>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</si>
  <si>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</si>
  <si>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</si>
  <si>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</si>
  <si>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</si>
  <si>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</si>
  <si>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</si>
  <si>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</si>
  <si>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</si>
  <si>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</si>
  <si>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</si>
  <si>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</si>
  <si>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</si>
  <si>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</si>
  <si>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</si>
  <si>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</si>
  <si>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</si>
  <si>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</si>
  <si>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</si>
  <si>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</si>
  <si>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</si>
  <si>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</si>
  <si>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</si>
  <si>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</si>
  <si>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</si>
  <si>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</si>
  <si>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</si>
  <si>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</si>
  <si>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</si>
  <si>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</si>
  <si>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</si>
  <si>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</si>
  <si>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</si>
  <si>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</si>
  <si>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</si>
  <si>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</si>
  <si>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</si>
  <si>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</si>
  <si>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</si>
  <si>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</si>
  <si>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</si>
  <si>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</si>
  <si>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</si>
  <si>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</si>
  <si>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</si>
  <si>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</si>
  <si>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</si>
  <si>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</si>
  <si>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</si>
  <si>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</si>
  <si>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</si>
  <si>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</si>
  <si>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</si>
  <si>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</si>
  <si>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</si>
  <si>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</si>
  <si>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</si>
  <si>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</si>
  <si>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</si>
  <si>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</si>
  <si>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</si>
  <si>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</si>
  <si>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</si>
  <si>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</si>
  <si>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</si>
  <si>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</si>
  <si>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</si>
  <si>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</si>
  <si>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</si>
  <si>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</si>
  <si>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</si>
  <si>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</si>
  <si>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</si>
  <si>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</si>
  <si>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</si>
  <si>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</si>
  <si>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</si>
  <si>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</si>
  <si>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</si>
  <si>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</si>
  <si>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</si>
  <si>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</si>
  <si>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</si>
  <si>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</si>
  <si>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</si>
  <si>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</si>
  <si>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</si>
  <si>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</si>
  <si>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</si>
  <si>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</si>
  <si>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</si>
  <si>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</si>
  <si>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</si>
  <si>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</si>
  <si>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</si>
  <si>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</si>
  <si>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</si>
  <si>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</si>
  <si>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</si>
  <si>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</si>
  <si>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</si>
  <si>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</si>
  <si>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</si>
  <si>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</si>
  <si>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</si>
  <si>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</si>
  <si>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</si>
  <si>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</si>
  <si>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</si>
  <si>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</si>
  <si>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</si>
  <si>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</si>
  <si>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</si>
  <si>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</si>
  <si>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</si>
  <si>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</si>
  <si>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</si>
  <si>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</si>
  <si>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</si>
  <si>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</si>
  <si>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</si>
  <si>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</si>
  <si>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</si>
  <si>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</si>
  <si>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</si>
  <si>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</si>
  <si>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</si>
  <si>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</si>
  <si>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</si>
  <si>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</si>
  <si>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</si>
  <si>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</si>
  <si>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</si>
  <si>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</si>
  <si>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</si>
  <si>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</si>
  <si>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</si>
  <si>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</si>
  <si>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</si>
  <si>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</si>
  <si>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</si>
  <si>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</si>
  <si>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</si>
  <si>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</si>
  <si>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</si>
  <si>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</si>
  <si>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</si>
  <si>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</si>
  <si>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</si>
  <si>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</si>
  <si>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</si>
  <si>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</si>
  <si>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</si>
  <si>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</si>
  <si>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</si>
  <si>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</si>
  <si>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</si>
  <si>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</si>
  <si>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</si>
  <si>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</si>
  <si>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</si>
  <si>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</si>
  <si>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</si>
  <si>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</si>
  <si>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</si>
  <si>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</si>
  <si>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</si>
  <si>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</si>
  <si>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</si>
  <si>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</si>
  <si>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</si>
  <si>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</si>
  <si>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</si>
  <si>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</si>
  <si>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</si>
  <si>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</si>
  <si>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</si>
  <si>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</si>
  <si>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</si>
  <si>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</si>
  <si>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</si>
  <si>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</si>
  <si>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</si>
  <si>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</si>
  <si>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</si>
  <si>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</si>
  <si>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</si>
  <si>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</si>
  <si>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</si>
  <si>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</si>
  <si>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</si>
  <si>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</si>
  <si>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</si>
  <si>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</si>
  <si>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</si>
  <si>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</si>
  <si>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</si>
  <si>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</si>
  <si>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</si>
  <si>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</si>
  <si>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</si>
  <si>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</si>
  <si>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</si>
  <si>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</si>
  <si>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</si>
  <si>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</si>
  <si>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</si>
  <si>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</si>
  <si>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</si>
  <si>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</si>
  <si>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</si>
  <si>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</si>
  <si>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</si>
  <si>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</si>
  <si>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</si>
  <si>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</si>
  <si>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</si>
  <si>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</si>
  <si>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</si>
  <si>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</si>
  <si>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</si>
  <si>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</si>
  <si>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</si>
  <si>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</si>
  <si>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</si>
  <si>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</si>
  <si>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</si>
  <si>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</si>
  <si>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</si>
  <si>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</si>
  <si>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</si>
  <si>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</si>
  <si>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</si>
  <si>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</si>
  <si>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</si>
  <si>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</si>
  <si>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</si>
  <si>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</si>
  <si>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</si>
  <si>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</si>
  <si>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</si>
  <si>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</si>
  <si>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</si>
  <si>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</si>
  <si>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</si>
  <si>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</si>
  <si>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</si>
  <si>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</si>
  <si>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</si>
  <si>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</si>
  <si>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</si>
  <si>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</si>
  <si>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</si>
  <si>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</si>
  <si>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</si>
  <si>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</si>
  <si>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</si>
  <si>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</si>
  <si>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</si>
  <si>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</si>
  <si>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</si>
  <si>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</si>
  <si>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</si>
  <si>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</si>
  <si>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</si>
  <si>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</si>
  <si>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</si>
  <si>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</si>
  <si>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</si>
  <si>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</si>
  <si>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</si>
  <si>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</si>
  <si>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</si>
  <si>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</si>
  <si>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</si>
  <si>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</si>
  <si>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</si>
  <si>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</si>
  <si>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</si>
  <si>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</si>
  <si>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</si>
  <si>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</si>
  <si>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</si>
  <si>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</si>
  <si>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</si>
  <si>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</si>
  <si>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</si>
  <si>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</si>
  <si>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</si>
  <si>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</si>
  <si>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</si>
  <si>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</si>
  <si>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</si>
  <si>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</si>
  <si>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</si>
  <si>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</si>
  <si>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</si>
  <si>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</si>
  <si>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</si>
  <si>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</si>
  <si>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</si>
  <si>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</si>
  <si>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</si>
  <si>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</si>
  <si>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</si>
  <si>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</si>
  <si>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</si>
  <si>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</si>
  <si>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</si>
  <si>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</si>
  <si>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</si>
  <si>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</si>
  <si>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</si>
  <si>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</si>
  <si>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</si>
  <si>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</si>
  <si>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</si>
  <si>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</si>
  <si>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</si>
  <si>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</si>
  <si>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</si>
  <si>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</si>
  <si>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t>
  </si>
  <si>
    <t>EC.MinX</t>
  </si>
  <si>
    <t>EC.MinY</t>
  </si>
  <si>
    <t>EC.svg</t>
  </si>
  <si>
    <t>EC.MaxX</t>
  </si>
  <si>
    <t>EC.MaxY</t>
  </si>
  <si>
    <t>EC.AreaMultiplier</t>
  </si>
  <si>
    <t>EC.Aspect</t>
  </si>
  <si>
    <t>EC.Height</t>
  </si>
  <si>
    <t>EC.Width</t>
  </si>
  <si>
    <t>EC.DecimalPlaces</t>
  </si>
  <si>
    <t>Export.OutputtedBytes</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</si>
  <si>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</si>
  <si>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</si>
  <si>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</si>
  <si>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</si>
  <si>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</si>
  <si>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</si>
  <si>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</si>
  <si>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</si>
  <si>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</si>
  <si>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</si>
  <si>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</si>
  <si>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</si>
  <si>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</si>
  <si>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</si>
  <si>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</si>
  <si>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</si>
  <si>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</si>
  <si>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</si>
  <si>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</si>
  <si>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</si>
  <si>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</si>
  <si>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</si>
  <si>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</si>
  <si>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</si>
  <si>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</si>
  <si>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</si>
  <si>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</si>
  <si>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</si>
  <si>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</si>
  <si>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</si>
  <si>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</si>
  <si>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</si>
  <si>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</si>
  <si>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</si>
  <si>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</si>
  <si>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</si>
  <si>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</si>
  <si>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</si>
  <si>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</si>
  <si>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</si>
  <si>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</si>
  <si>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</si>
  <si>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</si>
  <si>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</si>
  <si>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</si>
  <si>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</si>
  <si>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</si>
  <si>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</si>
  <si>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</si>
  <si>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</si>
  <si>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</si>
  <si>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</si>
  <si>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</si>
  <si>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</si>
  <si>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</si>
  <si>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</si>
  <si>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</si>
  <si>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</si>
  <si>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</si>
  <si>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</si>
  <si>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</si>
  <si>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</si>
  <si>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</si>
  <si>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</si>
  <si>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</si>
  <si>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</si>
  <si>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</si>
  <si>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</si>
  <si>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</si>
  <si>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</si>
  <si>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</si>
  <si>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</si>
  <si>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</si>
  <si>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</si>
  <si>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</si>
  <si>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</si>
  <si>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</si>
  <si>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</si>
  <si>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</si>
  <si>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</si>
  <si>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</si>
  <si>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</si>
  <si>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</si>
  <si>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</si>
  <si>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</si>
  <si>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</si>
  <si>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</si>
  <si>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</si>
  <si>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</si>
  <si>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</si>
  <si>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</si>
  <si>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</si>
  <si>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</si>
  <si>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</si>
  <si>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</si>
  <si>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</si>
  <si>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</si>
  <si>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</si>
  <si>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</si>
  <si>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</si>
  <si>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</si>
  <si>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</si>
  <si>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</si>
  <si>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</si>
  <si>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</si>
  <si>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</si>
  <si>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</si>
  <si>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</si>
  <si>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</si>
  <si>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</si>
  <si>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</si>
  <si>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</si>
  <si>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</si>
  <si>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</si>
  <si>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</si>
  <si>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</si>
  <si>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</si>
  <si>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</si>
  <si>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</si>
  <si>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</si>
  <si>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</si>
  <si>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</si>
  <si>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</si>
  <si>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</si>
  <si>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</si>
  <si>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</si>
  <si>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</si>
  <si>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</si>
  <si>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</si>
  <si>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</si>
  <si>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</si>
  <si>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</si>
  <si>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</si>
  <si>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</si>
  <si>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</si>
  <si>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</si>
  <si>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</si>
  <si>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</si>
  <si>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</si>
  <si>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</si>
  <si>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</si>
  <si>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</si>
  <si>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</si>
  <si>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</si>
  <si>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</si>
  <si>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</si>
  <si>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</si>
  <si>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</si>
  <si>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</si>
  <si>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</si>
  <si>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</si>
  <si>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</si>
  <si>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</si>
  <si>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</si>
  <si>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</si>
  <si>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</si>
  <si>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</si>
  <si>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</si>
  <si>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</si>
  <si>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</si>
  <si>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</si>
  <si>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</si>
  <si>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</si>
  <si>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</si>
  <si>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</si>
  <si>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</si>
  <si>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</si>
  <si>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</si>
  <si>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</si>
  <si>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</si>
  <si>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</si>
  <si>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</si>
  <si>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</si>
  <si>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</si>
  <si>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</si>
  <si>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</si>
  <si>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</si>
  <si>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</si>
  <si>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</si>
  <si>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</si>
  <si>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</si>
  <si>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</si>
  <si>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</si>
  <si>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</si>
  <si>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</si>
  <si>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</si>
  <si>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</si>
  <si>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</si>
  <si>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</si>
  <si>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</si>
  <si>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</si>
  <si>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</si>
  <si>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</si>
  <si>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</si>
  <si>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</si>
  <si>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</si>
  <si>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</si>
  <si>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</si>
  <si>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</si>
  <si>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</si>
  <si>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</si>
  <si>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</si>
  <si>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</si>
  <si>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</si>
  <si>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</si>
  <si>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</si>
  <si>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</si>
  <si>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</si>
  <si>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</si>
  <si>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</si>
  <si>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</si>
  <si>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</si>
  <si>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</si>
  <si>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</si>
  <si>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</si>
  <si>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</si>
  <si>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</si>
  <si>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</si>
  <si>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</si>
  <si>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</si>
  <si>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</si>
  <si>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</si>
  <si>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</si>
  <si>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</si>
  <si>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</si>
  <si>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</si>
  <si>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</si>
  <si>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</si>
  <si>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</si>
  <si>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</si>
  <si>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</si>
  <si>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</si>
  <si>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</si>
  <si>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</si>
  <si>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</si>
  <si>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</si>
  <si>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</si>
  <si>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</si>
  <si>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</si>
  <si>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</si>
  <si>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</si>
  <si>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</si>
  <si>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</si>
  <si>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</si>
  <si>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</si>
  <si>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</si>
  <si>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</si>
  <si>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</si>
  <si>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</si>
  <si>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</si>
  <si>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</si>
  <si>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</si>
  <si>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</si>
  <si>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</si>
  <si>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</si>
  <si>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</si>
  <si>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</si>
  <si>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</si>
  <si>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</si>
  <si>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</si>
  <si>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</si>
  <si>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</si>
  <si>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</si>
  <si>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</si>
  <si>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</si>
  <si>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</si>
  <si>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</si>
  <si>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</si>
  <si>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</si>
  <si>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</si>
  <si>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</si>
  <si>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</si>
  <si>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</si>
  <si>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</si>
  <si>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</si>
  <si>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</si>
  <si>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</si>
  <si>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</si>
  <si>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</si>
  <si>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</si>
  <si>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</si>
  <si>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</si>
  <si>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</si>
  <si>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</si>
  <si>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</si>
  <si>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</si>
  <si>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</si>
  <si>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</si>
  <si>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</si>
  <si>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</si>
  <si>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</si>
  <si>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</si>
  <si>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</si>
  <si>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</si>
  <si>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</si>
  <si>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</si>
  <si>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</si>
  <si>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</si>
  <si>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</si>
  <si>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</si>
  <si>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</si>
  <si>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</si>
  <si>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</si>
  <si>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</si>
  <si>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</si>
  <si>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</si>
  <si>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</si>
  <si>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</si>
  <si>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</si>
  <si>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</si>
  <si>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</si>
  <si>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</si>
  <si>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</si>
  <si>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</si>
  <si>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</si>
  <si>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</si>
  <si>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</si>
  <si>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</si>
  <si>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</si>
  <si>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</si>
  <si>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</si>
  <si>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</si>
  <si>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</si>
  <si>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</si>
  <si>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</si>
  <si>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</si>
  <si>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</si>
  <si>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</si>
  <si>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</si>
  <si>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</si>
  <si>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</si>
  <si>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</si>
  <si>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</si>
  <si>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</si>
  <si>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</si>
  <si>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</si>
  <si>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</si>
  <si>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</si>
  <si>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</si>
  <si>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</si>
  <si>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</si>
  <si>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</si>
  <si>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</si>
  <si>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</si>
  <si>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</si>
  <si>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</si>
  <si>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</si>
  <si>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</si>
  <si>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</si>
  <si>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</si>
  <si>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</si>
  <si>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</si>
  <si>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</si>
  <si>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</si>
  <si>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</si>
  <si>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</si>
  <si>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</si>
  <si>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</si>
  <si>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</si>
  <si>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</si>
  <si>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</si>
  <si>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</si>
  <si>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</si>
  <si>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</si>
  <si>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</si>
  <si>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</si>
  <si>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</si>
  <si>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</si>
  <si>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</si>
  <si>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</si>
  <si>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</si>
  <si>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</si>
  <si>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</si>
  <si>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</si>
  <si>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</si>
  <si>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</si>
  <si>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</si>
  <si>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</si>
  <si>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</si>
  <si>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</si>
  <si>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</si>
  <si>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</si>
  <si>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</si>
  <si>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</si>
  <si>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</si>
  <si>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</si>
  <si>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</si>
  <si>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</si>
  <si>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</si>
  <si>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</si>
  <si>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</si>
  <si>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</si>
  <si>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</si>
  <si>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</si>
  <si>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</si>
  <si>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</si>
  <si>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</si>
  <si>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</si>
  <si>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</si>
  <si>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</si>
  <si>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</si>
  <si>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</si>
  <si>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</si>
  <si>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</si>
  <si>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</si>
  <si>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</si>
  <si>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</si>
  <si>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</si>
  <si>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</si>
  <si>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</si>
  <si>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</si>
  <si>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</si>
  <si>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</si>
  <si>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</si>
  <si>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</si>
  <si>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</si>
  <si>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</si>
  <si>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</si>
  <si>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</si>
  <si>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</si>
  <si>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</si>
  <si>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</si>
  <si>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</si>
  <si>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</si>
  <si>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</si>
  <si>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</si>
  <si>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</si>
  <si>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</si>
  <si>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</si>
  <si>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</si>
  <si>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</si>
  <si>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</si>
  <si>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</si>
  <si>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</si>
  <si>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</si>
  <si>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</si>
  <si>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</si>
  <si>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</si>
  <si>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</si>
  <si>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</si>
  <si>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</si>
  <si>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</si>
  <si>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</si>
  <si>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</si>
  <si>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</si>
  <si>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</si>
  <si>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</si>
  <si>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</si>
  <si>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</si>
  <si>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</si>
  <si>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</si>
  <si>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</si>
  <si>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</si>
  <si>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</si>
  <si>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</si>
  <si>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</si>
  <si>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</si>
  <si>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</si>
  <si>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</si>
  <si>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</si>
  <si>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</si>
  <si>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</si>
  <si>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</si>
  <si>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</si>
  <si>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</si>
  <si>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</si>
  <si>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</si>
  <si>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</si>
  <si>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</si>
  <si>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</si>
  <si>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</si>
  <si>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</si>
  <si>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</si>
  <si>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</si>
  <si>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</si>
  <si>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</si>
  <si>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</si>
  <si>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</si>
  <si>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</si>
  <si>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</si>
  <si>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</si>
  <si>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</si>
  <si>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</si>
  <si>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</si>
  <si>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</si>
  <si>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</si>
  <si>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</si>
  <si>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</si>
  <si>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</si>
  <si>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</si>
  <si>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</si>
  <si>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</si>
  <si>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</si>
  <si>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</si>
  <si>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</si>
  <si>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</si>
  <si>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</si>
  <si>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</si>
  <si>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</si>
  <si>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</si>
  <si>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</si>
  <si>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</si>
  <si>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</si>
  <si>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</si>
  <si>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</si>
  <si>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</si>
  <si>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</si>
  <si>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</si>
  <si>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</si>
  <si>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</si>
  <si>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</si>
  <si>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</si>
  <si>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</si>
  <si>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</si>
  <si>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</si>
  <si>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</si>
  <si>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</si>
  <si>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</si>
  <si>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</si>
  <si>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</si>
  <si>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</si>
  <si>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</si>
  <si>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</si>
  <si>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</si>
  <si>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</si>
  <si>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</si>
  <si>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</si>
  <si>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</si>
  <si>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</si>
  <si>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</si>
  <si>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</si>
  <si>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</si>
  <si>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</si>
  <si>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</si>
  <si>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</si>
  <si>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</si>
  <si>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</si>
  <si>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</si>
  <si>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</si>
  <si>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</si>
  <si>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</si>
  <si>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</si>
  <si>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</si>
  <si>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</si>
  <si>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</si>
  <si>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</si>
  <si>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</si>
  <si>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</si>
  <si>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</si>
  <si>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</si>
  <si>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</si>
  <si>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</si>
  <si>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</si>
  <si>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</si>
  <si>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</si>
  <si>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</si>
  <si>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</si>
  <si>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</si>
  <si>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</si>
  <si>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</si>
  <si>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</si>
  <si>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</si>
  <si>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</si>
  <si>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</si>
  <si>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</si>
  <si>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</si>
  <si>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</si>
  <si>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</si>
  <si>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</si>
  <si>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</si>
  <si>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</si>
  <si>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</si>
  <si>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</si>
  <si>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</si>
  <si>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</si>
  <si>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</si>
  <si>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</si>
  <si>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</si>
  <si>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</si>
  <si>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</si>
  <si>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</si>
  <si>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</si>
  <si>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</si>
  <si>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</si>
  <si>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</si>
  <si>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</si>
  <si>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</si>
  <si>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</si>
  <si>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</si>
  <si>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</si>
  <si>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</si>
  <si>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</si>
  <si>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</si>
  <si>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</si>
  <si>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</si>
  <si>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</si>
  <si>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</si>
  <si>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</si>
  <si>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</si>
  <si>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</si>
  <si>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</si>
  <si>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</si>
  <si>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</si>
  <si>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</si>
  <si>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</si>
  <si>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</si>
  <si>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</si>
  <si>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</si>
  <si>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</si>
  <si>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</si>
  <si>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</si>
  <si>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</si>
  <si>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</si>
  <si>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</si>
  <si>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</si>
  <si>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</si>
  <si>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</si>
  <si>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</si>
  <si>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</si>
  <si>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</si>
  <si>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</si>
  <si>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</si>
  <si>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</si>
  <si>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</si>
  <si>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</si>
  <si>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</si>
  <si>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</si>
  <si>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</si>
  <si>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</si>
  <si>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</si>
  <si>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</si>
  <si>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</si>
  <si>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</si>
  <si>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</si>
  <si>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</si>
  <si>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</si>
  <si>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</si>
  <si>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</si>
  <si>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</si>
  <si>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</si>
  <si>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</si>
  <si>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</si>
  <si>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</si>
  <si>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</si>
  <si>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</si>
  <si>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</si>
  <si>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</si>
  <si>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</si>
  <si>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</si>
  <si>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</si>
  <si>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</si>
  <si>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</si>
  <si>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</si>
  <si>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</si>
  <si>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</si>
  <si>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</si>
  <si>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</si>
  <si>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</si>
  <si>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</si>
  <si>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</si>
  <si>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</si>
  <si>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</si>
  <si>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</si>
  <si>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</si>
  <si>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</si>
  <si>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</si>
  <si>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</si>
  <si>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</si>
  <si>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</si>
  <si>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</si>
  <si>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</si>
  <si>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</si>
  <si>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</si>
  <si>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</si>
  <si>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</si>
  <si>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</si>
  <si>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</si>
  <si>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</si>
  <si>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</si>
  <si>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</si>
  <si>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</si>
  <si>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</si>
  <si>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</si>
  <si>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</si>
  <si>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</si>
  <si>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</si>
  <si>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</si>
  <si>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</si>
  <si>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</si>
  <si>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</si>
  <si>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</si>
  <si>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</si>
  <si>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</si>
  <si>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</si>
  <si>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</si>
  <si>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</si>
  <si>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</si>
  <si>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</si>
  <si>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</si>
  <si>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</si>
  <si>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</si>
  <si>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</si>
  <si>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</si>
  <si>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</si>
  <si>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</si>
  <si>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</si>
  <si>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</si>
  <si>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</si>
  <si>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</si>
  <si>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</si>
  <si>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</si>
  <si>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</si>
  <si>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</si>
  <si>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</si>
  <si>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</si>
  <si>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</si>
  <si>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</si>
  <si>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</si>
  <si>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</si>
  <si>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</si>
  <si>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</si>
  <si>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</si>
  <si>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</si>
  <si>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</si>
  <si>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</si>
  <si>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</si>
  <si>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</si>
  <si>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</si>
  <si>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</si>
  <si>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</si>
  <si>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</si>
  <si>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</si>
  <si>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</si>
  <si>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</si>
  <si>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</si>
  <si>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</si>
  <si>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</si>
  <si>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</si>
  <si>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</si>
  <si>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</si>
  <si>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</si>
  <si>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</si>
  <si>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</si>
  <si>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</si>
  <si>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</si>
  <si>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</si>
  <si>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</si>
  <si>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</si>
  <si>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</si>
  <si>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</si>
  <si>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</si>
  <si>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</si>
  <si>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</si>
  <si>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</si>
  <si>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</si>
  <si>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</si>
  <si>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</si>
  <si>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</si>
  <si>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</si>
  <si>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</si>
  <si>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</si>
  <si>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</si>
  <si>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</si>
  <si>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</si>
  <si>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</si>
  <si>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</si>
  <si>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</si>
  <si>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</si>
  <si>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</si>
  <si>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</si>
  <si>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</si>
  <si>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</si>
  <si>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</si>
  <si>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</si>
  <si>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</si>
  <si>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</si>
  <si>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</si>
  <si>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</si>
  <si>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</si>
  <si>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</si>
  <si>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</si>
  <si>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</si>
  <si>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</si>
  <si>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</si>
  <si>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</si>
  <si>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</si>
  <si>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</si>
  <si>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</si>
  <si>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</si>
  <si>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</si>
  <si>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</si>
  <si>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</si>
  <si>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</si>
  <si>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</si>
  <si>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</si>
  <si>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</si>
  <si>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</si>
  <si>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</si>
  <si>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</si>
  <si>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</si>
  <si>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</si>
  <si>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</si>
  <si>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</si>
  <si>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</si>
  <si>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</si>
  <si>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</si>
  <si>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</si>
  <si>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</si>
  <si>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</si>
  <si>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</si>
  <si>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</si>
  <si>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</si>
  <si>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</si>
  <si>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</si>
  <si>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</si>
  <si>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</si>
  <si>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</si>
  <si>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</si>
  <si>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</si>
  <si>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</si>
  <si>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</si>
  <si>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</si>
  <si>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</si>
  <si>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</si>
  <si>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</si>
  <si>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</si>
  <si>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</si>
  <si>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</si>
  <si>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</si>
  <si>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</si>
  <si>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</si>
  <si>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</si>
  <si>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</si>
  <si>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</si>
  <si>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</si>
  <si>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</si>
  <si>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</si>
  <si>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</si>
  <si>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</si>
  <si>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</si>
  <si>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</si>
  <si>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</si>
  <si>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</si>
  <si>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</si>
  <si>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</si>
  <si>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</si>
  <si>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</si>
  <si>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</si>
  <si>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</si>
  <si>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</si>
  <si>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</si>
  <si>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</si>
  <si>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</si>
  <si>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</si>
  <si>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</si>
  <si>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</si>
  <si>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</si>
  <si>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</si>
  <si>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</si>
  <si>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</si>
  <si>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</si>
  <si>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</si>
  <si>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</si>
  <si>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</si>
  <si>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</si>
  <si>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</si>
  <si>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</si>
  <si>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</si>
  <si>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</si>
  <si>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</si>
  <si>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</si>
  <si>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</si>
  <si>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</si>
  <si>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</si>
  <si>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</si>
  <si>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</si>
  <si>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</si>
  <si>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</si>
  <si>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</si>
  <si>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</si>
  <si>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</si>
  <si>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</si>
  <si>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</si>
  <si>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</si>
  <si>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</si>
  <si>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</si>
  <si>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</si>
  <si>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</si>
  <si>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</si>
  <si>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</si>
  <si>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</si>
  <si>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</si>
  <si>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</si>
  <si>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</si>
  <si>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</si>
  <si>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</si>
  <si>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</si>
  <si>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</si>
  <si>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</si>
  <si>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</si>
  <si>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</si>
  <si>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</si>
  <si>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</si>
  <si>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</si>
  <si>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</si>
  <si>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</si>
  <si>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</si>
  <si>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</si>
  <si>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</si>
  <si>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</si>
  <si>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</si>
  <si>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</si>
  <si>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</si>
  <si>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</si>
  <si>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</si>
  <si>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</si>
  <si>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</si>
  <si>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</si>
  <si>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</si>
  <si>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</si>
  <si>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</si>
  <si>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</si>
  <si>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</si>
  <si>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</si>
  <si>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</si>
  <si>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</si>
  <si>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</si>
  <si>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</si>
  <si>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</si>
  <si>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</si>
  <si>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</si>
  <si>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</si>
  <si>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</si>
  <si>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</si>
  <si>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</si>
  <si>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</si>
  <si>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</si>
  <si>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</si>
  <si>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</si>
  <si>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</si>
  <si>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</si>
  <si>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</si>
  <si>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</si>
  <si>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</si>
  <si>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</si>
  <si>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</si>
  <si>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</si>
  <si>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</si>
  <si>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</si>
  <si>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</si>
  <si>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</si>
  <si>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</si>
  <si>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</si>
  <si>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</si>
  <si>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</si>
  <si>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</si>
  <si>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</si>
  <si>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</si>
  <si>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</si>
  <si>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</si>
  <si>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</si>
  <si>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</si>
  <si>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</si>
  <si>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</si>
  <si>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</si>
  <si>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</si>
  <si>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</si>
  <si>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</si>
  <si>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</si>
  <si>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</si>
  <si>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</si>
  <si>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</si>
  <si>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</si>
  <si>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</si>
  <si>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</si>
  <si>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</si>
  <si>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</si>
  <si>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</si>
  <si>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</si>
  <si>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</si>
  <si>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</si>
  <si>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</si>
  <si>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</si>
  <si>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</si>
  <si>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</si>
  <si>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</si>
  <si>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</si>
  <si>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</si>
  <si>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</si>
  <si>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</si>
  <si>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</si>
  <si>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</si>
  <si>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</si>
  <si>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</si>
  <si>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</si>
  <si>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</si>
  <si>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</si>
  <si>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</si>
  <si>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</si>
  <si>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</si>
  <si>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</si>
  <si>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</si>
  <si>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</si>
  <si>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</si>
  <si>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</si>
  <si>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</si>
  <si>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</si>
  <si>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</si>
  <si>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</si>
  <si>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</si>
  <si>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</si>
  <si>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</si>
  <si>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</si>
  <si>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</si>
  <si>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</si>
  <si>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</si>
  <si>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</si>
  <si>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</si>
  <si>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</si>
  <si>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</si>
  <si>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</si>
  <si>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</si>
  <si>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</si>
  <si>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</si>
  <si>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</si>
  <si>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</si>
  <si>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</si>
  <si>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</si>
  <si>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</si>
  <si>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</si>
  <si>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</si>
  <si>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</si>
  <si>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</si>
  <si>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</si>
  <si>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</si>
  <si>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</si>
  <si>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</si>
  <si>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</si>
  <si>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</si>
  <si>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</si>
  <si>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</si>
  <si>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</si>
  <si>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</si>
  <si>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</si>
  <si>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</si>
  <si>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</si>
  <si>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</si>
  <si>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</si>
  <si>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</si>
  <si>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</si>
  <si>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</si>
  <si>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</si>
  <si>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</si>
  <si>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</si>
  <si>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</si>
  <si>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</si>
  <si>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</si>
  <si>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</si>
  <si>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</si>
  <si>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</si>
  <si>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</si>
  <si>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</si>
  <si>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</si>
  <si>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</si>
  <si>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</si>
  <si>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</si>
  <si>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</si>
  <si>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</si>
  <si>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</si>
  <si>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</si>
  <si>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</si>
  <si>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</si>
  <si>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</si>
  <si>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</si>
  <si>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</si>
  <si>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</si>
  <si>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</si>
  <si>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</si>
  <si>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</si>
  <si>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</si>
  <si>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</si>
  <si>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</si>
  <si>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</si>
  <si>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</si>
  <si>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</si>
  <si>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</si>
  <si>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</si>
  <si>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</si>
  <si>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</si>
  <si>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</si>
  <si>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</si>
  <si>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</si>
  <si>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</si>
  <si>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</si>
  <si>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</si>
  <si>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</si>
  <si>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</si>
  <si>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</si>
  <si>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</si>
  <si>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</si>
  <si>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</si>
  <si>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</si>
  <si>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</si>
  <si>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</si>
  <si>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</si>
  <si>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</si>
  <si>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</si>
  <si>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</si>
  <si>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</si>
  <si>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</si>
  <si>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</si>
  <si>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</si>
  <si>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</si>
  <si>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</si>
  <si>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</si>
  <si>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</si>
  <si>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</si>
  <si>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</si>
  <si>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</si>
  <si>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</si>
  <si>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</si>
  <si>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</si>
  <si>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</si>
  <si>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</si>
  <si>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</si>
  <si>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</si>
  <si>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</si>
  <si>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</si>
  <si>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</si>
  <si>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</si>
  <si>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</si>
  <si>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</si>
  <si>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</si>
  <si>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</si>
  <si>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</si>
  <si>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</si>
  <si>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</si>
  <si>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</si>
  <si>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</si>
  <si>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</si>
  <si>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</si>
  <si>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</si>
  <si>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</si>
  <si>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</si>
  <si>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</si>
  <si>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</si>
  <si>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</si>
  <si>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</si>
  <si>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</si>
  <si>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</si>
  <si>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</si>
  <si>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</si>
  <si>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</si>
  <si>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</si>
  <si>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</si>
  <si>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</si>
  <si>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</si>
  <si>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</si>
  <si>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</si>
  <si>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</si>
  <si>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</si>
  <si>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</si>
  <si>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</si>
  <si>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</si>
  <si>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</si>
  <si>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</si>
  <si>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</si>
  <si>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</si>
  <si>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</si>
  <si>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</si>
  <si>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</si>
  <si>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</si>
  <si>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</si>
  <si>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</si>
  <si>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</si>
  <si>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</si>
  <si>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</si>
  <si>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</si>
  <si>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</si>
  <si>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</si>
  <si>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</si>
  <si>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</si>
  <si>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</si>
  <si>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</si>
  <si>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</si>
  <si>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</si>
  <si>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</si>
  <si>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</si>
  <si>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</si>
  <si>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</si>
  <si>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</si>
  <si>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</si>
  <si>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</si>
  <si>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</si>
  <si>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</si>
  <si>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</si>
  <si>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</si>
  <si>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</si>
  <si>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</si>
  <si>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</si>
  <si>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</si>
  <si>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</si>
  <si>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</si>
  <si>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</si>
  <si>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</si>
  <si>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</si>
  <si>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</si>
  <si>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</si>
  <si>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</si>
  <si>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</si>
  <si>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</si>
  <si>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</si>
  <si>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</si>
  <si>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</si>
  <si>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</si>
  <si>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</si>
  <si>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</si>
  <si>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</si>
  <si>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</si>
  <si>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</si>
  <si>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</si>
  <si>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</si>
  <si>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</si>
  <si>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</si>
  <si>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</si>
  <si>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</si>
  <si>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</si>
  <si>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</si>
  <si>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</si>
  <si>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</si>
  <si>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</si>
  <si>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</si>
  <si>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</si>
  <si>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</si>
  <si>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</si>
  <si>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</si>
  <si>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</si>
  <si>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</si>
  <si>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</si>
  <si>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</si>
  <si>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</si>
  <si>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</si>
  <si>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</si>
  <si>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</si>
  <si>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</si>
  <si>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</si>
  <si>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</si>
  <si>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</si>
  <si>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</si>
  <si>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</si>
  <si>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</si>
  <si>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</si>
  <si>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</si>
  <si>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</si>
  <si>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</si>
  <si>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</si>
  <si>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</si>
  <si>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</si>
  <si>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</si>
  <si>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</si>
  <si>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</si>
  <si>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</si>
  <si>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</si>
  <si>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</si>
  <si>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</si>
  <si>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</si>
  <si>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</si>
  <si>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</si>
  <si>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</si>
  <si>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</si>
  <si>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</si>
  <si>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</si>
  <si>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</si>
  <si>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</si>
  <si>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</si>
  <si>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</si>
  <si>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</si>
  <si>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</si>
  <si>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</si>
  <si>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</si>
  <si>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</si>
  <si>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</si>
  <si>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</si>
  <si>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</si>
  <si>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</si>
  <si>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</si>
  <si>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</si>
  <si>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</si>
  <si>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</si>
  <si>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</si>
  <si>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</si>
  <si>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</si>
  <si>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</si>
  <si>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</si>
  <si>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</si>
  <si>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</si>
  <si>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</si>
  <si>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</si>
  <si>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</si>
  <si>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</si>
  <si>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</si>
  <si>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</si>
  <si>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</si>
  <si>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</si>
  <si>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</si>
  <si>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</si>
  <si>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</si>
  <si>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</si>
  <si>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</si>
  <si>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</si>
  <si>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</si>
  <si>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</si>
  <si>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</si>
  <si>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</si>
  <si>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</si>
  <si>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</si>
  <si>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</si>
  <si>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</si>
  <si>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</si>
  <si>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</si>
  <si>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</si>
  <si>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</si>
  <si>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</si>
  <si>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</si>
  <si>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</si>
  <si>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</si>
  <si>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</si>
  <si>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</si>
  <si>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</si>
  <si>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</si>
  <si>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</si>
  <si>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</si>
  <si>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</si>
  <si>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</si>
  <si>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</si>
  <si>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</si>
  <si>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</si>
  <si>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</si>
  <si>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</si>
  <si>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</si>
  <si>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</si>
  <si>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</si>
  <si>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</si>
  <si>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</si>
  <si>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</si>
  <si>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</si>
  <si>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</si>
  <si>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</si>
  <si>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</si>
  <si>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</si>
  <si>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</si>
  <si>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</si>
  <si>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</si>
  <si>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</si>
  <si>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</si>
  <si>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</si>
  <si>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</si>
  <si>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</si>
  <si>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</si>
  <si>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</si>
  <si>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</si>
  <si>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</si>
  <si>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</si>
  <si>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</si>
  <si>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</si>
  <si>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</si>
  <si>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</si>
  <si>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</si>
  <si>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</si>
  <si>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</si>
  <si>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</si>
  <si>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</si>
  <si>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</si>
  <si>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</si>
  <si>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</si>
  <si>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</si>
  <si>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</si>
  <si>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</si>
  <si>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</si>
  <si>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</si>
  <si>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</si>
  <si>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</si>
  <si>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</si>
  <si>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</si>
  <si>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</si>
  <si>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</si>
  <si>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</si>
  <si>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</si>
  <si>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</si>
  <si>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</si>
  <si>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</si>
  <si>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</si>
  <si>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</si>
  <si>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</si>
  <si>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</si>
  <si>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</si>
  <si>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</si>
  <si>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</si>
  <si>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</si>
  <si>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</si>
  <si>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</si>
  <si>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</si>
  <si>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</si>
  <si>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</si>
  <si>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</si>
  <si>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</si>
  <si>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</si>
  <si>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</si>
  <si>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</si>
  <si>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</si>
  <si>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</si>
  <si>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</si>
  <si>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</si>
  <si>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</si>
  <si>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</si>
  <si>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</si>
  <si>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</si>
  <si>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</si>
  <si>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</si>
  <si>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</si>
  <si>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</si>
  <si>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</si>
  <si>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</si>
  <si>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</si>
  <si>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</si>
  <si>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</si>
  <si>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</si>
  <si>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</si>
  <si>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</si>
  <si>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</si>
  <si>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</si>
  <si>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</si>
  <si>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</si>
  <si>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</si>
  <si>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</si>
  <si>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</si>
  <si>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</si>
  <si>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</si>
  <si>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</si>
  <si>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</si>
  <si>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</si>
  <si>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</si>
  <si>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</si>
  <si>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</si>
  <si>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</si>
  <si>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</si>
  <si>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</si>
  <si>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</si>
  <si>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</si>
  <si>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</si>
  <si>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</si>
  <si>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</si>
  <si>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</si>
  <si>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</si>
  <si>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</si>
  <si>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</si>
  <si>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</si>
  <si>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</si>
  <si>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</si>
  <si>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</si>
  <si>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</si>
  <si>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</si>
  <si>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</si>
  <si>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</si>
  <si>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</si>
  <si>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</si>
  <si>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</si>
  <si>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</si>
  <si>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</si>
  <si>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</si>
  <si>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</si>
  <si>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</si>
  <si>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</si>
  <si>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</si>
  <si>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</si>
  <si>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</si>
  <si>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</si>
  <si>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</si>
  <si>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</si>
  <si>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</si>
  <si>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</si>
  <si>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</si>
  <si>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</si>
  <si>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</si>
  <si>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</si>
  <si>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</si>
  <si>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</si>
  <si>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</si>
  <si>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</si>
  <si>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</si>
  <si>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</si>
  <si>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</si>
  <si>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</si>
  <si>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</si>
  <si>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</si>
  <si>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</si>
  <si>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</si>
  <si>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</si>
  <si>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</si>
  <si>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</si>
  <si>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</si>
  <si>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</si>
  <si>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</si>
  <si>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</si>
  <si>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</si>
  <si>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</si>
  <si>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</si>
  <si>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</si>
  <si>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</si>
  <si>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</si>
  <si>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</si>
  <si>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</si>
  <si>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</si>
  <si>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</si>
  <si>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</si>
  <si>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</si>
  <si>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</si>
  <si>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</si>
  <si>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</si>
  <si>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</si>
  <si>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</si>
  <si>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</si>
  <si>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</si>
  <si>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</si>
  <si>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</si>
  <si>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</si>
  <si>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</si>
  <si>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</si>
  <si>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</si>
  <si>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</si>
  <si>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</si>
  <si>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</si>
  <si>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</si>
  <si>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</si>
  <si>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</si>
  <si>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</si>
  <si>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</si>
  <si>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</si>
  <si>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</si>
  <si>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</si>
  <si>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</si>
  <si>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</si>
  <si>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</si>
  <si>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</si>
  <si>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</si>
  <si>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</si>
  <si>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</si>
  <si>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</si>
  <si>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</si>
  <si>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</si>
  <si>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</si>
  <si>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</si>
  <si>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</si>
  <si>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</si>
  <si>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</si>
  <si>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</si>
  <si>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</si>
  <si>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</si>
  <si>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</si>
  <si>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</si>
  <si>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</si>
  <si>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</si>
  <si>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</si>
  <si>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</si>
  <si>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</si>
  <si>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</si>
  <si>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</si>
  <si>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</si>
  <si>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</si>
  <si>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</si>
  <si>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</si>
  <si>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</si>
  <si>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</si>
  <si>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</si>
  <si>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</si>
  <si>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</si>
  <si>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</si>
  <si>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</si>
  <si>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</si>
  <si>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</si>
  <si>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</si>
  <si>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</si>
  <si>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</si>
  <si>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</si>
  <si>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</si>
  <si>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</si>
  <si>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</si>
  <si>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</si>
  <si>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</si>
  <si>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</si>
  <si>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</si>
  <si>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</si>
  <si>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</si>
  <si>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</si>
  <si>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</si>
  <si>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</si>
  <si>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</si>
  <si>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</si>
  <si>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</si>
  <si>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</si>
  <si>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</si>
  <si>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</si>
  <si>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</si>
  <si>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</si>
  <si>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</si>
  <si>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</si>
  <si>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</si>
  <si>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</si>
  <si>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</si>
  <si>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</si>
  <si>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</si>
  <si>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</si>
  <si>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</si>
  <si>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</si>
  <si>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</si>
  <si>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</si>
  <si>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</si>
  <si>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</si>
  <si>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</si>
  <si>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</si>
  <si>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</si>
  <si>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</si>
  <si>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</si>
  <si>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</si>
  <si>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</si>
  <si>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</si>
  <si>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</si>
  <si>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</si>
  <si>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</si>
  <si>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</si>
  <si>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</si>
  <si>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</si>
  <si>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</si>
  <si>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</si>
  <si>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</si>
  <si>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</si>
  <si>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</si>
  <si>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</si>
  <si>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</si>
  <si>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</si>
  <si>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</si>
  <si>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</si>
  <si>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</si>
  <si>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</si>
  <si>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</si>
  <si>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</si>
  <si>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</si>
  <si>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</si>
  <si>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</si>
  <si>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</si>
  <si>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</si>
  <si>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</si>
  <si>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</si>
  <si>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</si>
  <si>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</si>
  <si>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</si>
  <si>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</si>
  <si>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</si>
  <si>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</si>
  <si>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</si>
  <si>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</si>
  <si>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</si>
  <si>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</si>
  <si>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</si>
  <si>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</si>
  <si>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</si>
  <si>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</si>
  <si>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</si>
  <si>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</si>
  <si>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</si>
  <si>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</si>
  <si>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</si>
  <si>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</si>
  <si>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</si>
  <si>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</si>
  <si>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</si>
  <si>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</si>
  <si>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</si>
  <si>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</si>
  <si>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</si>
  <si>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</si>
  <si>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</si>
  <si>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</si>
  <si>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</si>
  <si>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</si>
  <si>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</si>
  <si>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</si>
  <si>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</si>
  <si>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</si>
  <si>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</si>
  <si>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</si>
  <si>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</si>
  <si>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</si>
  <si>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</si>
  <si>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</si>
  <si>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</si>
  <si>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</si>
  <si>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</si>
  <si>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</si>
  <si>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</si>
  <si>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</si>
  <si>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</si>
  <si>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</si>
  <si>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</si>
  <si>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</si>
  <si>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</si>
  <si>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</si>
  <si>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</si>
  <si>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</si>
  <si>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</si>
  <si>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</si>
  <si>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</si>
  <si>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</si>
  <si>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</si>
  <si>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</si>
  <si>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</si>
  <si>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</si>
  <si>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</si>
  <si>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</si>
  <si>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</si>
  <si>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</si>
  <si>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</si>
  <si>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</si>
  <si>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</si>
  <si>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</si>
  <si>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</si>
  <si>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</si>
  <si>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</si>
  <si>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</si>
  <si>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</si>
  <si>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</si>
  <si>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</si>
  <si>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</si>
  <si>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</si>
  <si>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</si>
  <si>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</si>
  <si>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</si>
  <si>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</si>
  <si>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</si>
  <si>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</si>
  <si>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</si>
  <si>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</si>
  <si>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</si>
  <si>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</si>
  <si>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</si>
  <si>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</si>
  <si>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</si>
  <si>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</si>
  <si>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</si>
  <si>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</si>
  <si>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</si>
  <si>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</si>
  <si>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</si>
  <si>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</si>
  <si>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</si>
  <si>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</si>
  <si>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</si>
  <si>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</si>
  <si>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</si>
  <si>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</si>
  <si>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</si>
  <si>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</si>
  <si>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</si>
  <si>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</si>
  <si>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</si>
  <si>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</si>
  <si>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</si>
  <si>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</si>
  <si>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</si>
  <si>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</si>
  <si>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</si>
  <si>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</si>
  <si>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</si>
  <si>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</si>
  <si>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</si>
  <si>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</si>
  <si>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</si>
  <si>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</si>
  <si>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</si>
  <si>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</si>
  <si>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</si>
  <si>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</si>
  <si>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</si>
  <si>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</si>
  <si>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</si>
  <si>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</si>
  <si>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</si>
  <si>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</si>
  <si>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</si>
  <si>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</si>
  <si>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</si>
  <si>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</si>
  <si>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</si>
  <si>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</si>
  <si>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</si>
  <si>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</si>
  <si>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</si>
  <si>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</si>
  <si>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</si>
  <si>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</si>
  <si>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</si>
  <si>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</si>
  <si>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</si>
  <si>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</si>
  <si>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</si>
  <si>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</si>
  <si>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</si>
  <si>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</si>
  <si>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</si>
  <si>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</si>
  <si>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</si>
  <si>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</si>
  <si>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</si>
  <si>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</si>
  <si>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</si>
  <si>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</si>
  <si>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</si>
  <si>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</si>
  <si>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</si>
  <si>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</si>
  <si>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</si>
  <si>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</si>
  <si>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</si>
  <si>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</si>
  <si>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</si>
  <si>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</si>
  <si>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</si>
  <si>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</si>
  <si>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</si>
  <si>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</si>
  <si>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</si>
  <si>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</si>
  <si>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</si>
  <si>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</si>
  <si>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</si>
  <si>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</si>
  <si>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</si>
  <si>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</si>
  <si>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</si>
  <si>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</si>
  <si>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</si>
  <si>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</si>
  <si>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</si>
  <si>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</si>
  <si>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</si>
  <si>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</si>
  <si>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</si>
  <si>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</si>
  <si>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</si>
  <si>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</si>
  <si>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</si>
  <si>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</si>
  <si>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</si>
  <si>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</si>
  <si>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</si>
  <si>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</si>
  <si>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</si>
  <si>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</si>
  <si>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</si>
  <si>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</si>
  <si>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</si>
  <si>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</si>
  <si>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</si>
  <si>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</si>
  <si>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</si>
  <si>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</si>
  <si>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</si>
  <si>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</si>
  <si>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</si>
  <si>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</si>
  <si>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</si>
  <si>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</si>
  <si>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</si>
  <si>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</si>
  <si>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</si>
  <si>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</si>
  <si>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</si>
  <si>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</si>
  <si>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</si>
  <si>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</si>
  <si>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</si>
  <si>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</si>
  <si>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</si>
  <si>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</si>
  <si>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</si>
  <si>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</si>
  <si>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</si>
  <si>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</si>
  <si>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</si>
  <si>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</si>
  <si>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</si>
  <si>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</si>
  <si>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</si>
  <si>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</si>
  <si>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</si>
  <si>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</si>
  <si>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</si>
  <si>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</si>
  <si>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</si>
  <si>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</si>
  <si>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</si>
  <si>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</si>
  <si>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</si>
  <si>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</si>
  <si>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</si>
  <si>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</si>
  <si>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</si>
  <si>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</si>
  <si>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</si>
  <si>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</si>
  <si>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</si>
  <si>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</si>
  <si>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</si>
  <si>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</si>
  <si>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</si>
  <si>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</si>
  <si>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</si>
  <si>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</si>
  <si>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</si>
  <si>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</si>
  <si>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</si>
  <si>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</si>
  <si>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</si>
  <si>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</si>
  <si>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</si>
  <si>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</si>
  <si>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</si>
  <si>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</si>
  <si>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</si>
  <si>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</si>
  <si>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</si>
  <si>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</si>
  <si>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</si>
  <si>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</si>
  <si>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</si>
  <si>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</si>
  <si>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</si>
  <si>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</si>
  <si>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</si>
  <si>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</si>
  <si>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</si>
  <si>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</si>
  <si>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</si>
  <si>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</si>
  <si>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</si>
  <si>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</si>
  <si>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</si>
  <si>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</si>
  <si>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</si>
  <si>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</si>
  <si>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</si>
  <si>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</si>
  <si>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</si>
  <si>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</si>
  <si>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</si>
  <si>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</si>
  <si>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</si>
  <si>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</si>
  <si>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</si>
  <si>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</si>
  <si>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</si>
  <si>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</si>
  <si>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</si>
  <si>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</si>
  <si>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</si>
  <si>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</si>
  <si>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</si>
  <si>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</si>
  <si>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</si>
  <si>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</si>
  <si>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</si>
  <si>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</si>
  <si>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</si>
  <si>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</si>
  <si>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</si>
  <si>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</si>
  <si>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</si>
  <si>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</si>
  <si>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</si>
  <si>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</si>
  <si>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</si>
  <si>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</si>
  <si>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</si>
  <si>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</si>
  <si>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</si>
  <si>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</si>
  <si>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</si>
  <si>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</si>
  <si>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</si>
  <si>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</si>
  <si>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</si>
  <si>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</si>
  <si>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</si>
  <si>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</si>
  <si>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</si>
  <si>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</si>
  <si>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</si>
  <si>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</si>
  <si>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</si>
  <si>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</si>
  <si>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</si>
  <si>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</si>
  <si>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</si>
  <si>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</si>
  <si>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</si>
  <si>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</si>
  <si>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</si>
  <si>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</si>
  <si>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</si>
  <si>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</si>
  <si>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</si>
  <si>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</si>
  <si>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</si>
  <si>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</si>
  <si>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</si>
  <si>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</si>
  <si>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</si>
  <si>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</si>
  <si>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</si>
  <si>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</si>
  <si>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</si>
  <si>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</si>
  <si>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</si>
  <si>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</si>
  <si>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</si>
  <si>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</si>
  <si>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</si>
  <si>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</si>
  <si>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</si>
  <si>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</si>
  <si>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</si>
  <si>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</si>
  <si>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</si>
  <si>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</si>
  <si>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</si>
  <si>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</si>
  <si>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</si>
  <si>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</si>
  <si>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</si>
  <si>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</si>
  <si>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</si>
  <si>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</si>
  <si>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</si>
  <si>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</si>
  <si>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</si>
  <si>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</si>
  <si>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</si>
  <si>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</si>
  <si>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</si>
  <si>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</si>
  <si>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</si>
  <si>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</si>
  <si>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</si>
  <si>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</si>
  <si>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</si>
  <si>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</si>
  <si>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</si>
  <si>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</si>
  <si>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</si>
  <si>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</si>
  <si>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</si>
  <si>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</si>
  <si>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</si>
  <si>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</si>
  <si>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</si>
  <si>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</si>
  <si>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</si>
  <si>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</si>
  <si>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</si>
  <si>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</si>
  <si>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</si>
  <si>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</si>
  <si>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</si>
  <si>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</si>
  <si>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</si>
  <si>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</si>
  <si>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</si>
  <si>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</si>
  <si>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</si>
  <si>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</si>
  <si>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</si>
  <si>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</si>
  <si>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</si>
  <si>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</si>
  <si>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</si>
  <si>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</si>
  <si>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</si>
  <si>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</si>
  <si>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</si>
  <si>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</si>
  <si>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</si>
  <si>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</si>
  <si>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</si>
  <si>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</si>
  <si>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</si>
  <si>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</si>
  <si>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</si>
  <si>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</si>
  <si>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</si>
  <si>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</si>
  <si>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</si>
  <si>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</si>
  <si>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</si>
  <si>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</si>
  <si>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</si>
  <si>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</si>
  <si>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</si>
  <si>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</si>
  <si>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</si>
  <si>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</si>
  <si>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</si>
  <si>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</si>
  <si>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</si>
  <si>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</si>
  <si>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</si>
  <si>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</si>
  <si>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</si>
  <si>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</si>
  <si>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</si>
  <si>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</si>
  <si>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</si>
  <si>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</si>
  <si>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</si>
  <si>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</si>
  <si>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</si>
  <si>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</si>
  <si>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</si>
  <si>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</si>
  <si>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</si>
  <si>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</si>
  <si>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</si>
  <si>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</si>
  <si>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</si>
  <si>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</si>
  <si>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</si>
  <si>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</si>
  <si>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</si>
  <si>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</si>
  <si>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</si>
  <si>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</si>
  <si>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</si>
  <si>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</si>
  <si>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</si>
  <si>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</si>
  <si>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</si>
  <si>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</si>
  <si>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</si>
  <si>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</si>
  <si>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</si>
  <si>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</si>
  <si>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</si>
  <si>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</si>
  <si>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White star from the [flag of Singapore](http://en.wikipedia.org/wiki/Flag_of_Singapore); circle and colour from [logo](https://www.mas.gov.sg/html/site/img/_/vendor/images/mas-logo.svg) of [MAS](http://www.mas.gov.sg/) = Monetary Authority of Singapore.</t>
  </si>
  <si>
    <t>Star_5_2.viewBoxTight</t>
  </si>
  <si>
    <t>JOD.viewBoxTight</t>
  </si>
  <si>
    <t>AUD.viewBoxTight</t>
  </si>
  <si>
    <t>HKD.viewBoxTight</t>
  </si>
  <si>
    <t>RUB.viewBoxTight</t>
  </si>
  <si>
    <t>AED.viewBoxTight</t>
  </si>
  <si>
    <t>ZAR.viewBoxTight</t>
  </si>
  <si>
    <t>_NDB.viewBoxTight</t>
  </si>
  <si>
    <t>CAD.viewBoxTight</t>
  </si>
  <si>
    <t>CAD_2.viewBoxTight</t>
  </si>
  <si>
    <t>IT.StrokeWidth</t>
  </si>
  <si>
    <t>&lt;ellipse rx='28' ry='17' stroke='#DA251D' stroke-width='16' paint-order='stroke' fill='#FFFF00'/&gt;</t>
  </si>
  <si>
    <t>&lt;ellipse rx='140' ry='275' stroke='#0072CE' stroke-width='252' paint-order='stroke' fill='#FFD100'/&gt;</t>
  </si>
  <si>
    <t>&lt;ellipse rx='140' ry='275' stroke='#EF3340' stroke-width='476'/&gt;</t>
  </si>
  <si>
    <t>Used for the jurisdiction England and Wales, and also for green gilts, and for [old&amp;#8209;style 8&amp;#8209;month ILGs](http://www.jdawiseman.com/papers/finmkts/gilt_statics_non-conventionals.html#ILG_8M).</t>
  </si>
  <si>
    <t>F0B000</t>
  </si>
  <si>
    <t>_character</t>
  </si>
  <si>
    <t>ExportControl.Alternate_viewbox</t>
  </si>
  <si>
    <t>Star_5_2.TightWidth</t>
  </si>
  <si>
    <t>Star_5_2.TightHeight</t>
  </si>
  <si>
    <t>AUD.TightWidth</t>
  </si>
  <si>
    <t>AUD.TightHeight</t>
  </si>
  <si>
    <t>JOD.TightWidth</t>
  </si>
  <si>
    <t>JOD.TightHeight</t>
  </si>
  <si>
    <t>CAD.TightWidth</t>
  </si>
  <si>
    <t>CAD.TightHeight</t>
  </si>
  <si>
    <t>CAD_2.TightWidth</t>
  </si>
  <si>
    <t>CAD_2.TightHeight</t>
  </si>
  <si>
    <t>HKD.TightWidth</t>
  </si>
  <si>
    <t>HKD.TightHeight</t>
  </si>
  <si>
    <t>RUB.TightWidth</t>
  </si>
  <si>
    <t>RUB.TightHeight</t>
  </si>
  <si>
    <t>AED.TightWidth</t>
  </si>
  <si>
    <t>AED.TightHeight</t>
  </si>
  <si>
    <t>ZAR.TightWidth</t>
  </si>
  <si>
    <t>ZAR.TightHeight</t>
  </si>
  <si>
    <t>_NDB.TightWidth</t>
  </si>
  <si>
    <t>_NDB.TightHeight</t>
  </si>
  <si>
    <t>CUP</t>
  </si>
  <si>
    <t>fill='#002590'</t>
  </si>
  <si>
    <t>XXX_0_FFF</t>
  </si>
  <si>
    <t>XXX_0_0F0</t>
  </si>
  <si>
    <t>XXX_0_F00</t>
  </si>
  <si>
    <t>XXX_0_00F</t>
  </si>
  <si>
    <t>XXX_0_F0F</t>
  </si>
  <si>
    <t>XXX_0_0FF</t>
  </si>
  <si>
    <t>XXX_0_FF0</t>
  </si>
  <si>
    <t>XXX_6_FFF</t>
  </si>
  <si>
    <t>XXX_6_0F0</t>
  </si>
  <si>
    <t>XXX_6_F00</t>
  </si>
  <si>
    <t>XXX_6_00F</t>
  </si>
  <si>
    <t>XXX_6_F0F</t>
  </si>
  <si>
    <t>XXX_6_0FF</t>
  </si>
  <si>
    <t>XXX_6_FF0</t>
  </si>
  <si>
    <t>Based on the [generic currency symbol](https://en.wikipedia.org/wiki/Currency_sign_(generic)), &amp;curren;, also known as the scarab character.</t>
  </si>
  <si>
    <t xml:space="preserve"> XXX_0_FFF XXX_0_0F0 XXX_0_F00 XXX_0_00F XXX_0_F0F XXX_0_0FF XXX_0_FF0 XXX_6_FFF XXX_6_0F0 XXX_6_F00 XXX_6_00F XXX_6_F0F XXX_6_0FF XXX_6_FF0 </t>
  </si>
  <si>
    <t>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</si>
</sst>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2">
    <dxf>
      <font>
        <b/>
        <i val="0"/>
      </font>
      <fill>
        <patternFill>
          <bgColor rgb="FFD3FFD9"/>
        </patternFill>
      </fill>
    </dxf>
    <dxf>
      <font>
        <color rgb="FFCC0000"/>
      </font>
    </dxf>
  </dxfs>
  <tableStyles count="0" defaultTableStyle="TableStyleMedium2" defaultPivotStyle="PivotStyleLight16"/>
  <colors>
    <mruColors>
      <color rgb="FFCC0000"/>
      <color rgb="FFD3FFD9"/>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-1.2246467991473532E-16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6.6130927153957075E-15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3.3065463576978537E-15</c:v>
                </c:pt>
                <c:pt idx="5">
                  <c:v>-10.332452673857423</c:v>
                </c:pt>
                <c:pt idx="6">
                  <c:v>-38.183766184073562</c:v>
                </c:pt>
                <c:pt idx="7">
                  <c:v>-24.944747377804742</c:v>
                </c:pt>
                <c:pt idx="8">
                  <c:v>-54</c:v>
                </c:pt>
                <c:pt idx="9">
                  <c:v>-24.944747377804745</c:v>
                </c:pt>
                <c:pt idx="10">
                  <c:v>-38.183766184073576</c:v>
                </c:pt>
                <c:pt idx="11">
                  <c:v>-10.332452673857439</c:v>
                </c:pt>
                <c:pt idx="12">
                  <c:v>-9.9196390730935596E-15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4.181205710765693E-16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2.0906028553828465E-16</c:v>
                </c:pt>
                <c:pt idx="5">
                  <c:v>-0.99999999999999978</c:v>
                </c:pt>
                <c:pt idx="6">
                  <c:v>-2.4142135623730949</c:v>
                </c:pt>
                <c:pt idx="7">
                  <c:v>-2.4142135623730945</c:v>
                </c:pt>
                <c:pt idx="8">
                  <c:v>-3.4142135623730949</c:v>
                </c:pt>
                <c:pt idx="9">
                  <c:v>-2.4142135623730949</c:v>
                </c:pt>
                <c:pt idx="10">
                  <c:v>-2.4142135623730954</c:v>
                </c:pt>
                <c:pt idx="11">
                  <c:v>-1.0000000000000013</c:v>
                </c:pt>
                <c:pt idx="12">
                  <c:v>-6.271808566148539E-16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9.7971743931788257E-16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2.4492935982947064E-16</c:v>
                </c:pt>
                <c:pt idx="4">
                  <c:v>-3.9999999999999987</c:v>
                </c:pt>
                <c:pt idx="5">
                  <c:v>-3.4641016151377548</c:v>
                </c:pt>
                <c:pt idx="6">
                  <c:v>-8</c:v>
                </c:pt>
                <c:pt idx="7">
                  <c:v>-3.4641016151377544</c:v>
                </c:pt>
                <c:pt idx="8">
                  <c:v>-4.0000000000000036</c:v>
                </c:pt>
                <c:pt idx="9">
                  <c:v>-7.3478807948841188E-16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2.4492935982947065E-15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-1.3716044150450356E-14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-27.999999999999989</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2.1431318985078682E-15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-6.429395695523604E-15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4.2862637970157365E-15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-8.572527594031473E-15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1.7145055188062944E-15</c:v>
                </c:pt>
                <c:pt idx="7">
                  <c:v>-7.2469332628705843</c:v>
                </c:pt>
                <c:pt idx="8">
                  <c:v>-13.999999999999995</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-5.1435165564188833E-15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3.4290110376125889E-15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-6.8580220752251778E-15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4.2862637970157361E-16</c:v>
                </c:pt>
                <c:pt idx="7">
                  <c:v>-1.8117333157176461</c:v>
                </c:pt>
                <c:pt idx="8">
                  <c:v>-3.4999999999999987</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-1.2858791391047208E-15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9.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127000</xdr:colOff>
      <xdr:row>34</xdr:row>
      <xdr:rowOff>50800</xdr:rowOff>
    </xdr:from>
    <xdr:to>
      <xdr:col>13</xdr:col>
      <xdr:colOff>127000</xdr:colOff>
      <xdr:row>50</xdr:row>
      <xdr:rowOff>63500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342900</xdr:colOff>
      <xdr:row>13</xdr:row>
      <xdr:rowOff>88900</xdr:rowOff>
    </xdr:from>
    <xdr:to>
      <xdr:col>12</xdr:col>
      <xdr:colOff>812800</xdr:colOff>
      <xdr:row>29</xdr:row>
      <xdr:rowOff>101600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9</xdr:col>
      <xdr:colOff>787400</xdr:colOff>
      <xdr:row>19</xdr:row>
      <xdr:rowOff>190500</xdr:rowOff>
    </xdr:from>
    <xdr:to>
      <xdr:col>14</xdr:col>
      <xdr:colOff>431800</xdr:colOff>
      <xdr:row>36</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88900</xdr:colOff>
      <xdr:row>12</xdr:row>
      <xdr:rowOff>63500</xdr:rowOff>
    </xdr:from>
    <xdr:to>
      <xdr:col>7</xdr:col>
      <xdr:colOff>127000</xdr:colOff>
      <xdr:row>17</xdr:row>
      <xdr:rowOff>114300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914400" y="2514600"/>
          <a:ext cx="4991100"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marker</a:t>
          </a:r>
          <a:r>
            <a:rPr lang="en-GB" sz="1400" baseline="0"/>
            <a:t> not cleanly programmed, because of the multiple awkward back-and-forward relationships. But result seems good.</a:t>
          </a:r>
        </a:p>
        <a:p>
          <a:endParaRPr lang="en-GB" sz="1400" baseline="0"/>
        </a:p>
        <a:p>
          <a:r>
            <a:rPr lang="en-GB" sz="1400" baseline="0"/>
            <a:t> Also, uses a cubic Bézier, but a quadratic might have sufficed.</a:t>
          </a:r>
          <a:endParaRPr lang="en-GB" sz="14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30</xdr:col>
      <xdr:colOff>241300</xdr:colOff>
      <xdr:row>13</xdr:row>
      <xdr:rowOff>25400</xdr:rowOff>
    </xdr:from>
    <xdr:to>
      <xdr:col>33</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8"/>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2629</v>
      </c>
      <c r="M2" t="str">
        <f xml:space="preserve"> L2</f>
        <v>USD_2</v>
      </c>
      <c r="N2" t="str">
        <f xml:space="preserve"> L2</f>
        <v>USD_2</v>
      </c>
      <c r="P2" t="s">
        <v>2632</v>
      </c>
      <c r="Q2" t="str">
        <f xml:space="preserve"> P2</f>
        <v>USD_3</v>
      </c>
      <c r="R2" t="str">
        <f xml:space="preserve"> P2</f>
        <v>USD_3</v>
      </c>
      <c r="T2" t="s">
        <v>782</v>
      </c>
      <c r="U2" t="str">
        <f xml:space="preserve"> T2</f>
        <v>EU</v>
      </c>
      <c r="V2" t="str">
        <f xml:space="preserve"> T2</f>
        <v>EU</v>
      </c>
      <c r="X2" t="s">
        <v>2633</v>
      </c>
      <c r="Y2" t="str">
        <f xml:space="preserve"> X2</f>
        <v>EU_2</v>
      </c>
      <c r="Z2" t="str">
        <f xml:space="preserve"> X2</f>
        <v>EU_2</v>
      </c>
      <c r="AB2" t="s">
        <v>2634</v>
      </c>
      <c r="AC2" t="str">
        <f xml:space="preserve"> AB2</f>
        <v>EU_3</v>
      </c>
      <c r="AD2" t="str">
        <f xml:space="preserve"> AB2</f>
        <v>EU_3</v>
      </c>
      <c r="AF2" t="s">
        <v>2635</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1605</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1612</v>
      </c>
      <c r="BQ2" t="str">
        <f xml:space="preserve"> BP2</f>
        <v>DZD</v>
      </c>
      <c r="BR2" t="str">
        <f xml:space="preserve"> BQ2</f>
        <v>DZD</v>
      </c>
      <c r="BT2" t="s">
        <v>1945</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1693</v>
      </c>
      <c r="CG2" t="str">
        <f xml:space="preserve"> CF2</f>
        <v>PAB</v>
      </c>
      <c r="CH2" t="str">
        <f xml:space="preserve"> CG2</f>
        <v>PAB</v>
      </c>
      <c r="CJ2" t="s">
        <v>2292</v>
      </c>
      <c r="CK2" t="str">
        <f xml:space="preserve"> CJ2</f>
        <v>VED</v>
      </c>
      <c r="CL2" t="str">
        <f xml:space="preserve"> CK2</f>
        <v>VED</v>
      </c>
      <c r="CN2" t="s">
        <v>2254</v>
      </c>
      <c r="CO2" t="str">
        <f xml:space="preserve"> CN2</f>
        <v>KPW</v>
      </c>
      <c r="CP2" t="str">
        <f xml:space="preserve"> CO2</f>
        <v>KPW</v>
      </c>
      <c r="CR2" t="s">
        <v>2293</v>
      </c>
      <c r="CS2" t="str">
        <f xml:space="preserve"> CR2</f>
        <v>SYP</v>
      </c>
      <c r="CT2" t="str">
        <f xml:space="preserve"> CS2</f>
        <v>SYP</v>
      </c>
      <c r="CV2" t="s">
        <v>2294</v>
      </c>
      <c r="CW2" t="str">
        <f xml:space="preserve"> CV2</f>
        <v>UZS</v>
      </c>
      <c r="CX2" t="str">
        <f xml:space="preserve"> CW2</f>
        <v>UZS</v>
      </c>
      <c r="DC2" t="e">
        <f xml:space="preserve"> NA()</f>
        <v>#N/A</v>
      </c>
    </row>
    <row r="3" spans="2:107">
      <c r="C3" s="4" t="s">
        <v>2071</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c r="DC3" t="e">
        <f xml:space="preserve"> NA()</f>
        <v>#N/A</v>
      </c>
    </row>
    <row r="4" spans="2:107">
      <c r="C4" s="4" t="s">
        <v>2072</v>
      </c>
      <c r="D4" s="1">
        <f xml:space="preserve"> SQRT(Star_5_2.AreaMultiplier_Default * BasicBBoxArea)</f>
        <v>12.720196495140689</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1759</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719</v>
      </c>
      <c r="M9" s="5"/>
      <c r="N9" s="5" t="s">
        <v>719</v>
      </c>
      <c r="Q9" s="5"/>
      <c r="R9" s="5" t="s">
        <v>719</v>
      </c>
      <c r="U9" s="5"/>
      <c r="V9" s="5" t="s">
        <v>2636</v>
      </c>
      <c r="Y9" s="5"/>
      <c r="Z9" s="5" t="str">
        <f xml:space="preserve"> $V9</f>
        <v xml:space="preserve">fill='#F3F' </v>
      </c>
      <c r="AC9" s="5"/>
      <c r="AD9" s="5" t="str">
        <f xml:space="preserve"> $V9</f>
        <v xml:space="preserve">fill='#F3F' </v>
      </c>
      <c r="AG9" s="5"/>
      <c r="AH9" s="5" t="str">
        <f xml:space="preserve"> $V9</f>
        <v xml:space="preserve">fill='#F3F' </v>
      </c>
      <c r="AK9" s="5"/>
      <c r="AL9" s="5" t="s">
        <v>1460</v>
      </c>
      <c r="AO9" s="5"/>
      <c r="AP9" s="5" t="s">
        <v>770</v>
      </c>
      <c r="AS9" s="5"/>
      <c r="AT9" s="5" t="s">
        <v>771</v>
      </c>
      <c r="AW9" s="5"/>
      <c r="AX9" s="5" t="s">
        <v>772</v>
      </c>
      <c r="BA9" s="5"/>
      <c r="BB9" s="5" t="s">
        <v>773</v>
      </c>
      <c r="BE9" s="5"/>
      <c r="BF9" s="5" t="s">
        <v>1606</v>
      </c>
      <c r="BI9" s="5"/>
      <c r="BJ9" s="5" t="s">
        <v>775</v>
      </c>
      <c r="BM9" s="5"/>
      <c r="BN9" s="5" t="s">
        <v>776</v>
      </c>
      <c r="BQ9" s="5"/>
      <c r="BR9" s="5" t="s">
        <v>1613</v>
      </c>
      <c r="BU9" s="5"/>
      <c r="BV9" s="5" t="s">
        <v>719</v>
      </c>
      <c r="BY9" s="21"/>
      <c r="BZ9" s="21" t="s">
        <v>1050</v>
      </c>
      <c r="CC9" s="5"/>
      <c r="CD9" s="5" t="s">
        <v>1812</v>
      </c>
      <c r="CG9" s="5"/>
      <c r="CH9" s="5" t="s">
        <v>1684</v>
      </c>
      <c r="CK9" s="5"/>
      <c r="CL9" s="5" t="s">
        <v>710</v>
      </c>
      <c r="CM9" s="5"/>
      <c r="CO9" s="5"/>
      <c r="CP9" s="5" t="s">
        <v>2252</v>
      </c>
      <c r="CQ9" s="5"/>
      <c r="CS9" s="5"/>
      <c r="CT9" s="5" t="s">
        <v>1655</v>
      </c>
      <c r="CU9" s="5"/>
      <c r="CW9" s="5"/>
      <c r="CX9" s="5" t="s">
        <v>2295</v>
      </c>
      <c r="CY9" s="5"/>
      <c r="CZ9" s="5"/>
      <c r="DA9" s="5"/>
      <c r="DB9" s="5"/>
    </row>
    <row r="10" spans="2:107">
      <c r="F10" s="4" t="s">
        <v>150</v>
      </c>
      <c r="I10" s="5"/>
      <c r="J10" s="5" t="s">
        <v>2073</v>
      </c>
      <c r="M10" s="5"/>
      <c r="N10" s="5" t="s">
        <v>2630</v>
      </c>
      <c r="Q10" s="5"/>
      <c r="R10" s="5" t="s">
        <v>2631</v>
      </c>
      <c r="U10" s="5"/>
      <c r="V10" s="5" t="s">
        <v>2073</v>
      </c>
      <c r="Y10" s="5"/>
      <c r="Z10" s="5" t="s">
        <v>2073</v>
      </c>
      <c r="AC10" s="5"/>
      <c r="AD10" s="5" t="s">
        <v>2638</v>
      </c>
      <c r="AG10" s="5"/>
      <c r="AH10" s="5" t="s">
        <v>2073</v>
      </c>
      <c r="AK10" s="5"/>
      <c r="AL10" s="5" t="s">
        <v>2073</v>
      </c>
      <c r="AO10" s="5"/>
      <c r="AP10" s="5" t="s">
        <v>774</v>
      </c>
      <c r="AS10" s="5"/>
      <c r="AT10" s="5" t="s">
        <v>2073</v>
      </c>
      <c r="AW10" s="5"/>
      <c r="AX10" s="5" t="s">
        <v>2073</v>
      </c>
      <c r="BA10" s="5"/>
      <c r="BB10" s="5" t="s">
        <v>2073</v>
      </c>
      <c r="BE10" s="5"/>
      <c r="BF10" s="5" t="s">
        <v>1607</v>
      </c>
      <c r="BI10" s="5"/>
      <c r="BJ10" s="5" t="s">
        <v>2073</v>
      </c>
      <c r="BM10" s="5"/>
      <c r="BN10" s="5"/>
      <c r="BQ10" s="5"/>
      <c r="BR10" s="5" t="s">
        <v>2073</v>
      </c>
      <c r="BU10" s="5"/>
      <c r="BV10" s="5" t="s">
        <v>715</v>
      </c>
      <c r="BY10" s="21"/>
      <c r="BZ10" s="21" t="s">
        <v>1051</v>
      </c>
      <c r="CC10" s="5"/>
      <c r="CD10" s="5" t="s">
        <v>2073</v>
      </c>
      <c r="CG10" s="5"/>
      <c r="CH10" s="5"/>
      <c r="CK10" s="5"/>
      <c r="CL10" s="5" t="s">
        <v>714</v>
      </c>
      <c r="CM10" s="5"/>
      <c r="CO10" s="5"/>
      <c r="CP10" s="5" t="s">
        <v>2253</v>
      </c>
      <c r="CQ10" s="5"/>
      <c r="CS10" s="5"/>
      <c r="CT10" s="5" t="s">
        <v>2073</v>
      </c>
      <c r="CU10" s="5"/>
      <c r="CW10" s="5"/>
      <c r="CX10" s="5" t="s">
        <v>2073</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2637</v>
      </c>
      <c r="AC11" s="5"/>
      <c r="AD11" s="5" t="s">
        <v>2639</v>
      </c>
      <c r="AG11" s="5"/>
      <c r="AH11" s="5" t="s">
        <v>2638</v>
      </c>
      <c r="AK11" s="5"/>
      <c r="AL11" s="5" t="s">
        <v>721</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1523</v>
      </c>
      <c r="BQ11" s="5"/>
      <c r="BR11" s="5" t="s">
        <v>1614</v>
      </c>
      <c r="BU11" s="5"/>
      <c r="BV11" s="5" t="s">
        <v>719</v>
      </c>
      <c r="CC11" s="5"/>
      <c r="CD11" s="5" t="s">
        <v>769</v>
      </c>
      <c r="CG11" s="5"/>
      <c r="CH11" s="5" t="s">
        <v>1685</v>
      </c>
      <c r="CK11" s="5"/>
      <c r="CL11" s="5" t="s">
        <v>777</v>
      </c>
      <c r="CM11" s="5"/>
      <c r="CO11" s="5"/>
      <c r="CP11" s="5" t="s">
        <v>2073</v>
      </c>
      <c r="CQ11" s="5"/>
      <c r="CS11" s="5"/>
      <c r="CT11" s="5" t="s">
        <v>745</v>
      </c>
      <c r="CU11" s="5"/>
      <c r="CW11" s="5"/>
      <c r="CX11" s="5" t="s">
        <v>2296</v>
      </c>
      <c r="CY11" s="5"/>
      <c r="CZ11" s="5"/>
      <c r="DA11" s="5"/>
      <c r="DB11" s="5"/>
    </row>
    <row r="12" spans="2:107">
      <c r="B12" t="b">
        <v>1</v>
      </c>
      <c r="F12" s="4" t="s">
        <v>1673</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1526</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c r="DC13" s="21" t="e">
        <f xml:space="preserve"> NA()</f>
        <v>#N/A</v>
      </c>
    </row>
    <row r="14" spans="2:107">
      <c r="D14" s="1"/>
    </row>
    <row r="15" spans="2:107">
      <c r="J15" cm="1">
        <f t="array" ref="J15" xml:space="preserve"> SVG_length(J$76:J$87)</f>
        <v>320</v>
      </c>
      <c r="N15" cm="1">
        <f t="array" ref="N15" xml:space="preserve"> SVG_length(N$76:N$87)</f>
        <v>324</v>
      </c>
      <c r="R15" cm="1">
        <f t="array" ref="R15" xml:space="preserve"> SVG_length(R$76:R$87)</f>
        <v>324</v>
      </c>
      <c r="V15" cm="1">
        <f t="array" ref="V15" xml:space="preserve"> SVG_length(V$76:V$87)</f>
        <v>303</v>
      </c>
      <c r="Z15" cm="1">
        <f t="array" ref="Z15" xml:space="preserve"> SVG_length(Z$76:Z$87)</f>
        <v>303</v>
      </c>
      <c r="AD15" cm="1">
        <f t="array" ref="AD15" xml:space="preserve"> SVG_length(AD$76:AD$87)</f>
        <v>306</v>
      </c>
      <c r="AH15" cm="1">
        <f t="array" ref="AH15" xml:space="preserve"> SVG_length(AH$76:AH$87)</f>
        <v>303</v>
      </c>
      <c r="AL15" cm="1">
        <f t="array" ref="AL15" xml:space="preserve"> SVG_length(AL$76:AL$87)</f>
        <v>392</v>
      </c>
      <c r="AP15" cm="1">
        <f t="array" ref="AP15" xml:space="preserve"> SVG_length(AP$76:AP$87)</f>
        <v>403</v>
      </c>
      <c r="AT15" cm="1">
        <f t="array" ref="AT15" xml:space="preserve"> SVG_length(AT$76:AT$87)</f>
        <v>275</v>
      </c>
      <c r="AX15" cm="1">
        <f t="array" ref="AX15" xml:space="preserve"> SVG_length(AX$76:AX$87)</f>
        <v>395</v>
      </c>
      <c r="BB15" cm="1">
        <f t="array" ref="BB15" xml:space="preserve"> SVG_length(BB$76:BB$87)</f>
        <v>368</v>
      </c>
      <c r="BF15" cm="1">
        <f t="array" ref="BF15" xml:space="preserve"> SVG_length(BF$76:BF$87)</f>
        <v>390</v>
      </c>
      <c r="BJ15" cm="1">
        <f t="array" ref="BJ15" xml:space="preserve"> SVG_length(BJ$76:BJ$87)</f>
        <v>310</v>
      </c>
      <c r="BN15" cm="1">
        <f t="array" ref="BN15" xml:space="preserve"> SVG_length(BN$76:BN$87)</f>
        <v>563</v>
      </c>
      <c r="BR15" cm="1">
        <f t="array" ref="BR15" xml:space="preserve"> SVG_length(BR$76:BR$87)</f>
        <v>390</v>
      </c>
      <c r="BV15" cm="1">
        <f t="array" ref="BV15" xml:space="preserve"> SVG_length(BV$76:BV$87)</f>
        <v>372</v>
      </c>
      <c r="BZ15" cm="1">
        <f t="array" ref="BZ15" xml:space="preserve"> SVG_length(BZ$76:BZ$87)</f>
        <v>366</v>
      </c>
      <c r="CD15" cm="1">
        <f t="array" ref="CD15" xml:space="preserve"> SVG_length(CD$76:CD$87)</f>
        <v>328</v>
      </c>
      <c r="CH15" cm="1">
        <f t="array" ref="CH15" xml:space="preserve"> SVG_length(CH$76:CH$87)</f>
        <v>290</v>
      </c>
      <c r="CL15" cm="1">
        <f t="array" ref="CL15" xml:space="preserve"> SVG_length(CL$76:CL$87)</f>
        <v>435</v>
      </c>
      <c r="CP15" cm="1">
        <f t="array" ref="CP15" xml:space="preserve"> SVG_length(CP$76:CP$87)</f>
        <v>322</v>
      </c>
      <c r="CT15" cm="1">
        <f t="array" ref="CT15" xml:space="preserve"> SVG_length(CT$76:CT$87)</f>
        <v>432</v>
      </c>
      <c r="CX15" cm="1">
        <f t="array" ref="CX15" xml:space="preserve"> SVG_length(CX$76:CX$87)</f>
        <v>323</v>
      </c>
    </row>
    <row r="16" spans="2:107" ht="17" thickBot="1">
      <c r="B16" s="2" t="s">
        <v>123</v>
      </c>
      <c r="C16" s="2" t="s">
        <v>16</v>
      </c>
      <c r="D16" s="2" t="s">
        <v>17</v>
      </c>
    </row>
    <row r="17" spans="2:102">
      <c r="B17" s="1"/>
      <c r="C17" s="1"/>
      <c r="D17" s="1"/>
    </row>
    <row r="18" spans="2:102">
      <c r="B18" t="s">
        <v>1760</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1760</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1760</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1760</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1760</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1760</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1760</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1760</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1760</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1760</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7">
      <c r="B49" t="s">
        <v>145</v>
      </c>
      <c r="C49" s="1">
        <f xml:space="preserve"> - C43</f>
        <v>-0.33236956456518563</v>
      </c>
      <c r="D49" s="1">
        <f xml:space="preserve"> D43</f>
        <v>-2.2928337120379547E-2</v>
      </c>
      <c r="BL49">
        <f t="shared" si="120"/>
        <v>0.33237</v>
      </c>
      <c r="BM49">
        <f t="shared" si="121"/>
        <v>2.2929999999999999E-2</v>
      </c>
      <c r="BN49" t="str">
        <v>L.33237 .02293Z</v>
      </c>
    </row>
    <row r="50" spans="2:107">
      <c r="C50" s="1"/>
      <c r="D50" s="1"/>
    </row>
    <row r="51" spans="2:107">
      <c r="C51" s="1"/>
      <c r="D51" s="1"/>
    </row>
    <row r="52" spans="2:107">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7">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7">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7">
      <c r="C55" s="1"/>
      <c r="D55" s="1"/>
    </row>
    <row r="56" spans="2:107">
      <c r="C56" s="1"/>
      <c r="D56" s="1"/>
    </row>
    <row r="57" spans="2:107">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7">
      <c r="B58" t="s">
        <v>147</v>
      </c>
      <c r="C58" s="1">
        <f xml:space="preserve"> - C54</f>
        <v>-0.28236956456518564</v>
      </c>
      <c r="D58" s="1">
        <f xml:space="preserve"> D54</f>
        <v>-0.17681251397914222</v>
      </c>
      <c r="BL58">
        <f t="shared" si="124"/>
        <v>0.28237000000000001</v>
      </c>
      <c r="BM58">
        <f t="shared" si="125"/>
        <v>0.17680999999999999</v>
      </c>
      <c r="BN58" t="str">
        <v>L.28237 .17681</v>
      </c>
    </row>
    <row r="59" spans="2:107">
      <c r="B59" t="s">
        <v>147</v>
      </c>
      <c r="C59" s="1">
        <f xml:space="preserve"> - C53</f>
        <v>-8.0901699437494742E-2</v>
      </c>
      <c r="D59" s="1">
        <f xml:space="preserve"> D53</f>
        <v>-0.32318748602085767</v>
      </c>
      <c r="BL59">
        <f t="shared" si="124"/>
        <v>8.09E-2</v>
      </c>
      <c r="BM59">
        <f t="shared" si="125"/>
        <v>0.32318999999999998</v>
      </c>
      <c r="BN59" t="str">
        <v>L.0809 .32319Z</v>
      </c>
    </row>
    <row r="62" spans="2:107">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c r="DC62" t="e">
        <f xml:space="preserve"> NA()</f>
        <v>#N/A</v>
      </c>
    </row>
    <row r="63" spans="2:107">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c r="DC63" t="e">
        <f xml:space="preserve"> NA()</f>
        <v>#N/A</v>
      </c>
    </row>
    <row r="64" spans="2:107">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c r="DC64" t="e">
        <f xml:space="preserve"> NA()</f>
        <v>#N/A</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c r="DC65" t="e">
        <f xml:space="preserve"> NA()</f>
        <v>#N/A</v>
      </c>
    </row>
    <row r="66" spans="5:107">
      <c r="J66">
        <f xml:space="preserve"> SQRT(_xlfn.SINGLE(Star_5_2.AreaMultiplier) * BasicBBoxArea * _xlfn.SINGLE(Star_5_2.Aspect))</f>
        <v>15.381096640736642</v>
      </c>
      <c r="N66">
        <f xml:space="preserve"> SQRT(_xlfn.SINGLE(Star_5_2.AreaMultiplier) * BasicBBoxArea * _xlfn.SINGLE(Star_5_2.Aspect))</f>
        <v>15.381096640736642</v>
      </c>
      <c r="R66">
        <f xml:space="preserve"> SQRT(_xlfn.SINGLE(Star_5_2.AreaMultiplier) * BasicBBoxArea * _xlfn.SINGLE(Star_5_2.Aspect))</f>
        <v>15.381096640736642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15.4</v>
      </c>
      <c r="N68">
        <f xml:space="preserve"> VALUE(TEXT( IF(Star_5_2.AreaMultiplier_Default=_xlfn.SINGLE(Star_5_2.AreaMultiplier), Star_5_2.OuterPoints_Default * SQRT(_xlfn.SINGLE(Star_5_2.Aspect)), SQRT(_xlfn.SINGLE(Star_5_2.AreaMultiplier) * BasicBBoxArea * _xlfn.SINGLE(Star_5_2.Aspect)) ), SVG.NumberFormatHeight))</f>
        <v>15.4</v>
      </c>
      <c r="R68">
        <f xml:space="preserve"> VALUE(TEXT( IF(Star_5_2.AreaMultiplier_Default=_xlfn.SINGLE(Star_5_2.AreaMultiplier), Star_5_2.OuterPoints_Default * SQRT(_xlfn.SINGLE(Star_5_2.Aspect)), SQRT(_xlfn.SINGLE(Star_5_2.AreaMultiplier) * BasicBBoxArea * _xlfn.SINGLE(Star_5_2.Aspect)) ), SVG.NumberFormatHeight))</f>
        <v>15.4</v>
      </c>
      <c r="V68">
        <f xml:space="preserve"> VALUE(TEXT( IF(Star_5_2.AreaMultiplier_Default=_xlfn.SINGLE(Star_5_2.AreaMultiplier), Star_5_2.OuterPoints_Default * SQRT(_xlfn.SINGLE(Star_5_2.Aspect)), SQRT(_xlfn.SINGLE(Star_5_2.AreaMultiplier) * BasicBBoxArea * _xlfn.SINGLE(Star_5_2.Aspect)) ), SVG.NumberFormatHeight))</f>
        <v>10</v>
      </c>
      <c r="Z68">
        <f xml:space="preserve"> VALUE(TEXT( IF(Star_5_2.AreaMultiplier_Default=_xlfn.SINGLE(Star_5_2.AreaMultiplier), Star_5_2.OuterPoints_Default * SQRT(_xlfn.SINGLE(Star_5_2.Aspect)), SQRT(_xlfn.SINGLE(Star_5_2.AreaMultiplier) * BasicBBoxArea * _xlfn.SINGLE(Star_5_2.Aspect)) ), SVG.NumberFormatHeight))</f>
        <v>10</v>
      </c>
      <c r="AD68">
        <f xml:space="preserve"> VALUE(TEXT( IF(Star_5_2.AreaMultiplier_Default=_xlfn.SINGLE(Star_5_2.AreaMultiplier), Star_5_2.OuterPoints_Default * SQRT(_xlfn.SINGLE(Star_5_2.Aspect)), SQRT(_xlfn.SINGLE(Star_5_2.AreaMultiplier) * BasicBBoxArea * _xlfn.SINGLE(Star_5_2.Aspect)) ), SVG.NumberFormatHeight))</f>
        <v>10</v>
      </c>
      <c r="AH68">
        <f xml:space="preserve"> VALUE(TEXT( IF(Star_5_2.AreaMultiplier_Default=_xlfn.SINGLE(Star_5_2.AreaMultiplier), Star_5_2.OuterPoints_Default * SQRT(_xlfn.SINGLE(Star_5_2.Aspect)), SQRT(_xlfn.SINGLE(Star_5_2.AreaMultiplier) * BasicBBoxArea * _xlfn.SINGLE(Star_5_2.Aspect)) ), SVG.NumberFormatHeight))</f>
        <v>10</v>
      </c>
      <c r="AL68">
        <f xml:space="preserve"> VALUE(TEXT( IF(Star_5_2.AreaMultiplier_Default=_xlfn.SINGLE(Star_5_2.AreaMultiplier), Star_5_2.OuterPoints_Default * SQRT(_xlfn.SINGLE(Star_5_2.Aspect)), SQRT(_xlfn.SINGLE(Star_5_2.AreaMultiplier) * BasicBBoxArea * _xlfn.SINGLE(Star_5_2.Aspect)) ), SVG.NumberFormatHeight))</f>
        <v>10</v>
      </c>
      <c r="AP68">
        <f xml:space="preserve"> VALUE(TEXT( IF(Star_5_2.AreaMultiplier_Default=_xlfn.SINGLE(Star_5_2.AreaMultiplier), Star_5_2.OuterPoints_Default * SQRT(_xlfn.SINGLE(Star_5_2.Aspect)), SQRT(_xlfn.SINGLE(Star_5_2.AreaMultiplier) * BasicBBoxArea * _xlfn.SINGLE(Star_5_2.Aspect)) ), SVG.NumberFormatHeight))</f>
        <v>12.7</v>
      </c>
      <c r="AT68">
        <f xml:space="preserve"> VALUE(TEXT( IF(Star_5_2.AreaMultiplier_Default=_xlfn.SINGLE(Star_5_2.AreaMultiplier), Star_5_2.OuterPoints_Default * SQRT(_xlfn.SINGLE(Star_5_2.Aspect)), SQRT(_xlfn.SINGLE(Star_5_2.AreaMultiplier) * BasicBBoxArea * _xlfn.SINGLE(Star_5_2.Aspect)) ), SVG.NumberFormatHeight))</f>
        <v>10</v>
      </c>
      <c r="AX68">
        <f xml:space="preserve"> VALUE(TEXT( IF(Star_5_2.AreaMultiplier_Default=_xlfn.SINGLE(Star_5_2.AreaMultiplier), Star_5_2.OuterPoints_Default * SQRT(_xlfn.SINGLE(Star_5_2.Aspect)), SQRT(_xlfn.SINGLE(Star_5_2.AreaMultiplier) * BasicBBoxArea * _xlfn.SINGLE(Star_5_2.Aspect)) ), SVG.NumberFormatHeight))</f>
        <v>12.6</v>
      </c>
      <c r="BB68">
        <f xml:space="preserve"> VALUE(TEXT( IF(Star_5_2.AreaMultiplier_Default=_xlfn.SINGLE(Star_5_2.AreaMultiplier), Star_5_2.OuterPoints_Default * SQRT(_xlfn.SINGLE(Star_5_2.Aspect)), SQRT(_xlfn.SINGLE(Star_5_2.AreaMultiplier) * BasicBBoxArea * _xlfn.SINGLE(Star_5_2.Aspect)) ), SVG.NumberFormatHeight))</f>
        <v>12.4</v>
      </c>
      <c r="BF68">
        <f xml:space="preserve"> VALUE(TEXT( IF(Star_5_2.AreaMultiplier_Default=_xlfn.SINGLE(Star_5_2.AreaMultiplier), Star_5_2.OuterPoints_Default * SQRT(_xlfn.SINGLE(Star_5_2.Aspect)), SQRT(_xlfn.SINGLE(Star_5_2.AreaMultiplier) * BasicBBoxArea * _xlfn.SINGLE(Star_5_2.Aspect)) ), SVG.NumberFormatHeight))</f>
        <v>10</v>
      </c>
      <c r="BJ68">
        <f xml:space="preserve"> VALUE(TEXT( IF(Star_5_2.AreaMultiplier_Default=_xlfn.SINGLE(Star_5_2.AreaMultiplier), Star_5_2.OuterPoints_Default * SQRT(_xlfn.SINGLE(Star_5_2.Aspect)), SQRT(_xlfn.SINGLE(Star_5_2.AreaMultiplier) * BasicBBoxArea * _xlfn.SINGLE(Star_5_2.Aspect)) ), SVG.NumberFormatHeight))</f>
        <v>10</v>
      </c>
      <c r="BN68">
        <f xml:space="preserve"> VALUE(TEXT( IF(Star_5_2.AreaMultiplier_Default=_xlfn.SINGLE(Star_5_2.AreaMultiplier), Star_5_2.OuterPoints_Default * SQRT(_xlfn.SINGLE(Star_5_2.Aspect)), SQRT(_xlfn.SINGLE(Star_5_2.AreaMultiplier) * BasicBBoxArea * _xlfn.SINGLE(Star_5_2.Aspect)) ), SVG.NumberFormatHeight))</f>
        <v>13</v>
      </c>
      <c r="BR68">
        <f xml:space="preserve"> VALUE(TEXT( IF(Star_5_2.AreaMultiplier_Default=_xlfn.SINGLE(Star_5_2.AreaMultiplier), Star_5_2.OuterPoints_Default * SQRT(_xlfn.SINGLE(Star_5_2.Aspect)), SQRT(_xlfn.SINGLE(Star_5_2.AreaMultiplier) * BasicBBoxArea * _xlfn.SINGLE(Star_5_2.Aspect)) ), SVG.NumberFormatHeight))</f>
        <v>9.9</v>
      </c>
      <c r="BV68">
        <f xml:space="preserve"> VALUE(TEXT( IF(Star_5_2.AreaMultiplier_Default=_xlfn.SINGLE(Star_5_2.AreaMultiplier), Star_5_2.OuterPoints_Default * SQRT(_xlfn.SINGLE(Star_5_2.Aspect)), SQRT(_xlfn.SINGLE(Star_5_2.AreaMultiplier) * BasicBBoxArea * _xlfn.SINGLE(Star_5_2.Aspect)) ), SVG.NumberFormatHeight))</f>
        <v>13</v>
      </c>
      <c r="BZ68">
        <f xml:space="preserve"> VALUE(TEXT( IF(Star_5_2.AreaMultiplier_Default=_xlfn.SINGLE(Star_5_2.AreaMultiplier), Star_5_2.OuterPoints_Default * SQRT(_xlfn.SINGLE(Star_5_2.Aspect)), SQRT(_xlfn.SINGLE(Star_5_2.AreaMultiplier) * BasicBBoxArea * _xlfn.SINGLE(Star_5_2.Aspect)) ), SVG.NumberFormatHeight))</f>
        <v>13</v>
      </c>
      <c r="CD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H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L68">
        <f xml:space="preserve"> VALUE(TEXT( IF(Star_5_2.AreaMultiplier_Default=_xlfn.SINGLE(Star_5_2.AreaMultiplier), Star_5_2.OuterPoints_Default * SQRT(_xlfn.SINGLE(Star_5_2.Aspect)), SQRT(_xlfn.SINGLE(Star_5_2.AreaMultiplier) * BasicBBoxArea * _xlfn.SINGLE(Star_5_2.Aspect)) ), SVG.NumberFormatHeight))</f>
        <v>13</v>
      </c>
      <c r="CP68">
        <f xml:space="preserve"> VALUE(TEXT( IF(Star_5_2.AreaMultiplier_Default=_xlfn.SINGLE(Star_5_2.AreaMultiplier), Star_5_2.OuterPoints_Default * SQRT(_xlfn.SINGLE(Star_5_2.Aspect)), SQRT(_xlfn.SINGLE(Star_5_2.AreaMultiplier) * BasicBBoxArea * _xlfn.SINGLE(Star_5_2.Aspect)) ), SVG.NumberFormatHeight))</f>
        <v>10</v>
      </c>
      <c r="CT68">
        <f xml:space="preserve"> VALUE(TEXT( IF(Star_5_2.AreaMultiplier_Default=_xlfn.SINGLE(Star_5_2.AreaMultiplier), Star_5_2.OuterPoints_Default * SQRT(_xlfn.SINGLE(Star_5_2.Aspect)), SQRT(_xlfn.SINGLE(Star_5_2.AreaMultiplier) * BasicBBoxArea * _xlfn.SINGLE(Star_5_2.Aspect)) ), SVG.NumberFormatHeight))</f>
        <v>13</v>
      </c>
      <c r="CX68">
        <f xml:space="preserve"> VALUE(TEXT( IF(Star_5_2.AreaMultiplier_Default=_xlfn.SINGLE(Star_5_2.AreaMultiplier), Star_5_2.OuterPoints_Default * SQRT(_xlfn.SINGLE(Star_5_2.Aspect)), SQRT(_xlfn.SINGLE(Star_5_2.AreaMultiplier) * BasicBBoxArea * _xlfn.SINGLE(Star_5_2.Aspect)) ), SVG.NumberFormatHeight))</f>
        <v>10</v>
      </c>
    </row>
    <row r="69" spans="5:107">
      <c r="F69" s="4" t="s">
        <v>80</v>
      </c>
      <c r="J69">
        <f xml:space="preserve"> _xlfn.SINGLE(Star_5_2.Height) / _xlfn.SINGLE(Star_5_2.Aspect)</f>
        <v>14.646324000000002</v>
      </c>
      <c r="N69">
        <f xml:space="preserve"> _xlfn.SINGLE(Star_5_2.Height) / _xlfn.SINGLE(Star_5_2.Aspect)</f>
        <v>14.646324000000002</v>
      </c>
      <c r="R69">
        <f xml:space="preserve"> _xlfn.SINGLE(Star_5_2.Height) / _xlfn.SINGLE(Star_5_2.Aspect)</f>
        <v>14.646324000000002</v>
      </c>
      <c r="V69">
        <f xml:space="preserve"> _xlfn.SINGLE(Star_5_2.Height) / _xlfn.SINGLE(Star_5_2.Aspect)</f>
        <v>10</v>
      </c>
      <c r="Z69">
        <f xml:space="preserve"> _xlfn.SINGLE(Star_5_2.Height) / _xlfn.SINGLE(Star_5_2.Aspect)</f>
        <v>10</v>
      </c>
      <c r="AD69">
        <f xml:space="preserve"> _xlfn.SINGLE(Star_5_2.Height) / _xlfn.SINGLE(Star_5_2.Aspect)</f>
        <v>10</v>
      </c>
      <c r="AH69">
        <f xml:space="preserve"> _xlfn.SINGLE(Star_5_2.Height) / _xlfn.SINGLE(Star_5_2.Aspect)</f>
        <v>10</v>
      </c>
      <c r="AL69">
        <f xml:space="preserve"> _xlfn.SINGLE(Star_5_2.Height) / _xlfn.SINGLE(Star_5_2.Aspect)</f>
        <v>10</v>
      </c>
      <c r="AP69">
        <f xml:space="preserve"> _xlfn.SINGLE(Star_5_2.Height) / _xlfn.SINGLE(Star_5_2.Aspect)</f>
        <v>12.761231222086884</v>
      </c>
      <c r="AT69">
        <f xml:space="preserve"> _xlfn.SINGLE(Star_5_2.Height) / _xlfn.SINGLE(Star_5_2.Aspect)</f>
        <v>10</v>
      </c>
      <c r="AX69">
        <f xml:space="preserve"> _xlfn.SINGLE(Star_5_2.Height) / _xlfn.SINGLE(Star_5_2.Aspect)</f>
        <v>12.836959459459459</v>
      </c>
      <c r="BB69">
        <f xml:space="preserve"> _xlfn.SINGLE(Star_5_2.Height) / _xlfn.SINGLE(Star_5_2.Aspect)</f>
        <v>13.038083822261477</v>
      </c>
      <c r="BF69">
        <f xml:space="preserve"> _xlfn.SINGLE(Star_5_2.Height) / _xlfn.SINGLE(Star_5_2.Aspect)</f>
        <v>10</v>
      </c>
      <c r="BJ69">
        <f xml:space="preserve"> _xlfn.SINGLE(Star_5_2.Height) / _xlfn.SINGLE(Star_5_2.Aspect)</f>
        <v>10</v>
      </c>
      <c r="BN69">
        <f xml:space="preserve"> _xlfn.SINGLE(Star_5_2.Height) / _xlfn.SINGLE(Star_5_2.Aspect)</f>
        <v>12.36378</v>
      </c>
      <c r="BR69">
        <f xml:space="preserve"> _xlfn.SINGLE(Star_5_2.Height) / _xlfn.SINGLE(Star_5_2.Aspect)</f>
        <v>8.6686981191551968</v>
      </c>
      <c r="BV69">
        <f xml:space="preserve"> _xlfn.SINGLE(Star_5_2.Height) / _xlfn.SINGLE(Star_5_2.Aspect)</f>
        <v>12.363722222222224</v>
      </c>
      <c r="BZ69">
        <f xml:space="preserve"> _xlfn.SINGLE(Star_5_2.Height) / _xlfn.SINGLE(Star_5_2.Aspect)</f>
        <v>12.36378</v>
      </c>
      <c r="CD69">
        <f xml:space="preserve"> _xlfn.SINGLE(Star_5_2.Height) / _xlfn.SINGLE(Star_5_2.Aspect)</f>
        <v>9.1999999999999993</v>
      </c>
      <c r="CH69">
        <f xml:space="preserve"> _xlfn.SINGLE(Star_5_2.Height) / _xlfn.SINGLE(Star_5_2.Aspect)</f>
        <v>9.1999999999999993</v>
      </c>
      <c r="CL69">
        <f xml:space="preserve"> _xlfn.SINGLE(Star_5_2.Height) / _xlfn.SINGLE(Star_5_2.Aspect)</f>
        <v>12.363722222222224</v>
      </c>
      <c r="CP69">
        <f xml:space="preserve"> _xlfn.SINGLE(Star_5_2.Height) / _xlfn.SINGLE(Star_5_2.Aspect)</f>
        <v>10</v>
      </c>
      <c r="CT69">
        <f xml:space="preserve"> _xlfn.SINGLE(Star_5_2.Height) / _xlfn.SINGLE(Star_5_2.Aspect)</f>
        <v>12.363722222222224</v>
      </c>
      <c r="CX69">
        <f xml:space="preserve"> _xlfn.SINGLE(Star_5_2.Height) / _xlfn.SINGLE(Star_5_2.Aspect)</f>
        <v>10</v>
      </c>
    </row>
    <row r="71" spans="5:107">
      <c r="F71" s="4" t="s">
        <v>2724</v>
      </c>
      <c r="J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R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AP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-9.8995 -8.978 18.7396 18.83</v>
      </c>
      <c r="AX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-9.9517 -9.1613 18.5798 18.9293</v>
      </c>
      <c r="BB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-10 -9.5106 18.0902 19.0212</v>
      </c>
      <c r="B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-0.95106 -1 1.90212 1.80902</v>
      </c>
      <c r="BV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BZ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CL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CT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DC71" t="e">
        <f xml:space="preserve"> NA()</f>
        <v>#N/A</v>
      </c>
    </row>
    <row r="72" spans="5:107">
      <c r="F72" s="4" t="s">
        <v>2742</v>
      </c>
      <c r="J72">
        <f xml:space="preserve"> ROUND(_xlfn.SINGLE(Star_5_2.Width) * (_xlfn.SINGLE(Star_5_2.MaxX) - _xlfn.SINGLE(Star_5_2.MinX)) / MAX(_xlfn.SINGLE(Star_5_2.MaxX),  -_xlfn.SINGLE(Star_5_2.MinX)) / 2, svgSizeDecimalPlaces)</f>
        <v>14.646319999999999</v>
      </c>
      <c r="N72">
        <f xml:space="preserve"> ROUND(_xlfn.SINGLE(Star_5_2.Width) * (_xlfn.SINGLE(Star_5_2.MaxX) - _xlfn.SINGLE(Star_5_2.MinX)) / MAX(_xlfn.SINGLE(Star_5_2.MaxX),  -_xlfn.SINGLE(Star_5_2.MinX)) / 2, svgSizeDecimalPlaces)</f>
        <v>14.646319999999999</v>
      </c>
      <c r="R72">
        <f xml:space="preserve"> ROUND(_xlfn.SINGLE(Star_5_2.Width) * (_xlfn.SINGLE(Star_5_2.MaxX) - _xlfn.SINGLE(Star_5_2.MinX)) / MAX(_xlfn.SINGLE(Star_5_2.MaxX),  -_xlfn.SINGLE(Star_5_2.MinX)) / 2, svgSizeDecimalPlaces)</f>
        <v>14.646319999999999</v>
      </c>
      <c r="AP72">
        <f xml:space="preserve"> ROUND(_xlfn.SINGLE(Star_5_2.Width) * (_xlfn.SINGLE(Star_5_2.MaxX) - _xlfn.SINGLE(Star_5_2.MinX)) / MAX(_xlfn.SINGLE(Star_5_2.MaxX),  -_xlfn.SINGLE(Star_5_2.MinX)) / 2, svgSizeDecimalPlaces)</f>
        <v>12.07841</v>
      </c>
      <c r="AX72">
        <f xml:space="preserve"> ROUND(_xlfn.SINGLE(Star_5_2.Width) * (_xlfn.SINGLE(Star_5_2.MaxX) - _xlfn.SINGLE(Star_5_2.MinX)) / MAX(_xlfn.SINGLE(Star_5_2.MaxX),  -_xlfn.SINGLE(Star_5_2.MinX)) / 2, svgSizeDecimalPlaces)</f>
        <v>11.98329</v>
      </c>
      <c r="BB72">
        <f xml:space="preserve"> ROUND(_xlfn.SINGLE(Star_5_2.Width) * (_xlfn.SINGLE(Star_5_2.MaxX) - _xlfn.SINGLE(Star_5_2.MinX)) / MAX(_xlfn.SINGLE(Star_5_2.MaxX),  -_xlfn.SINGLE(Star_5_2.MinX)) / 2, svgSizeDecimalPlaces)</f>
        <v>11.79308</v>
      </c>
      <c r="BN72">
        <f xml:space="preserve"> ROUND(_xlfn.SINGLE(Star_5_2.Width) * (_xlfn.SINGLE(Star_5_2.MaxX) - _xlfn.SINGLE(Star_5_2.MinX)) / MAX(_xlfn.SINGLE(Star_5_2.MaxX),  -_xlfn.SINGLE(Star_5_2.MinX)) / 2, svgSizeDecimalPlaces)</f>
        <v>12.36378</v>
      </c>
      <c r="BV72">
        <f xml:space="preserve"> ROUND(_xlfn.SINGLE(Star_5_2.Width) * (_xlfn.SINGLE(Star_5_2.MaxX) - _xlfn.SINGLE(Star_5_2.MinX)) / MAX(_xlfn.SINGLE(Star_5_2.MaxX),  -_xlfn.SINGLE(Star_5_2.MinX)) / 2, svgSizeDecimalPlaces)</f>
        <v>12.363720000000001</v>
      </c>
      <c r="BZ72">
        <f xml:space="preserve"> ROUND(_xlfn.SINGLE(Star_5_2.Width) * (_xlfn.SINGLE(Star_5_2.MaxX) - _xlfn.SINGLE(Star_5_2.MinX)) / MAX(_xlfn.SINGLE(Star_5_2.MaxX),  -_xlfn.SINGLE(Star_5_2.MinX)) / 2, svgSizeDecimalPlaces)</f>
        <v>12.36378</v>
      </c>
      <c r="CL72">
        <f xml:space="preserve"> ROUND(_xlfn.SINGLE(Star_5_2.Width) * (_xlfn.SINGLE(Star_5_2.MaxX) - _xlfn.SINGLE(Star_5_2.MinX)) / MAX(_xlfn.SINGLE(Star_5_2.MaxX),  -_xlfn.SINGLE(Star_5_2.MinX)) / 2, svgSizeDecimalPlaces)</f>
        <v>12.363720000000001</v>
      </c>
      <c r="CT72">
        <f xml:space="preserve"> ROUND(_xlfn.SINGLE(Star_5_2.Width) * (_xlfn.SINGLE(Star_5_2.MaxX) - _xlfn.SINGLE(Star_5_2.MinX)) / MAX(_xlfn.SINGLE(Star_5_2.MaxX),  -_xlfn.SINGLE(Star_5_2.MinX)) / 2, svgSizeDecimalPlaces)</f>
        <v>12.363720000000001</v>
      </c>
      <c r="DC72" t="e">
        <f xml:space="preserve"> ROUND(_xlfn.SINGLE(Star_5_2.Width) * (_xlfn.SINGLE(Star_5_2.TightMaxX) - _xlfn.SINGLE(Star_5_2.TightMinX)) / MAX(_xlfn.SINGLE(Star_5_2.MaxX),  -_xlfn.SINGLE(Star_5_2.MinX)) / 2, svgSizeDecimalPlaces)</f>
        <v>#NAME?</v>
      </c>
    </row>
    <row r="73" spans="5:107">
      <c r="F73" s="4" t="s">
        <v>2743</v>
      </c>
      <c r="J73">
        <f xml:space="preserve"> ROUND(_xlfn.SINGLE(Star_5_2.Height) * (_xlfn.SINGLE(Star_5_2.MaxY) - _xlfn.SINGLE(Star_5_2.MinY)) / MAX(_xlfn.SINGLE(Star_5_2.MaxY),  -_xlfn.SINGLE(Star_5_2.MinY)) / 2, svgSizeDecimalPlaces)</f>
        <v>13.929449999999999</v>
      </c>
      <c r="N73">
        <f xml:space="preserve"> ROUND(_xlfn.SINGLE(Star_5_2.Height) * (_xlfn.SINGLE(Star_5_2.MaxY) - _xlfn.SINGLE(Star_5_2.MinY)) / MAX(_xlfn.SINGLE(Star_5_2.MaxY),  -_xlfn.SINGLE(Star_5_2.MinY)) / 2, svgSizeDecimalPlaces)</f>
        <v>13.929449999999999</v>
      </c>
      <c r="R73">
        <f xml:space="preserve"> ROUND(_xlfn.SINGLE(Star_5_2.Height) * (_xlfn.SINGLE(Star_5_2.MaxY) - _xlfn.SINGLE(Star_5_2.MinY)) / MAX(_xlfn.SINGLE(Star_5_2.MaxY),  -_xlfn.SINGLE(Star_5_2.MinY)) / 2, svgSizeDecimalPlaces)</f>
        <v>13.929449999999999</v>
      </c>
      <c r="AP73">
        <f xml:space="preserve"> ROUND(_xlfn.SINGLE(Star_5_2.Height) * (_xlfn.SINGLE(Star_5_2.MaxY) - _xlfn.SINGLE(Star_5_2.MinY)) / MAX(_xlfn.SINGLE(Star_5_2.MaxY),  -_xlfn.SINGLE(Star_5_2.MinY)) / 2, svgSizeDecimalPlaces)</f>
        <v>12.136670000000001</v>
      </c>
      <c r="AX73">
        <f xml:space="preserve"> ROUND(_xlfn.SINGLE(Star_5_2.Height) * (_xlfn.SINGLE(Star_5_2.MaxY) - _xlfn.SINGLE(Star_5_2.MinY)) / MAX(_xlfn.SINGLE(Star_5_2.MaxY),  -_xlfn.SINGLE(Star_5_2.MinY)) / 2, svgSizeDecimalPlaces)</f>
        <v>12.2087</v>
      </c>
      <c r="BB73">
        <f xml:space="preserve"> ROUND(_xlfn.SINGLE(Star_5_2.Height) * (_xlfn.SINGLE(Star_5_2.MaxY) - _xlfn.SINGLE(Star_5_2.MinY)) / MAX(_xlfn.SINGLE(Star_5_2.MaxY),  -_xlfn.SINGLE(Star_5_2.MinY)) / 2, svgSizeDecimalPlaces)</f>
        <v>12.4</v>
      </c>
      <c r="BN73">
        <f xml:space="preserve"> ROUND(_xlfn.SINGLE(Star_5_2.Height) * (_xlfn.SINGLE(Star_5_2.MaxY) - _xlfn.SINGLE(Star_5_2.MinY)) / MAX(_xlfn.SINGLE(Star_5_2.MaxY),  -_xlfn.SINGLE(Star_5_2.MinY)) / 2, svgSizeDecimalPlaces)</f>
        <v>11.75863</v>
      </c>
      <c r="BV73">
        <f xml:space="preserve"> ROUND(_xlfn.SINGLE(Star_5_2.Height) * (_xlfn.SINGLE(Star_5_2.MaxY) - _xlfn.SINGLE(Star_5_2.MinY)) / MAX(_xlfn.SINGLE(Star_5_2.MaxY),  -_xlfn.SINGLE(Star_5_2.MinY)) / 2, svgSizeDecimalPlaces)</f>
        <v>11.758620000000001</v>
      </c>
      <c r="BZ73">
        <f xml:space="preserve"> ROUND(_xlfn.SINGLE(Star_5_2.Height) * (_xlfn.SINGLE(Star_5_2.MaxY) - _xlfn.SINGLE(Star_5_2.MinY)) / MAX(_xlfn.SINGLE(Star_5_2.MaxY),  -_xlfn.SINGLE(Star_5_2.MinY)) / 2, svgSizeDecimalPlaces)</f>
        <v>11.75863</v>
      </c>
      <c r="CL73">
        <f xml:space="preserve"> ROUND(_xlfn.SINGLE(Star_5_2.Height) * (_xlfn.SINGLE(Star_5_2.MaxY) - _xlfn.SINGLE(Star_5_2.MinY)) / MAX(_xlfn.SINGLE(Star_5_2.MaxY),  -_xlfn.SINGLE(Star_5_2.MinY)) / 2, svgSizeDecimalPlaces)</f>
        <v>11.758620000000001</v>
      </c>
      <c r="CT73">
        <f xml:space="preserve"> ROUND(_xlfn.SINGLE(Star_5_2.Height) * (_xlfn.SINGLE(Star_5_2.MaxY) - _xlfn.SINGLE(Star_5_2.MinY)) / MAX(_xlfn.SINGLE(Star_5_2.MaxY),  -_xlfn.SINGLE(Star_5_2.MinY)) / 2, svgSizeDecimalPlaces)</f>
        <v>11.758620000000001</v>
      </c>
      <c r="DC73" t="e">
        <f xml:space="preserve"> ROUND(_xlfn.SINGLE(Star_5_2.Height) * (_xlfn.SINGLE(Star_5_2.TightMaxY) - _xlfn.SINGLE(Star_5_2.TightMinY)) / MAX(_xlfn.SINGLE(Star_5_2.MaxY),  -_xlfn.SINGLE(Star_5_2.MinY)) / 2, svgSizeDecimalPlaces)</f>
        <v>#NAME?</v>
      </c>
    </row>
    <row r="75" spans="5:107" ht="17" thickBot="1">
      <c r="F75" s="6" t="s">
        <v>95</v>
      </c>
    </row>
    <row r="76" spans="5:107">
      <c r="E76" t="s">
        <v>1738</v>
      </c>
      <c r="G76" s="12" t="str">
        <f xml:space="preserve"> ""</f>
        <v/>
      </c>
      <c r="H76" s="7"/>
      <c r="I76" s="7"/>
      <c r="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K76" s="7" t="str">
        <f xml:space="preserve"> ""</f>
        <v/>
      </c>
      <c r="L76" s="7"/>
      <c r="M76" s="7"/>
      <c r="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O76" s="7"/>
      <c r="P76" s="7"/>
      <c r="Q76" s="7"/>
      <c r="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S76" s="7"/>
      <c r="T76" s="7"/>
      <c r="U76" s="7"/>
      <c r="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W76" s="7" t="str">
        <f xml:space="preserve"> ""</f>
        <v/>
      </c>
      <c r="X76" s="7"/>
      <c r="Y76" s="7"/>
      <c r="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A76" s="7"/>
      <c r="AB76" s="7"/>
      <c r="AC76" s="7"/>
      <c r="A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E76" s="7"/>
      <c r="AF76" s="7"/>
      <c r="AG76" s="7"/>
      <c r="A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I76" s="7"/>
      <c r="AJ76" s="7"/>
      <c r="AK76" s="7"/>
      <c r="A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viewBox='-5 -5 10 10'  id='%thisID%' xmlns='http://www.w3.org/2000/svg'&gt;</v>
      </c>
      <c r="AM76" s="7" t="str">
        <f xml:space="preserve"> ""</f>
        <v/>
      </c>
      <c r="AN76" s="7"/>
      <c r="AO76" s="7"/>
      <c r="A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width='12.76123' height='12.7' viewBox='-9.8995 -9.852 19.799 19.704'  id='%thisID%' xmlns='http://www.w3.org/2000/svg'&gt;</v>
      </c>
      <c r="AQ76" s="7" t="str">
        <f xml:space="preserve"> ""</f>
        <v/>
      </c>
      <c r="AR76" s="7"/>
      <c r="AS76" s="7"/>
      <c r="A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viewBox='-1 -1 2 2'  id='%thisID%' xmlns='http://www.w3.org/2000/svg'&gt;</v>
      </c>
      <c r="AU76" s="7" t="str">
        <f xml:space="preserve"> ""</f>
        <v/>
      </c>
      <c r="AV76" s="7"/>
      <c r="AW76" s="7"/>
      <c r="A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width='12.83696' height='12.6' viewBox='-9.9517 -9.768 19.9034 19.536'  id='%thisID%' xmlns='http://www.w3.org/2000/svg'&gt;</v>
      </c>
      <c r="AY76" s="7" t="str">
        <f xml:space="preserve"> ""</f>
        <v/>
      </c>
      <c r="AZ76" s="7"/>
      <c r="BA76" s="7"/>
      <c r="BB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width='13.03808' height='12.4' viewBox='-10 -9.5106 20 19.0212'  id='%thisID%' xmlns='http://www.w3.org/2000/svg'&gt;</v>
      </c>
      <c r="BC76" s="7" t="str">
        <f xml:space="preserve"> ""</f>
        <v/>
      </c>
      <c r="BD76" s="7"/>
      <c r="BE76" s="7"/>
      <c r="BF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viewBox='-4 -4 8 8'  id='%thisID%' xmlns='http://www.w3.org/2000/svg'&gt;</v>
      </c>
      <c r="BG76" s="7" t="str">
        <f xml:space="preserve"> ""</f>
        <v/>
      </c>
      <c r="BH76" s="7"/>
      <c r="BI76" s="7"/>
      <c r="B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viewBox='-16 -16 32 32'  id='%thisID%' xmlns='http://www.w3.org/2000/svg'&gt;</v>
      </c>
      <c r="BK76" s="7" t="str">
        <f xml:space="preserve"> ""</f>
        <v/>
      </c>
      <c r="BL76" s="7"/>
      <c r="BM76" s="7"/>
      <c r="B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viewBox='-0.95106 -1 1.90212 2'  id='%thisID%' xmlns='http://www.w3.org/2000/svg'&gt;</v>
      </c>
      <c r="BO76" s="7" t="str">
        <f xml:space="preserve"> ""</f>
        <v/>
      </c>
      <c r="BP76" s="7"/>
      <c r="BQ76" s="7"/>
      <c r="B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width='8.6687' height='9.9' viewBox='-6 -6.85224 12 13.70448'  id='%thisID%' xmlns='http://www.w3.org/2000/svg'&gt;</v>
      </c>
      <c r="BS76" s="7"/>
      <c r="BT76" s="7"/>
      <c r="BU76" s="7"/>
      <c r="B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W76" s="7" t="str">
        <f xml:space="preserve"> ""</f>
        <v/>
      </c>
      <c r="BX76" s="7"/>
      <c r="BY76" s="7"/>
      <c r="B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viewBox='-9.5106 -10 19.0212 20'  id='%thisID%' xmlns='http://www.w3.org/2000/svg'&gt;</v>
      </c>
      <c r="CA76" s="7" t="str">
        <f xml:space="preserve"> ""</f>
        <v/>
      </c>
      <c r="CB76" s="7"/>
      <c r="CC76" s="7"/>
      <c r="C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viewBox='-8 -8 16 16'  id='%thisID%' xmlns='http://www.w3.org/2000/svg'&gt;</v>
      </c>
      <c r="CE76" s="7" t="str">
        <f xml:space="preserve"> ""</f>
        <v/>
      </c>
      <c r="CF76" s="7"/>
      <c r="CG76" s="7"/>
      <c r="C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viewBox='-1 -1 2 2'  id='%thisID%' xmlns='http://www.w3.org/2000/svg'&gt;</v>
      </c>
      <c r="CI76" s="7" t="str">
        <f xml:space="preserve"> ""</f>
        <v/>
      </c>
      <c r="CJ76" s="7"/>
      <c r="CK76" s="7"/>
      <c r="C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M76" s="7"/>
      <c r="CN76" s="7"/>
      <c r="CO76" s="7"/>
      <c r="C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width='10' height='10' viewBox='-40 -40 80 80' id='%thisID%' xmlns='http://www.w3.org/2000/svg'&gt;</v>
      </c>
      <c r="CQ76" s="7"/>
      <c r="CR76" s="7"/>
      <c r="CS76" s="7"/>
      <c r="C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U76" s="7"/>
      <c r="CV76" s="7"/>
      <c r="CW76" s="7"/>
      <c r="C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viewBox='-3 -3 6 6'  id='%thisID%' xmlns='http://www.w3.org/2000/svg'&gt;</v>
      </c>
      <c r="CY76" s="7"/>
      <c r="CZ76" s="7"/>
      <c r="DA76" s="7"/>
      <c r="DB76" s="7"/>
      <c r="DC76" s="8"/>
    </row>
    <row r="77" spans="5:107">
      <c r="E77" t="s">
        <v>1739</v>
      </c>
      <c r="G77" s="13" t="str">
        <f t="shared" ref="G77:G87" si="126" xml:space="preserve"> ""</f>
        <v/>
      </c>
      <c r="K77" t="str">
        <f t="shared" ref="K77:K87" si="127" xml:space="preserve"> ""</f>
        <v/>
      </c>
      <c r="V77" s="27" t="str">
        <f xml:space="preserve"> "&lt;circle " &amp; _xlfn.SINGLE(Star_5_2.SVG_painting_Outer) &amp; " r='" &amp; ROUND(_xlfn.SINGLE(Star_5_2.SizeOuter), _xlfn.SINGLE(Star_5_2.DecimalPlaces)) &amp; "'/&gt;"</f>
        <v>&lt;circle fill='#F3F'  r='10'/&gt;</v>
      </c>
      <c r="W77" t="str">
        <f t="shared" ref="W77:W87" si="128" xml:space="preserve"> ""</f>
        <v/>
      </c>
      <c r="Z77" s="27" t="str">
        <f xml:space="preserve"> "&lt;circle " &amp; _xlfn.SINGLE(Star_5_2.SVG_painting_Outer) &amp; " r='" &amp; ROUND(_xlfn.SINGLE(Star_5_2.SizeOuter), _xlfn.SINGLE(Star_5_2.DecimalPlaces)) &amp; "'/&gt;"</f>
        <v>&lt;circle fill='#F3F'  r='10'/&gt;</v>
      </c>
      <c r="AD77" s="27" t="str">
        <f xml:space="preserve"> "&lt;circle " &amp; _xlfn.SINGLE(Star_5_2.SVG_painting_Outer) &amp; " r='" &amp; ROUND(_xlfn.SINGLE(Star_5_2.SizeOuter), _xlfn.SINGLE(Star_5_2.DecimalPlaces)) &amp; "'/&gt;"</f>
        <v>&lt;circle fill='#F3F'  r='10'/&gt;</v>
      </c>
      <c r="AH77" s="27" t="str">
        <f xml:space="preserve"> "&lt;circle " &amp; _xlfn.SINGLE(Star_5_2.SVG_painting_Outer) &amp; " r='" &amp; ROUND(_xlfn.SINGLE(Star_5_2.SizeOuter), _xlfn.SINGLE(Star_5_2.DecimalPlaces)) &amp; "'/&gt;"</f>
        <v>&lt;circle fill='#F3F'  r='10'/&gt;</v>
      </c>
      <c r="AL77" s="27" t="str">
        <f xml:space="preserve"> "&lt;circle " &amp; _xlfn.SINGLE(Star_5_2.SVG_painting_Outer) &amp; " r='" &amp; ROUND(_xlfn.SINGLE(Star_5_2.SizeOuter), _xlfn.SINGLE(Star_5_2.DecimalPlaces)) &amp; "'/&gt;"</f>
        <v>&lt;circle fill='#012169' r='5'/&gt;</v>
      </c>
      <c r="AM77" t="str">
        <f t="shared" ref="AM77:AM87" si="129" xml:space="preserve"> ""</f>
        <v/>
      </c>
      <c r="AQ77" t="str">
        <f t="shared" ref="AQ77:AQ87" si="130" xml:space="preserve"> ""</f>
        <v/>
      </c>
      <c r="AT77" s="27" t="str">
        <f xml:space="preserve"> "&lt;circle " &amp; _xlfn.SINGLE(Star_5_2.SVG_painting_Outer) &amp; " r='" &amp; ROUND(_xlfn.SINGLE(Star_5_2.SizeOuter), _xlfn.SINGLE(Star_5_2.DecimalPlaces)) &amp; "'/&gt;"</f>
        <v>&lt;circle fill='#A78337' r='1'/&gt;</v>
      </c>
      <c r="AU77" t="str">
        <f t="shared" ref="AU77:AU87" si="131" xml:space="preserve"> ""</f>
        <v/>
      </c>
      <c r="AY77" t="str">
        <f t="shared" ref="AY77:AY87" si="132" xml:space="preserve"> ""</f>
        <v/>
      </c>
      <c r="BC77" t="str">
        <f t="shared" ref="BC77:BC87" si="133" xml:space="preserve"> ""</f>
        <v/>
      </c>
      <c r="BF77" s="27" t="str">
        <f xml:space="preserve"> "&lt;circle " &amp; _xlfn.SINGLE(Star_5_2.SVG_painting_Outer) &amp; " r='" &amp; ROUND(_xlfn.SINGLE(Star_5_2.SizeOuter), _xlfn.SINGLE(Star_5_2.DecimalPlaces)) &amp; "'/&gt;"</f>
        <v>&lt;circle fill='#0F47AF' r='4'/&gt;</v>
      </c>
      <c r="BG77" t="str">
        <f t="shared" ref="BG77:BG87" si="134" xml:space="preserve"> ""</f>
        <v/>
      </c>
      <c r="BJ77" s="27" t="str">
        <f xml:space="preserve"> "&lt;circle " &amp; _xlfn.SINGLE(Star_5_2.SVG_painting_Outer) &amp; " r='" &amp; ROUND(_xlfn.SINGLE(Star_5_2.SizeOuter), _xlfn.SINGLE(Star_5_2.DecimalPlaces)) &amp; "'/&gt;"</f>
        <v>&lt;circle fill='#E70013' r='16'/&gt;</v>
      </c>
      <c r="BK77" t="str">
        <f t="shared" ref="BK77:BK87" si="135" xml:space="preserve"> ""</f>
        <v/>
      </c>
      <c r="BO77" t="str">
        <f t="shared" ref="BO77:BO87" si="136" xml:space="preserve"> ""</f>
        <v/>
      </c>
      <c r="BR77" s="27" t="str" cm="1">
        <f t="array" ref="BR77" xml:space="preserve"> svgPathRect(_xlfn.SINGLE(Star_5_2.DecimalPlaces), _xlfn.SINGLE(Star_5_2.SVG_painting_Outer), _xlfn.SINGLE(Star_5_2.SizeOuter), _xlfn.SINGLE(Star_5_2.MaxY))</f>
        <v>&lt;path fill='#006633' d='M6 6.85224H-6V-6.85224H6Z'/&gt;</v>
      </c>
      <c r="BW77" t="str">
        <f t="shared" ref="BW77:BW87" si="137" xml:space="preserve"> ""</f>
        <v/>
      </c>
      <c r="CA77" t="str">
        <f t="shared" ref="CA77:CA87" si="138" xml:space="preserve"> ""</f>
        <v/>
      </c>
      <c r="CD77" s="27" t="str" cm="1">
        <f t="array" ref="CD77" xml:space="preserve"> svgPathRect(DecimalPlaces, _xlfn.SINGLE(Star_5_2.SVG_painting_Outer), _xlfn.SINGLE(Star_5_2.SizeOuter), _xlfn.SINGLE(Star_5_2.SizeOuter))</f>
        <v>&lt;path fill='#D52B1E' d='M8 8V-8H-8V8Z'/&gt;</v>
      </c>
      <c r="CE77" t="str">
        <f t="shared" ref="CE77:CE87" si="139" xml:space="preserve"> ""</f>
        <v/>
      </c>
      <c r="CH77" s="27" t="str" cm="1">
        <f t="array" ref="CH77" xml:space="preserve"> svgPathRect(DecimalPlaces, _xlfn.SINGLE(Star_5_2.SVG_painting_Outer), _xlfn.SINGLE(Star_5_2.SizeOuter), _xlfn.SINGLE(Star_5_2.SizeOuter))</f>
        <v>&lt;path fill='#072357' d='M1 1V-1H-1V1Z'/&gt;</v>
      </c>
      <c r="CI77" t="str">
        <f t="shared" ref="CI77:CI87" si="140" xml:space="preserve"> ""</f>
        <v/>
      </c>
      <c r="CP77" s="27" t="str">
        <f xml:space="preserve"> "&lt;circle " &amp; _xlfn.SINGLE(Star_5_2.SVG_painting_Outer) &amp; " r='40'/&gt;"</f>
        <v>&lt;circle fill='#024FA2' r='40'/&gt;</v>
      </c>
      <c r="CX77" t="str">
        <f xml:space="preserve"> "&lt;circle r='" &amp; ROUND(_xlfn.SINGLE(Star_5_2.SizeOuter), _xlfn.SINGLE(Star_5_2.DecimalPlaces)) &amp; "' " &amp; _xlfn.SINGLE(Star_5_2.SVG_painting_Outer) &amp;"/&gt;"</f>
        <v>&lt;circle r='3' fill='#1EB53A'/&gt;</v>
      </c>
      <c r="DC77" s="9"/>
    </row>
    <row r="78" spans="5:107">
      <c r="E78" t="s">
        <v>1740</v>
      </c>
      <c r="G78" s="13" t="str">
        <f t="shared" si="126"/>
        <v/>
      </c>
      <c r="K78" t="str">
        <f t="shared" si="127"/>
        <v/>
      </c>
      <c r="V78" s="27" t="str">
        <f xml:space="preserve"> "&lt;circle " &amp; _xlfn.SINGLE(Star_5_2.SVG_painting_Middle) &amp; " r='" &amp; _xlfn.SINGLE(Star_5_2.SizeMiddle) &amp; "'/&gt;"</f>
        <v>&lt;circle fill='#FFF' r='8'/&gt;</v>
      </c>
      <c r="W78" t="str">
        <f t="shared" si="128"/>
        <v/>
      </c>
      <c r="Z78" s="27" t="str">
        <f xml:space="preserve"> "&lt;circle " &amp; _xlfn.SINGLE(Star_5_2.SVG_painting_Middle) &amp; " r='" &amp; _xlfn.SINGLE(Star_5_2.SizeMiddle) &amp; "'/&gt;"</f>
        <v>&lt;circle fill='#FFF' r='8'/&gt;</v>
      </c>
      <c r="AD78" s="27" t="str">
        <f xml:space="preserve"> "&lt;circle " &amp; _xlfn.SINGLE(Star_5_2.SVG_painting_Middle) &amp; " r='" &amp; _xlfn.SINGLE(Star_5_2.SizeMiddle) &amp; "'/&gt;"</f>
        <v>&lt;circle fill='#039' r='8'/&gt;</v>
      </c>
      <c r="AH78" s="27" t="str">
        <f xml:space="preserve"> "&lt;circle " &amp; _xlfn.SINGLE(Star_5_2.SVG_painting_Middle) &amp; " r='" &amp; _xlfn.SINGLE(Star_5_2.SizeMiddle) &amp; "'/&gt;"</f>
        <v>&lt;circle fill='#FFF' r='8'/&gt;</v>
      </c>
      <c r="AM78" t="str">
        <f t="shared" si="129"/>
        <v/>
      </c>
      <c r="AQ78" t="str">
        <f t="shared" si="130"/>
        <v/>
      </c>
      <c r="AU78" t="str">
        <f t="shared" si="131"/>
        <v/>
      </c>
      <c r="AY78" t="str">
        <f t="shared" si="132"/>
        <v/>
      </c>
      <c r="BC78" t="str">
        <f t="shared" si="133"/>
        <v/>
      </c>
      <c r="BG78" t="str">
        <f t="shared" si="134"/>
        <v/>
      </c>
      <c r="BJ78" s="27" t="str">
        <f xml:space="preserve"> "&lt;circle " &amp; _xlfn.SINGLE(Star_5_2.SVG_painting_Middle) &amp; " r='" &amp; ROUND(_xlfn.SINGLE(Star_5_2.SizeMiddle), _xlfn.SINGLE(Star_5_2.DecimalPlaces)) &amp; "'/&gt;"</f>
        <v>&lt;circle fill='#FFF' r='14'/&gt;</v>
      </c>
      <c r="BK78" t="str">
        <f t="shared" si="135"/>
        <v/>
      </c>
      <c r="BO78" t="str">
        <f t="shared" si="136"/>
        <v/>
      </c>
      <c r="BR78" s="27" t="str" cm="1">
        <f t="array" ref="BR78" xml:space="preserve"> svgPathRect(_xlfn.SINGLE(Star_5_2.DecimalPlaces), _xlfn.SINGLE(Star_5_2.SVG_painting_Middle), _xlfn.SINGLE(Star_5_2.SizeMiddle), _xlfn.SINGLE(Star_5_2.MaxY) + _xlfn.SINGLE(Star_5_2.SizeMiddle) - _xlfn.SINGLE(Star_5_2.SizeOuter))</f>
        <v>&lt;path fill='#FFF' d='M4.8541 5.70634H-4.8541V-5.70634H4.8541Z'/&gt;</v>
      </c>
      <c r="BW78" t="str">
        <f t="shared" si="137"/>
        <v/>
      </c>
      <c r="CA78" t="str">
        <f t="shared" si="138"/>
        <v/>
      </c>
      <c r="CD78" s="27" t="str" cm="1">
        <f t="array" ref="CD78" xml:space="preserve"> svgPathRect(DecimalPlaces, _xlfn.SINGLE(Star_5_2.SVG_painting_Middle), _xlfn.SINGLE(Star_5_2.SizeMiddle), _xlfn.SINGLE(Star_5_2.SizeMiddle))</f>
        <v>&lt;path fill='#FFF' d='M7 7V-7H-7V7Z'/&gt;</v>
      </c>
      <c r="CE78" t="str">
        <f t="shared" si="139"/>
        <v/>
      </c>
      <c r="CI78" t="str">
        <f t="shared" si="140"/>
        <v/>
      </c>
      <c r="CP78" s="27" t="str">
        <f xml:space="preserve"> "&lt;circle " &amp; _xlfn.SINGLE(Star_5_2.SVG_painting_Middle) &amp; " r='32'/&gt;"</f>
        <v>&lt;circle fill='#ED1C27' r='32'/&gt;</v>
      </c>
      <c r="CX78"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8" s="9"/>
    </row>
    <row r="79" spans="5:107">
      <c r="E79" t="s">
        <v>1741</v>
      </c>
      <c r="G79" s="13" t="str">
        <f t="shared" si="126"/>
        <v/>
      </c>
      <c r="J79" t="str" cm="1">
        <f t="array" ref="J79"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9" t="str">
        <f t="shared" si="127"/>
        <v/>
      </c>
      <c r="N79" t="str" cm="1">
        <f t="array" ref="N79"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9" t="str" cm="1">
        <f t="array" ref="R79"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9" t="str" cm="1">
        <f t="array" ref="V79" xml:space="preserve"> IF(_xlfn.SINGLE(Star_5_2.MultipleStars), "&lt;defs&gt;&lt;path id='" &amp; _xlfn.SINGLE(Star_5_2.ID) &amp; "-s' d='" &amp; _xlfn.TEXTJOIN(" ", TRUE, IF("Path"=Star_5_2.Part,V$17:V$59,"")) &amp; "'/&gt;&lt;/defs&gt;", "")</f>
        <v/>
      </c>
      <c r="W79" t="str">
        <f t="shared" si="128"/>
        <v/>
      </c>
      <c r="Z79" t="str" cm="1">
        <f t="array" ref="Z79" xml:space="preserve"> IF(_xlfn.SINGLE(Star_5_2.MultipleStars), "&lt;defs&gt;&lt;path id='" &amp; _xlfn.SINGLE(Star_5_2.ID) &amp; "-s' d='" &amp; _xlfn.TEXTJOIN(" ", TRUE, IF("Path"=Star_5_2.Part,Z$17:Z$59,"")) &amp; "'/&gt;&lt;/defs&gt;", "")</f>
        <v/>
      </c>
      <c r="AD79" t="str" cm="1">
        <f t="array" ref="AD79" xml:space="preserve"> IF(_xlfn.SINGLE(Star_5_2.MultipleStars), "&lt;defs&gt;&lt;path id='" &amp; _xlfn.SINGLE(Star_5_2.ID) &amp; "-s' d='" &amp; _xlfn.TEXTJOIN(" ", TRUE, IF("Path"=Star_5_2.Part,AD$17:AD$59,"")) &amp; "'/&gt;&lt;/defs&gt;", "")</f>
        <v/>
      </c>
      <c r="AH79" t="str" cm="1">
        <f t="array" ref="AH79" xml:space="preserve"> IF(_xlfn.SINGLE(Star_5_2.MultipleStars), "&lt;defs&gt;&lt;path id='" &amp; _xlfn.SINGLE(Star_5_2.ID) &amp; "-s' d='" &amp; _xlfn.TEXTJOIN(" ", TRUE, IF("Path"=Star_5_2.Part,AH$17:AH$59,"")) &amp; "'/&gt;&lt;/defs&gt;", "")</f>
        <v/>
      </c>
      <c r="AL79" t="str" cm="1">
        <f t="array" ref="AL79"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9" t="str">
        <f t="shared" si="129"/>
        <v/>
      </c>
      <c r="AP79" t="str" cm="1">
        <f t="array" ref="AP79"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9" t="str">
        <f t="shared" si="130"/>
        <v/>
      </c>
      <c r="AT79" t="str" cm="1">
        <f t="array" ref="AT79" xml:space="preserve"> IF(_xlfn.SINGLE(Star_5_2.MultipleStars), "&lt;defs&gt;&lt;path id='" &amp; _xlfn.SINGLE(Star_5_2.ID) &amp; "-s' d='" &amp; _xlfn.TEXTJOIN(" ", TRUE, IF("Path"=Star_5_2.Part,AT$17:AT$59,"")) &amp; "'/&gt;&lt;/defs&gt;", "")</f>
        <v/>
      </c>
      <c r="AU79" t="str">
        <f t="shared" si="131"/>
        <v/>
      </c>
      <c r="AX79" t="str" cm="1">
        <f t="array" ref="AX79"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9" t="str">
        <f t="shared" si="132"/>
        <v/>
      </c>
      <c r="BB79" t="str" cm="1">
        <f t="array" ref="BB79"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9" t="str">
        <f t="shared" si="133"/>
        <v/>
      </c>
      <c r="BF79" t="str" cm="1">
        <f t="array" ref="BF79"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9" t="str">
        <f t="shared" si="134"/>
        <v/>
      </c>
      <c r="BJ79" t="str" cm="1">
        <f t="array" ref="BJ79" xml:space="preserve"> IF(_xlfn.SINGLE(Star_5_2.MultipleStars), "&lt;defs&gt;&lt;path id='" &amp; _xlfn.SINGLE(Star_5_2.ID) &amp; "-s' d='" &amp; _xlfn.TEXTJOIN(" ", TRUE, IF("Path"=Star_5_2.Part,BJ$17:BJ$59,"")) &amp; "'/&gt;&lt;/defs&gt;", "")</f>
        <v/>
      </c>
      <c r="BK79" t="str">
        <f t="shared" si="135"/>
        <v/>
      </c>
      <c r="BN79" t="str" cm="1">
        <f t="array" ref="BN79" xml:space="preserve"> IF(_xlfn.SINGLE(Star_5_2.MultipleStars), "&lt;defs&gt;&lt;path id='" &amp; _xlfn.SINGLE(Star_5_2.ID) &amp; "-s' d='" &amp; _xlfn.TEXTJOIN(" ", TRUE, IF("Path"=Star_5_2.Part,BN$17:BN$59,"")) &amp; "'/&gt;&lt;/defs&gt;", "")</f>
        <v/>
      </c>
      <c r="BO79" t="str">
        <f t="shared" si="136"/>
        <v/>
      </c>
      <c r="BR79" t="str" cm="1">
        <f t="array" ref="BR79" xml:space="preserve"> IF(_xlfn.SINGLE(Star_5_2.MultipleStars), "&lt;defs&gt;&lt;path id='" &amp; _xlfn.SINGLE(Star_5_2.ID) &amp; "-s' d='" &amp; _xlfn.TEXTJOIN(" ", TRUE, IF("Path"=Star_5_2.Part,BR$17:BR$59,"")) &amp; "'/&gt;&lt;/defs&gt;", "")</f>
        <v/>
      </c>
      <c r="BV79" t="str" cm="1">
        <f t="array" ref="BV79"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9" t="str">
        <f t="shared" si="137"/>
        <v/>
      </c>
      <c r="BZ79" t="str" cm="1">
        <f t="array" ref="BZ79"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9" t="str">
        <f t="shared" si="138"/>
        <v/>
      </c>
      <c r="CD79" t="str" cm="1">
        <f t="array" ref="CD79" xml:space="preserve"> IF(_xlfn.SINGLE(Star_5_2.MultipleStars), "&lt;defs&gt;&lt;path id='" &amp; _xlfn.SINGLE(Star_5_2.ID) &amp; "-s' d='" &amp; _xlfn.TEXTJOIN(" ", TRUE, IF("Path"=Star_5_2.Part,CD$17:CD$59,"")) &amp; "'/&gt;&lt;/defs&gt;", "")</f>
        <v/>
      </c>
      <c r="CE79" t="str">
        <f t="shared" si="139"/>
        <v/>
      </c>
      <c r="CH79" t="str" cm="1">
        <f t="array" ref="CH79" xml:space="preserve"> IF(_xlfn.SINGLE(Star_5_2.MultipleStars), "&lt;defs&gt;&lt;path id='" &amp; _xlfn.SINGLE(Star_5_2.ID) &amp; "-s' d='" &amp; _xlfn.TEXTJOIN(" ", TRUE, IF("Path"=Star_5_2.Part,CH$17:CH$59,"")) &amp; "'/&gt;&lt;/defs&gt;", "")</f>
        <v/>
      </c>
      <c r="CI79" t="str">
        <f t="shared" si="140"/>
        <v/>
      </c>
      <c r="CL79" t="str" cm="1">
        <f t="array" ref="CL79"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9" t="str" cm="1">
        <f t="array" ref="CT79"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9" t="str" cm="1">
        <f t="array" ref="CX79" xml:space="preserve"> IF(_xlfn.SINGLE(Star_5_2.MultipleStars), "&lt;defs&gt;&lt;path id='" &amp; _xlfn.SINGLE(Star_5_2.ID) &amp; "-s' d='" &amp; _xlfn.TEXTJOIN(" ", TRUE, IF("Path"=Star_5_2.Part,CX$17:CX$59,"")) &amp; "'/&gt;&lt;/defs&gt;", "")</f>
        <v/>
      </c>
      <c r="DC79" s="9"/>
    </row>
    <row r="80" spans="5:107">
      <c r="E80" t="s">
        <v>1753</v>
      </c>
      <c r="G80" s="13" t="str">
        <f t="shared" si="126"/>
        <v/>
      </c>
      <c r="K80" t="str">
        <f t="shared" si="127"/>
        <v/>
      </c>
      <c r="V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80" t="str">
        <f t="shared" si="128"/>
        <v/>
      </c>
      <c r="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80" s="55"/>
      <c r="AM80" t="str">
        <f t="shared" si="129"/>
        <v/>
      </c>
      <c r="AP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80" t="str">
        <f t="shared" si="130"/>
        <v/>
      </c>
      <c r="A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80" t="str">
        <f t="shared" si="131"/>
        <v/>
      </c>
      <c r="A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80" t="str">
        <f t="shared" si="132"/>
        <v/>
      </c>
      <c r="BB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80" t="str">
        <f t="shared" si="133"/>
        <v/>
      </c>
      <c r="BF80" s="55"/>
      <c r="BG80" t="str">
        <f t="shared" si="134"/>
        <v/>
      </c>
      <c r="BJ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80" t="str">
        <f t="shared" si="135"/>
        <v/>
      </c>
      <c r="BN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80" t="str">
        <f t="shared" si="136"/>
        <v/>
      </c>
      <c r="BR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80" t="str">
        <f t="shared" si="137"/>
        <v/>
      </c>
      <c r="B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80" t="str">
        <f t="shared" si="138"/>
        <v/>
      </c>
      <c r="C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80" t="str">
        <f t="shared" si="139"/>
        <v/>
      </c>
      <c r="C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80" t="str">
        <f t="shared" si="140"/>
        <v/>
      </c>
      <c r="CL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80" s="9"/>
    </row>
    <row r="81" spans="3:107">
      <c r="E81" t="s">
        <v>1754</v>
      </c>
      <c r="G81" s="13" t="str">
        <f t="shared" si="126"/>
        <v/>
      </c>
      <c r="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81" t="str">
        <f t="shared" si="127"/>
        <v/>
      </c>
      <c r="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81" t="str">
        <f t="shared" si="128"/>
        <v/>
      </c>
      <c r="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81" t="str">
        <f t="shared" si="129"/>
        <v/>
      </c>
      <c r="AP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81" t="str">
        <f t="shared" si="130"/>
        <v/>
      </c>
      <c r="A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81" t="str">
        <f t="shared" si="131"/>
        <v/>
      </c>
      <c r="A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81" t="str">
        <f t="shared" si="132"/>
        <v/>
      </c>
      <c r="BB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81" t="str">
        <f t="shared" si="133"/>
        <v/>
      </c>
      <c r="BF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81" t="str">
        <f t="shared" si="134"/>
        <v/>
      </c>
      <c r="B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81" t="str">
        <f t="shared" si="135"/>
        <v/>
      </c>
      <c r="B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81" t="str">
        <f t="shared" si="136"/>
        <v/>
      </c>
      <c r="B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81" t="str">
        <f t="shared" si="137"/>
        <v/>
      </c>
      <c r="B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81" t="str">
        <f t="shared" si="138"/>
        <v/>
      </c>
      <c r="C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81" t="str">
        <f t="shared" si="139"/>
        <v/>
      </c>
      <c r="C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81" t="str">
        <f t="shared" si="140"/>
        <v/>
      </c>
      <c r="C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81" s="9"/>
    </row>
    <row r="82" spans="3:107">
      <c r="E82" t="s">
        <v>1755</v>
      </c>
      <c r="G82" s="13" t="str">
        <f t="shared" si="126"/>
        <v/>
      </c>
      <c r="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82" t="str">
        <f t="shared" si="127"/>
        <v/>
      </c>
      <c r="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82" t="str">
        <f t="shared" si="128"/>
        <v/>
      </c>
      <c r="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82" t="str">
        <f t="shared" si="129"/>
        <v/>
      </c>
      <c r="AP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82" t="str">
        <f t="shared" si="130"/>
        <v/>
      </c>
      <c r="AT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82" t="str">
        <f t="shared" si="131"/>
        <v/>
      </c>
      <c r="AX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82" t="str">
        <f t="shared" si="132"/>
        <v/>
      </c>
      <c r="BB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82" t="str">
        <f t="shared" si="133"/>
        <v/>
      </c>
      <c r="BF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82" t="str">
        <f t="shared" si="134"/>
        <v/>
      </c>
      <c r="B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82" t="str">
        <f t="shared" si="135"/>
        <v/>
      </c>
      <c r="B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82" t="str">
        <f t="shared" si="136"/>
        <v/>
      </c>
      <c r="B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82" t="str">
        <f t="shared" si="137"/>
        <v/>
      </c>
      <c r="B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82" t="str">
        <f t="shared" si="138"/>
        <v/>
      </c>
      <c r="C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82" t="str">
        <f t="shared" si="139"/>
        <v/>
      </c>
      <c r="C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82" t="str">
        <f t="shared" si="140"/>
        <v/>
      </c>
      <c r="C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82" s="9"/>
    </row>
    <row r="83" spans="3:107">
      <c r="E83" t="s">
        <v>1756</v>
      </c>
      <c r="G83" s="13" t="str">
        <f t="shared" si="126"/>
        <v/>
      </c>
      <c r="J83" t="str" cm="1">
        <f t="array" ref="J83" xml:space="preserve"> IF(AND(LEN(_xlfn.SINGLE(Star_5_2.SVG_painting_Outer))&gt;0, _xlfn.SINGLE(Star_5_2.SizeOuter)&gt;0, NOT(_xlfn.SINGLE(Star_5_2.MultipleStars))),  "&lt;path " &amp; _xlfn.SINGLE(Star_5_2.SVG_painting_Outer) &amp; " d='" &amp; _xlfn.TEXTJOIN(" ", TRUE, IF("Path"=Star_5_2.Part,J$17:J$59,"")) &amp; "'/&gt;", "")</f>
        <v/>
      </c>
      <c r="K83" t="str">
        <f t="shared" si="127"/>
        <v/>
      </c>
      <c r="N83" t="str" cm="1">
        <f t="array" ref="N83" xml:space="preserve"> IF(AND(LEN(_xlfn.SINGLE(Star_5_2.SVG_painting_Outer))&gt;0, _xlfn.SINGLE(Star_5_2.SizeOuter)&gt;0, NOT(_xlfn.SINGLE(Star_5_2.MultipleStars))),  "&lt;path " &amp; _xlfn.SINGLE(Star_5_2.SVG_painting_Outer) &amp; " d='" &amp; _xlfn.TEXTJOIN(" ", TRUE, IF("Path"=Star_5_2.Part,N$17:N$59,"")) &amp; "'/&gt;", "")</f>
        <v/>
      </c>
      <c r="R83" t="str" cm="1">
        <f t="array" ref="R83" xml:space="preserve"> IF(AND(LEN(_xlfn.SINGLE(Star_5_2.SVG_painting_Outer))&gt;0, _xlfn.SINGLE(Star_5_2.SizeOuter)&gt;0, NOT(_xlfn.SINGLE(Star_5_2.MultipleStars))),  "&lt;path " &amp; _xlfn.SINGLE(Star_5_2.SVG_painting_Outer) &amp; " d='" &amp; _xlfn.TEXTJOIN(" ", TRUE, IF("Path"=Star_5_2.Part,R$17:R$59,"")) &amp; "'/&gt;", "")</f>
        <v/>
      </c>
      <c r="V83" s="55"/>
      <c r="W83" t="str">
        <f t="shared" si="128"/>
        <v/>
      </c>
      <c r="Z83" s="55"/>
      <c r="AD83" s="55"/>
      <c r="AH83" s="55"/>
      <c r="AL83" t="str" cm="1">
        <f t="array" ref="AL83" xml:space="preserve"> IF(AND(LEN(_xlfn.SINGLE(Star_5_2.SVG_painting_Outer))&gt;0, _xlfn.SINGLE(Star_5_2.SizeOuter)&gt;0, NOT(_xlfn.SINGLE(Star_5_2.MultipleStars))),  "&lt;path " &amp; _xlfn.SINGLE(Star_5_2.SVG_painting_Outer) &amp; " d='" &amp; _xlfn.TEXTJOIN(" ", TRUE, IF("Path"=Star_5_2.Part,AL$17:AL$59,"")) &amp; "'/&gt;", "")</f>
        <v/>
      </c>
      <c r="AM83" t="str">
        <f t="shared" si="129"/>
        <v/>
      </c>
      <c r="AP83" t="str" cm="1">
        <f t="array" ref="AP83" xml:space="preserve"> IF(AND(LEN(_xlfn.SINGLE(Star_5_2.SVG_painting_Outer))&gt;0, _xlfn.SINGLE(Star_5_2.SizeOuter)&gt;0, NOT(_xlfn.SINGLE(Star_5_2.MultipleStars))),  "&lt;path " &amp; _xlfn.SINGLE(Star_5_2.SVG_painting_Outer) &amp; " d='" &amp; _xlfn.TEXTJOIN(" ", TRUE, IF("Path"=Star_5_2.Part,AP$17:AP$59,"")) &amp; "'/&gt;", "")</f>
        <v/>
      </c>
      <c r="AQ83" t="str">
        <f t="shared" si="130"/>
        <v/>
      </c>
      <c r="AT83" s="55"/>
      <c r="AU83" t="str">
        <f t="shared" si="131"/>
        <v/>
      </c>
      <c r="AX83" t="str" cm="1">
        <f t="array" ref="AX83" xml:space="preserve"> IF(AND(LEN(_xlfn.SINGLE(Star_5_2.SVG_painting_Outer))&gt;0, _xlfn.SINGLE(Star_5_2.SizeOuter)&gt;0, NOT(_xlfn.SINGLE(Star_5_2.MultipleStars))),  "&lt;path " &amp; _xlfn.SINGLE(Star_5_2.SVG_painting_Outer) &amp; " d='" &amp; _xlfn.TEXTJOIN(" ", TRUE, IF("Path"=Star_5_2.Part,AX$17:AX$59,"")) &amp; "'/&gt;", "")</f>
        <v/>
      </c>
      <c r="AY83" t="str">
        <f t="shared" si="132"/>
        <v/>
      </c>
      <c r="BB83" t="str" cm="1">
        <f t="array" ref="BB83" xml:space="preserve"> IF(AND(LEN(_xlfn.SINGLE(Star_5_2.SVG_painting_Outer))&gt;0, _xlfn.SINGLE(Star_5_2.SizeOuter)&gt;0, NOT(_xlfn.SINGLE(Star_5_2.MultipleStars))),  "&lt;path " &amp; _xlfn.SINGLE(Star_5_2.SVG_painting_Outer) &amp; " d='" &amp; _xlfn.TEXTJOIN(" ", TRUE, IF("Path"=Star_5_2.Part,BB$17:BB$59,"")) &amp; "'/&gt;", "")</f>
        <v/>
      </c>
      <c r="BC83" t="str">
        <f t="shared" si="133"/>
        <v/>
      </c>
      <c r="BF83" t="str" cm="1">
        <f t="array" ref="BF83" xml:space="preserve"> IF(AND(LEN(_xlfn.SINGLE(Star_5_2.SVG_painting_Outer))&gt;0, _xlfn.SINGLE(Star_5_2.SizeOuter)&gt;0, NOT(_xlfn.SINGLE(Star_5_2.MultipleStars))),  "&lt;path " &amp; _xlfn.SINGLE(Star_5_2.SVG_painting_Outer) &amp; " d='" &amp; _xlfn.TEXTJOIN(" ", TRUE, IF("Path"=Star_5_2.Part,BF$17:BF$59,"")) &amp; "'/&gt;", "")</f>
        <v/>
      </c>
      <c r="BG83" t="str">
        <f t="shared" si="134"/>
        <v/>
      </c>
      <c r="BJ83" s="55"/>
      <c r="BK83" t="str">
        <f t="shared" si="135"/>
        <v/>
      </c>
      <c r="BN83" t="str" cm="1">
        <f t="array" ref="BN83"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3" t="str">
        <f t="shared" si="136"/>
        <v/>
      </c>
      <c r="BR83" s="55"/>
      <c r="BV83" t="str" cm="1">
        <f t="array" ref="BV83" xml:space="preserve"> IF(AND(LEN(_xlfn.SINGLE(Star_5_2.SVG_painting_Outer))&gt;0, _xlfn.SINGLE(Star_5_2.SizeOuter)&gt;0, NOT(_xlfn.SINGLE(Star_5_2.MultipleStars))),  "&lt;path " &amp; _xlfn.SINGLE(Star_5_2.SVG_painting_Outer) &amp; " d='" &amp; _xlfn.TEXTJOIN(" ", TRUE, IF("Path"=Star_5_2.Part,BV$17:BV$59,"")) &amp; "'/&gt;", "")</f>
        <v/>
      </c>
      <c r="BW83" t="str">
        <f t="shared" si="137"/>
        <v/>
      </c>
      <c r="BZ83" t="str" cm="1">
        <f t="array" ref="BZ83" xml:space="preserve"> IF(AND(LEN(_xlfn.SINGLE(Star_5_2.SVG_painting_Outer))&gt;0, _xlfn.SINGLE(Star_5_2.SizeOuter)&gt;0, NOT(_xlfn.SINGLE(Star_5_2.MultipleStars))),  "&lt;path " &amp; _xlfn.SINGLE(Star_5_2.SVG_painting_Outer) &amp; " d='" &amp; _xlfn.TEXTJOIN(" ", TRUE, IF("Path"=Star_5_2.Part,BZ$17:BZ$59,"")) &amp; "'/&gt;", "")</f>
        <v/>
      </c>
      <c r="CA83" t="str">
        <f t="shared" si="138"/>
        <v/>
      </c>
      <c r="CD83" s="55"/>
      <c r="CE83" t="str">
        <f t="shared" si="139"/>
        <v/>
      </c>
      <c r="CH83" s="55"/>
      <c r="CI83" t="str">
        <f t="shared" si="140"/>
        <v/>
      </c>
      <c r="CL83" t="str" cm="1">
        <f t="array" ref="CL83" xml:space="preserve"> IF(AND(LEN(_xlfn.SINGLE(Star_5_2.SVG_painting_Outer))&gt;0, _xlfn.SINGLE(Star_5_2.SizeOuter)&gt;0, NOT(_xlfn.SINGLE(Star_5_2.MultipleStars))),  "&lt;path " &amp; _xlfn.SINGLE(Star_5_2.SVG_painting_Outer) &amp; " d='" &amp; _xlfn.TEXTJOIN(" ", TRUE, IF("Path"=Star_5_2.Part,CL$17:CL$59,"")) &amp; "'/&gt;", "")</f>
        <v/>
      </c>
      <c r="CP83" s="55"/>
      <c r="CT83" t="str" cm="1">
        <f t="array" ref="CT83" xml:space="preserve"> IF(AND(LEN(_xlfn.SINGLE(Star_5_2.SVG_painting_Outer))&gt;0, _xlfn.SINGLE(Star_5_2.SizeOuter)&gt;0, NOT(_xlfn.SINGLE(Star_5_2.MultipleStars))),  "&lt;path " &amp; _xlfn.SINGLE(Star_5_2.SVG_painting_Outer) &amp; " d='" &amp; _xlfn.TEXTJOIN(" ", TRUE, IF("Path"=Star_5_2.Part,CT$17:CT$59,"")) &amp; "'/&gt;", "")</f>
        <v/>
      </c>
      <c r="DC83" s="9"/>
    </row>
    <row r="84" spans="3:107">
      <c r="E84" t="s">
        <v>1757</v>
      </c>
      <c r="G84" s="13" t="str">
        <f t="shared" si="126"/>
        <v/>
      </c>
      <c r="J84" t="str" cm="1">
        <f t="array" ref="J84" xml:space="preserve"> IF(AND(LEN(_xlfn.SINGLE(Star_5_2.SVG_painting_Middle))&gt;0, _xlfn.SINGLE(Star_5_2.SizeMiddle)&gt;0, NOT(_xlfn.SINGLE(Star_5_2.MultipleStars))),  "&lt;path " &amp; _xlfn.SINGLE(Star_5_2.SVG_painting_Middle) &amp; " d='" &amp; _xlfn.TEXTJOIN(" ", TRUE, IF("Path"=Star_5_2.Part,J$17:J$59,"")) &amp; "'/&gt;", "")</f>
        <v/>
      </c>
      <c r="K84" t="str">
        <f t="shared" si="127"/>
        <v/>
      </c>
      <c r="N84" t="str" cm="1">
        <f t="array" ref="N84" xml:space="preserve"> IF(AND(LEN(_xlfn.SINGLE(Star_5_2.SVG_painting_Middle))&gt;0, _xlfn.SINGLE(Star_5_2.SizeMiddle)&gt;0, NOT(_xlfn.SINGLE(Star_5_2.MultipleStars))),  "&lt;path " &amp; _xlfn.SINGLE(Star_5_2.SVG_painting_Middle) &amp; " d='" &amp; _xlfn.TEXTJOIN(" ", TRUE, IF("Path"=Star_5_2.Part,N$17:N$59,"")) &amp; "'/&gt;", "")</f>
        <v/>
      </c>
      <c r="R84" t="str" cm="1">
        <f t="array" ref="R84" xml:space="preserve"> IF(AND(LEN(_xlfn.SINGLE(Star_5_2.SVG_painting_Middle))&gt;0, _xlfn.SINGLE(Star_5_2.SizeMiddle)&gt;0, NOT(_xlfn.SINGLE(Star_5_2.MultipleStars))),  "&lt;path " &amp; _xlfn.SINGLE(Star_5_2.SVG_painting_Middle) &amp; " d='" &amp; _xlfn.TEXTJOIN(" ", TRUE, IF("Path"=Star_5_2.Part,R$17:R$59,"")) &amp; "'/&gt;", "")</f>
        <v/>
      </c>
      <c r="V84" s="55"/>
      <c r="W84" t="str">
        <f t="shared" si="128"/>
        <v/>
      </c>
      <c r="Z84" s="55"/>
      <c r="AD84" s="55"/>
      <c r="AH84" s="55"/>
      <c r="AL84" t="str" cm="1">
        <f t="array" ref="AL84" xml:space="preserve"> IF(AND(LEN(_xlfn.SINGLE(Star_5_2.SVG_painting_Middle))&gt;0, _xlfn.SINGLE(Star_5_2.SizeMiddle)&gt;0, NOT(_xlfn.SINGLE(Star_5_2.MultipleStars))),  "&lt;path " &amp; _xlfn.SINGLE(Star_5_2.SVG_painting_Middle) &amp; " d='" &amp; _xlfn.TEXTJOIN(" ", TRUE, IF("Path"=Star_5_2.Part,AL$17:AL$59,"")) &amp; "'/&gt;", "")</f>
        <v/>
      </c>
      <c r="AM84" t="str">
        <f t="shared" si="129"/>
        <v/>
      </c>
      <c r="AP84" t="str" cm="1">
        <f t="array" ref="AP84" xml:space="preserve"> IF(AND(LEN(_xlfn.SINGLE(Star_5_2.SVG_painting_Middle))&gt;0, _xlfn.SINGLE(Star_5_2.SizeMiddle)&gt;0, NOT(_xlfn.SINGLE(Star_5_2.MultipleStars))),  "&lt;path " &amp; _xlfn.SINGLE(Star_5_2.SVG_painting_Middle) &amp; " d='" &amp; _xlfn.TEXTJOIN(" ", TRUE, IF("Path"=Star_5_2.Part,AP$17:AP$59,"")) &amp; "'/&gt;", "")</f>
        <v/>
      </c>
      <c r="AQ84" t="str">
        <f t="shared" si="130"/>
        <v/>
      </c>
      <c r="AT84" t="str" cm="1">
        <f t="array" ref="AT84"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4" t="str">
        <f t="shared" si="131"/>
        <v/>
      </c>
      <c r="AX84" t="str" cm="1">
        <f t="array" ref="AX84" xml:space="preserve"> IF(AND(LEN(_xlfn.SINGLE(Star_5_2.SVG_painting_Middle))&gt;0, _xlfn.SINGLE(Star_5_2.SizeMiddle)&gt;0, NOT(_xlfn.SINGLE(Star_5_2.MultipleStars))),  "&lt;path " &amp; _xlfn.SINGLE(Star_5_2.SVG_painting_Middle) &amp; " d='" &amp; _xlfn.TEXTJOIN(" ", TRUE, IF("Path"=Star_5_2.Part,AX$17:AX$59,"")) &amp; "'/&gt;", "")</f>
        <v/>
      </c>
      <c r="AY84" t="str">
        <f t="shared" si="132"/>
        <v/>
      </c>
      <c r="BB84" t="str" cm="1">
        <f t="array" ref="BB84" xml:space="preserve"> IF(AND(LEN(_xlfn.SINGLE(Star_5_2.SVG_painting_Middle))&gt;0, _xlfn.SINGLE(Star_5_2.SizeMiddle)&gt;0, NOT(_xlfn.SINGLE(Star_5_2.MultipleStars))),  "&lt;path " &amp; _xlfn.SINGLE(Star_5_2.SVG_painting_Middle) &amp; " d='" &amp; _xlfn.TEXTJOIN(" ", TRUE, IF("Path"=Star_5_2.Part,BB$17:BB$59,"")) &amp; "'/&gt;", "")</f>
        <v/>
      </c>
      <c r="BC84" t="str">
        <f t="shared" si="133"/>
        <v/>
      </c>
      <c r="BF84" t="str" cm="1">
        <f t="array" ref="BF84" xml:space="preserve"> IF(AND(LEN(_xlfn.SINGLE(Star_5_2.SVG_painting_Middle))&gt;0, _xlfn.SINGLE(Star_5_2.SizeMiddle)&gt;0, NOT(_xlfn.SINGLE(Star_5_2.MultipleStars))),  "&lt;path " &amp; _xlfn.SINGLE(Star_5_2.SVG_painting_Middle) &amp; " d='" &amp; _xlfn.TEXTJOIN(" ", TRUE, IF("Path"=Star_5_2.Part,BF$17:BF$59,"")) &amp; "'/&gt;", "")</f>
        <v/>
      </c>
      <c r="BG84" t="str">
        <f t="shared" si="134"/>
        <v/>
      </c>
      <c r="BJ84" s="55"/>
      <c r="BK84" t="str">
        <f t="shared" si="135"/>
        <v/>
      </c>
      <c r="BN84" t="str" cm="1">
        <f t="array" ref="BN84" xml:space="preserve"> IF(AND(LEN(_xlfn.SINGLE(Star_5_2.SVG_painting_Middle))&gt;0, _xlfn.SINGLE(Star_5_2.SizeMiddle)&gt;0, NOT(_xlfn.SINGLE(Star_5_2.MultipleStars))),  "&lt;path " &amp; _xlfn.SINGLE(Star_5_2.SVG_painting_Middle) &amp; " d='" &amp; _xlfn.TEXTJOIN(" ", TRUE, IF("Path"=Star_5_2.Part,BN$17:BN$59,"")) &amp; "'/&gt;", "")</f>
        <v/>
      </c>
      <c r="BO84" t="str">
        <f t="shared" si="136"/>
        <v/>
      </c>
      <c r="BR84" s="55"/>
      <c r="BV84" t="str" cm="1">
        <f t="array" ref="BV84" xml:space="preserve"> IF(AND(LEN(_xlfn.SINGLE(Star_5_2.SVG_painting_Middle))&gt;0, _xlfn.SINGLE(Star_5_2.SizeMiddle)&gt;0, NOT(_xlfn.SINGLE(Star_5_2.MultipleStars))),  "&lt;path " &amp; _xlfn.SINGLE(Star_5_2.SVG_painting_Middle) &amp; " d='" &amp; _xlfn.TEXTJOIN(" ", TRUE, IF("Path"=Star_5_2.Part,BV$17:BV$59,"")) &amp; "'/&gt;", "")</f>
        <v/>
      </c>
      <c r="BW84" t="str">
        <f t="shared" si="137"/>
        <v/>
      </c>
      <c r="BZ84" t="str" cm="1">
        <f t="array" ref="BZ84" xml:space="preserve"> IF(AND(LEN(_xlfn.SINGLE(Star_5_2.SVG_painting_Middle))&gt;0, _xlfn.SINGLE(Star_5_2.SizeMiddle)&gt;0, NOT(_xlfn.SINGLE(Star_5_2.MultipleStars))),  "&lt;path " &amp; _xlfn.SINGLE(Star_5_2.SVG_painting_Middle) &amp; " d='" &amp; _xlfn.TEXTJOIN(" ", TRUE, IF("Path"=Star_5_2.Part,BZ$17:BZ$59,"")) &amp; "'/&gt;", "")</f>
        <v/>
      </c>
      <c r="CA84" t="str">
        <f t="shared" si="138"/>
        <v/>
      </c>
      <c r="CD84" s="55"/>
      <c r="CE84" t="str">
        <f t="shared" si="139"/>
        <v/>
      </c>
      <c r="CH84" t="str" cm="1">
        <f t="array" ref="CH84" xml:space="preserve"> IF(AND(LEN(_xlfn.SINGLE(Star_5_2.SVG_painting_Middle))&gt;0, _xlfn.SINGLE(Star_5_2.SizeMiddle)&gt;0, NOT(_xlfn.SINGLE(Star_5_2.MultipleStars))),  "&lt;path " &amp; _xlfn.SINGLE(Star_5_2.SVG_painting_Middle) &amp; " d='" &amp; _xlfn.TEXTJOIN(" ", TRUE, IF("Path"=Star_5_2.Part,CH$17:CH$59,"")) &amp; "'/&gt;", "")</f>
        <v/>
      </c>
      <c r="CI84" t="str">
        <f t="shared" si="140"/>
        <v/>
      </c>
      <c r="CL84" t="str" cm="1">
        <f t="array" ref="CL84" xml:space="preserve"> IF(AND(LEN(_xlfn.SINGLE(Star_5_2.SVG_painting_Middle))&gt;0, _xlfn.SINGLE(Star_5_2.SizeMiddle)&gt;0, NOT(_xlfn.SINGLE(Star_5_2.MultipleStars))),  "&lt;path " &amp; _xlfn.SINGLE(Star_5_2.SVG_painting_Middle) &amp; " d='" &amp; _xlfn.TEXTJOIN(" ", TRUE, IF("Path"=Star_5_2.Part,CL$17:CL$59,"")) &amp; "'/&gt;", "")</f>
        <v/>
      </c>
      <c r="CP84" s="55"/>
      <c r="CT84" t="str" cm="1">
        <f t="array" ref="CT84" xml:space="preserve"> IF(AND(LEN(_xlfn.SINGLE(Star_5_2.SVG_painting_Middle))&gt;0, _xlfn.SINGLE(Star_5_2.SizeMiddle)&gt;0, NOT(_xlfn.SINGLE(Star_5_2.MultipleStars))),  "&lt;path " &amp; _xlfn.SINGLE(Star_5_2.SVG_painting_Middle) &amp; " d='" &amp; _xlfn.TEXTJOIN(" ", TRUE, IF("Path"=Star_5_2.Part,CT$17:CT$59,"")) &amp; "'/&gt;", "")</f>
        <v/>
      </c>
      <c r="DC84" s="9"/>
    </row>
    <row r="85" spans="3:107">
      <c r="E85" t="s">
        <v>1758</v>
      </c>
      <c r="G85" s="13" t="str">
        <f t="shared" si="126"/>
        <v/>
      </c>
      <c r="J85" t="str" cm="1">
        <f t="array" ref="J85" xml:space="preserve"> IF(AND(LEN(_xlfn.SINGLE(Star_5_2.SVG_painting_Inner))&gt;0, _xlfn.SINGLE(Star_5_2.SizeInner)&gt;0, NOT(_xlfn.SINGLE(Star_5_2.MultipleStars))),  "&lt;path " &amp; _xlfn.SINGLE(Star_5_2.SVG_painting_Inner) &amp; " d='" &amp; _xlfn.TEXTJOIN(" ", TRUE, IF("Path"=Star_5_2.Part,J$17:J$59,"")) &amp; "'/&gt;", "")</f>
        <v/>
      </c>
      <c r="K85" t="str">
        <f t="shared" si="127"/>
        <v/>
      </c>
      <c r="N85" t="str" cm="1">
        <f t="array" ref="N85" xml:space="preserve"> IF(AND(LEN(_xlfn.SINGLE(Star_5_2.SVG_painting_Inner))&gt;0, _xlfn.SINGLE(Star_5_2.SizeInner)&gt;0, NOT(_xlfn.SINGLE(Star_5_2.MultipleStars))),  "&lt;path " &amp; _xlfn.SINGLE(Star_5_2.SVG_painting_Inner) &amp; " d='" &amp; _xlfn.TEXTJOIN(" ", TRUE, IF("Path"=Star_5_2.Part,N$17:N$59,"")) &amp; "'/&gt;", "")</f>
        <v/>
      </c>
      <c r="R85" t="str" cm="1">
        <f t="array" ref="R85" xml:space="preserve"> IF(AND(LEN(_xlfn.SINGLE(Star_5_2.SVG_painting_Inner))&gt;0, _xlfn.SINGLE(Star_5_2.SizeInner)&gt;0, NOT(_xlfn.SINGLE(Star_5_2.MultipleStars))),  "&lt;path " &amp; _xlfn.SINGLE(Star_5_2.SVG_painting_Inner) &amp; " d='" &amp; _xlfn.TEXTJOIN(" ", TRUE, IF("Path"=Star_5_2.Part,R$17:R$59,"")) &amp; "'/&gt;", "")</f>
        <v/>
      </c>
      <c r="V85" t="str" cm="1">
        <f t="array" ref="V85"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5" t="str">
        <f t="shared" si="128"/>
        <v/>
      </c>
      <c r="Z85" t="str" cm="1">
        <f t="array" ref="Z85"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5" t="str" cm="1">
        <f t="array" ref="AD85"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5" t="str" cm="1">
        <f t="array" ref="AH85"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5" t="str" cm="1">
        <f t="array" ref="AL85" xml:space="preserve"> IF(AND(LEN(_xlfn.SINGLE(Star_5_2.SVG_painting_Inner))&gt;0, _xlfn.SINGLE(Star_5_2.SizeInner)&gt;0, NOT(_xlfn.SINGLE(Star_5_2.MultipleStars))),  "&lt;path " &amp; _xlfn.SINGLE(Star_5_2.SVG_painting_Inner) &amp; " d='" &amp; _xlfn.TEXTJOIN(" ", TRUE, IF("Path"=Star_5_2.Part,AL$17:AL$59,"")) &amp; "'/&gt;", "")</f>
        <v/>
      </c>
      <c r="AM85" t="str">
        <f t="shared" si="129"/>
        <v/>
      </c>
      <c r="AQ85" t="str">
        <f t="shared" si="130"/>
        <v/>
      </c>
      <c r="AT85" t="str" cm="1">
        <f t="array" ref="AT85" xml:space="preserve"> IF(AND(LEN(_xlfn.SINGLE(Star_5_2.SVG_painting_Inner))&gt;0, _xlfn.SINGLE(Star_5_2.SizeInner)&gt;0, NOT(_xlfn.SINGLE(Star_5_2.MultipleStars))),  "&lt;path " &amp; _xlfn.SINGLE(Star_5_2.SVG_painting_Inner) &amp; " d='" &amp; _xlfn.TEXTJOIN(" ", TRUE, IF("Path"=Star_5_2.Part,AT$17:AT$59,"")) &amp; "'/&gt;", "")</f>
        <v/>
      </c>
      <c r="AU85" t="str">
        <f t="shared" si="131"/>
        <v/>
      </c>
      <c r="AX85" t="str" cm="1">
        <f t="array" ref="AX85" xml:space="preserve"> IF(AND(LEN(_xlfn.SINGLE(Star_5_2.SVG_painting_Inner))&gt;0, _xlfn.SINGLE(Star_5_2.SizeInner)&gt;0, NOT(_xlfn.SINGLE(Star_5_2.MultipleStars))),  "&lt;path " &amp; _xlfn.SINGLE(Star_5_2.SVG_painting_Inner) &amp; " d='" &amp; _xlfn.TEXTJOIN(" ", TRUE, IF("Path"=Star_5_2.Part,AX$17:AX$59,"")) &amp; "'/&gt;", "")</f>
        <v/>
      </c>
      <c r="AY85" t="str">
        <f t="shared" si="132"/>
        <v/>
      </c>
      <c r="BB85" t="str" cm="1">
        <f t="array" ref="BB85" xml:space="preserve"> IF(AND(LEN(_xlfn.SINGLE(Star_5_2.SVG_painting_Inner))&gt;0, _xlfn.SINGLE(Star_5_2.SizeInner)&gt;0, NOT(_xlfn.SINGLE(Star_5_2.MultipleStars))),  "&lt;path " &amp; _xlfn.SINGLE(Star_5_2.SVG_painting_Inner) &amp; " d='" &amp; _xlfn.TEXTJOIN(" ", TRUE, IF("Path"=Star_5_2.Part,BB$17:BB$59,"")) &amp; "'/&gt;", "")</f>
        <v/>
      </c>
      <c r="BC85" t="str">
        <f t="shared" si="133"/>
        <v/>
      </c>
      <c r="BF85" t="str" cm="1">
        <f t="array" ref="BF85" xml:space="preserve"> IF(AND(LEN(_xlfn.SINGLE(Star_5_2.SVG_painting_Inner))&gt;0, _xlfn.SINGLE(Star_5_2.SizeInner)&gt;0, NOT(_xlfn.SINGLE(Star_5_2.MultipleStars))),  "&lt;path " &amp; _xlfn.SINGLE(Star_5_2.SVG_painting_Inner) &amp; " d='" &amp; _xlfn.TEXTJOIN(" ", TRUE, IF("Path"=Star_5_2.Part,BF$17:BF$59,"")) &amp; "'/&gt;", "")</f>
        <v/>
      </c>
      <c r="BG85" t="str">
        <f t="shared" si="134"/>
        <v/>
      </c>
      <c r="BJ85" t="str" cm="1">
        <f t="array" ref="BJ85"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5" t="str">
        <f t="shared" si="135"/>
        <v/>
      </c>
      <c r="BN85" s="27" t="str" cm="1">
        <f t="array" ref="BN85"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5" t="str">
        <f t="shared" si="136"/>
        <v/>
      </c>
      <c r="BR85" t="str" cm="1">
        <f t="array" ref="BR85"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5" t="str" cm="1">
        <f t="array" ref="BV85" xml:space="preserve"> IF(AND(LEN(_xlfn.SINGLE(Star_5_2.SVG_painting_Inner))&gt;0, _xlfn.SINGLE(Star_5_2.SizeInner)&gt;0, NOT(_xlfn.SINGLE(Star_5_2.MultipleStars))),  "&lt;path " &amp; _xlfn.SINGLE(Star_5_2.SVG_painting_Inner) &amp; " d='" &amp; _xlfn.TEXTJOIN(" ", TRUE, IF("Path"=Star_5_2.Part,BV$17:BV$59,"")) &amp; "'/&gt;", "")</f>
        <v/>
      </c>
      <c r="BW85" t="str">
        <f t="shared" si="137"/>
        <v/>
      </c>
      <c r="BZ85" t="str" cm="1">
        <f t="array" ref="BZ85" xml:space="preserve"> IF(AND(LEN(_xlfn.SINGLE(Star_5_2.SVG_painting_Inner))&gt;0, _xlfn.SINGLE(Star_5_2.SizeInner)&gt;0, NOT(_xlfn.SINGLE(Star_5_2.MultipleStars))),  "&lt;path " &amp; _xlfn.SINGLE(Star_5_2.SVG_painting_Inner) &amp; " d='" &amp; _xlfn.TEXTJOIN(" ", TRUE, IF("Path"=Star_5_2.Part,BZ$17:BZ$59,"")) &amp; "'/&gt;", "")</f>
        <v/>
      </c>
      <c r="CA85" t="str">
        <f t="shared" si="138"/>
        <v/>
      </c>
      <c r="CD85" t="str" cm="1">
        <f t="array" ref="CD85"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5" t="str">
        <f t="shared" si="139"/>
        <v/>
      </c>
      <c r="CH85" t="str" cm="1">
        <f t="array" ref="CH85"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5" t="str">
        <f t="shared" si="140"/>
        <v/>
      </c>
      <c r="CL85" t="str" cm="1">
        <f t="array" ref="CL85" xml:space="preserve"> IF(AND(LEN(_xlfn.SINGLE(Star_5_2.SVG_painting_Inner))&gt;0, _xlfn.SINGLE(Star_5_2.SizeInner)&gt;0, NOT(_xlfn.SINGLE(Star_5_2.MultipleStars))),  "&lt;path " &amp; _xlfn.SINGLE(Star_5_2.SVG_painting_Inner) &amp; " d='" &amp; _xlfn.TEXTJOIN(" ", TRUE, IF("Path"=Star_5_2.Part,CL$17:CL$59,"")) &amp; "'/&gt;", "")</f>
        <v/>
      </c>
      <c r="CP85" t="str" cm="1">
        <f t="array" ref="CP85"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5" t="str" cm="1">
        <f t="array" ref="CT85" xml:space="preserve"> IF(AND(LEN(_xlfn.SINGLE(Star_5_2.SVG_painting_Inner))&gt;0, _xlfn.SINGLE(Star_5_2.SizeInner)&gt;0, NOT(_xlfn.SINGLE(Star_5_2.MultipleStars))),  "&lt;path " &amp; _xlfn.SINGLE(Star_5_2.SVG_painting_Inner) &amp; " d='" &amp; _xlfn.TEXTJOIN(" ", TRUE, IF("Path"=Star_5_2.Part,CT$17:CT$59,"")) &amp; "'/&gt;", "")</f>
        <v/>
      </c>
      <c r="CX85" t="str" cm="1">
        <f t="array" ref="CX85"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5" s="9"/>
    </row>
    <row r="86" spans="3:107">
      <c r="E86" t="s">
        <v>1761</v>
      </c>
      <c r="G86" s="13" t="str">
        <f t="shared" si="126"/>
        <v/>
      </c>
      <c r="K86" t="str">
        <f t="shared" si="127"/>
        <v/>
      </c>
      <c r="W86" t="str">
        <f t="shared" si="128"/>
        <v/>
      </c>
      <c r="AM86" t="str">
        <f t="shared" si="129"/>
        <v/>
      </c>
      <c r="AQ86" t="str">
        <f t="shared" si="130"/>
        <v/>
      </c>
      <c r="AU86" t="str">
        <f t="shared" si="131"/>
        <v/>
      </c>
      <c r="AY86" t="str">
        <f t="shared" si="132"/>
        <v/>
      </c>
      <c r="BC86" t="str">
        <f t="shared" si="133"/>
        <v/>
      </c>
      <c r="BG86" t="str">
        <f t="shared" si="134"/>
        <v/>
      </c>
      <c r="BK86" t="str">
        <f t="shared" si="135"/>
        <v/>
      </c>
      <c r="BO86" t="str">
        <f t="shared" si="136"/>
        <v/>
      </c>
      <c r="BW86" t="str">
        <f t="shared" si="137"/>
        <v/>
      </c>
      <c r="CA86" t="str">
        <f t="shared" si="138"/>
        <v/>
      </c>
      <c r="CE86" t="str">
        <f t="shared" si="139"/>
        <v/>
      </c>
      <c r="CI86" t="str">
        <f t="shared" si="140"/>
        <v/>
      </c>
      <c r="DC86" s="9"/>
    </row>
    <row r="87" spans="3:107">
      <c r="G87" s="14" t="str">
        <f t="shared" si="126"/>
        <v/>
      </c>
      <c r="H87" s="10"/>
      <c r="I87" s="10"/>
      <c r="J87" s="10" t="s">
        <v>15</v>
      </c>
      <c r="K87" s="10" t="str">
        <f t="shared" si="127"/>
        <v/>
      </c>
      <c r="L87" s="10"/>
      <c r="M87" s="10"/>
      <c r="N87" s="10" t="s">
        <v>15</v>
      </c>
      <c r="O87" s="10"/>
      <c r="P87" s="10"/>
      <c r="Q87" s="10"/>
      <c r="R87" s="10" t="s">
        <v>15</v>
      </c>
      <c r="S87" s="10"/>
      <c r="T87" s="10"/>
      <c r="U87" s="10"/>
      <c r="V87" s="10" t="s">
        <v>15</v>
      </c>
      <c r="W87" s="10" t="str">
        <f t="shared" si="128"/>
        <v/>
      </c>
      <c r="X87" s="10"/>
      <c r="Y87" s="10"/>
      <c r="Z87" s="10" t="s">
        <v>15</v>
      </c>
      <c r="AA87" s="10"/>
      <c r="AB87" s="10"/>
      <c r="AC87" s="10"/>
      <c r="AD87" s="10" t="s">
        <v>15</v>
      </c>
      <c r="AE87" s="10"/>
      <c r="AF87" s="10"/>
      <c r="AG87" s="10"/>
      <c r="AH87" s="10" t="s">
        <v>15</v>
      </c>
      <c r="AI87" s="10"/>
      <c r="AJ87" s="10"/>
      <c r="AK87" s="10"/>
      <c r="AL87" s="10" t="s">
        <v>15</v>
      </c>
      <c r="AM87" s="10" t="str">
        <f t="shared" si="129"/>
        <v/>
      </c>
      <c r="AN87" s="10"/>
      <c r="AO87" s="10"/>
      <c r="AP87" s="10" t="s">
        <v>15</v>
      </c>
      <c r="AQ87" s="10" t="str">
        <f t="shared" si="130"/>
        <v/>
      </c>
      <c r="AR87" s="10"/>
      <c r="AS87" s="10"/>
      <c r="AT87" s="10" t="s">
        <v>15</v>
      </c>
      <c r="AU87" s="10" t="str">
        <f t="shared" si="131"/>
        <v/>
      </c>
      <c r="AV87" s="10"/>
      <c r="AW87" s="10"/>
      <c r="AX87" s="10" t="s">
        <v>15</v>
      </c>
      <c r="AY87" s="10" t="str">
        <f t="shared" si="132"/>
        <v/>
      </c>
      <c r="AZ87" s="10"/>
      <c r="BA87" s="10"/>
      <c r="BB87" s="10" t="s">
        <v>15</v>
      </c>
      <c r="BC87" s="10" t="str">
        <f t="shared" si="133"/>
        <v/>
      </c>
      <c r="BD87" s="10"/>
      <c r="BE87" s="10"/>
      <c r="BF87" s="10" t="s">
        <v>15</v>
      </c>
      <c r="BG87" s="10" t="str">
        <f t="shared" si="134"/>
        <v/>
      </c>
      <c r="BH87" s="10"/>
      <c r="BI87" s="10"/>
      <c r="BJ87" s="10" t="s">
        <v>15</v>
      </c>
      <c r="BK87" s="10" t="str">
        <f t="shared" si="135"/>
        <v/>
      </c>
      <c r="BL87" s="10"/>
      <c r="BM87" s="10"/>
      <c r="BN87" s="10" t="s">
        <v>15</v>
      </c>
      <c r="BO87" s="10" t="str">
        <f t="shared" si="136"/>
        <v/>
      </c>
      <c r="BP87" s="10"/>
      <c r="BQ87" s="10"/>
      <c r="BR87" s="10" t="s">
        <v>15</v>
      </c>
      <c r="BS87" s="10"/>
      <c r="BT87" s="10"/>
      <c r="BU87" s="10"/>
      <c r="BV87" s="10" t="s">
        <v>15</v>
      </c>
      <c r="BW87" s="10" t="str">
        <f t="shared" si="137"/>
        <v/>
      </c>
      <c r="BX87" s="10"/>
      <c r="BY87" s="10"/>
      <c r="BZ87" s="10" t="s">
        <v>15</v>
      </c>
      <c r="CA87" s="10" t="str">
        <f t="shared" si="138"/>
        <v/>
      </c>
      <c r="CB87" s="10"/>
      <c r="CC87" s="10"/>
      <c r="CD87" s="10" t="s">
        <v>15</v>
      </c>
      <c r="CE87" s="10" t="str">
        <f t="shared" si="139"/>
        <v/>
      </c>
      <c r="CF87" s="10"/>
      <c r="CG87" s="10"/>
      <c r="CH87" s="10" t="s">
        <v>15</v>
      </c>
      <c r="CI87" s="10" t="str">
        <f t="shared" si="140"/>
        <v/>
      </c>
      <c r="CJ87" s="10"/>
      <c r="CK87" s="10"/>
      <c r="CL87" s="10" t="s">
        <v>15</v>
      </c>
      <c r="CM87" s="10"/>
      <c r="CN87" s="10"/>
      <c r="CO87" s="10"/>
      <c r="CP87" s="10" t="s">
        <v>15</v>
      </c>
      <c r="CQ87" s="10"/>
      <c r="CR87" s="10"/>
      <c r="CS87" s="10"/>
      <c r="CT87" s="10" t="s">
        <v>15</v>
      </c>
      <c r="CU87" s="10"/>
      <c r="CV87" s="10"/>
      <c r="CW87" s="10"/>
      <c r="CX87" s="10" t="s">
        <v>15</v>
      </c>
      <c r="CY87" s="10"/>
      <c r="CZ87" s="10"/>
      <c r="DA87" s="10"/>
      <c r="DB87" s="10"/>
      <c r="DC87" s="11"/>
    </row>
    <row r="93" spans="3:107" outlineLevel="1">
      <c r="C93">
        <v>8</v>
      </c>
      <c r="E93" t="s">
        <v>1794</v>
      </c>
      <c r="J93">
        <f xml:space="preserve"> VALUE(TEXT( $C93 * Star_5_2.OuterPoints_Default * SQRT(Star_5_2.Aspect), SVG.NumberFormatHeight))</f>
        <v>104</v>
      </c>
      <c r="AP93">
        <f xml:space="preserve"> VALUE(TEXT( $C93 * Star_5_2.OuterPoints_Default * SQRT(Star_5_2.Aspect), SVG.NumberFormatHeight))</f>
        <v>102</v>
      </c>
      <c r="AX93">
        <f xml:space="preserve"> VALUE(TEXT( $C93 * Star_5_2.OuterPoints_Default * SQRT(Star_5_2.Aspect), SVG.NumberFormatHeight))</f>
        <v>101</v>
      </c>
      <c r="BR93">
        <f xml:space="preserve"> VALUE(TEXT( $C93 * Star_5_2.OuterPoints_Default * SQRT(Star_5_2.Aspect), SVG.NumberFormatHeight))</f>
        <v>109</v>
      </c>
    </row>
    <row r="94" spans="3:107">
      <c r="E94" t="s">
        <v>1793</v>
      </c>
      <c r="J94">
        <f xml:space="preserve"> ROUND(J$93 / _xlfn.SINGLE(Star_5_2.Aspect), svgSizeDecimalPlaces)</f>
        <v>98.910240000000002</v>
      </c>
      <c r="AP94">
        <f xml:space="preserve"> ROUND(AP$93 / _xlfn.SINGLE(Star_5_2.Aspect), svgSizeDecimalPlaces)</f>
        <v>102.49178000000001</v>
      </c>
      <c r="AX94">
        <f xml:space="preserve"> ROUND(AX$93 / _xlfn.SINGLE(Star_5_2.Aspect), svgSizeDecimalPlaces)</f>
        <v>102.89944</v>
      </c>
      <c r="BR94">
        <f xml:space="preserve"> ROUND(BR$93 / _xlfn.SINGLE(Star_5_2.Aspect), svgSizeDecimalPlaces)</f>
        <v>95.443240000000003</v>
      </c>
    </row>
    <row r="97" spans="3:70">
      <c r="E97" t="s">
        <v>1795</v>
      </c>
      <c r="J97" s="56" t="str">
        <f xml:space="preserve"> "&lt;svg width='" &amp; J$94 &amp; "' height='"  &amp; J$93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width='98.91024' height='104' viewBox='-9.5106 -10 19.0212 20'  id='USD' xmlns='http://www.w3.org/2000/svg'&gt;</v>
      </c>
      <c r="AP97" s="56" t="str">
        <f xml:space="preserve"> "&lt;svg width='" &amp; AP$94 &amp; "' height='"  &amp; AP$93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width='102.49178' height='102' viewBox='-9.8995 -9.852 19.799 19.704'  id='CNY' xmlns='http://www.w3.org/2000/svg'&gt;</v>
      </c>
      <c r="AX97" s="56" t="str">
        <f xml:space="preserve"> "&lt;svg width='" &amp; AX$94 &amp; "' height='"  &amp; AX$93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width='102.89944' height='101' viewBox='-9.9517 -9.768 19.9034 19.536'  id='PKR' xmlns='http://www.w3.org/2000/svg'&gt;</v>
      </c>
      <c r="BR97" s="56" t="str">
        <f xml:space="preserve"> "&lt;svg width='" &amp; BR$94 &amp; "' height='"  &amp; BR$93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width='95.44324' height='109' viewBox='-6 -6.85224 12 13.70448'  id='DZD' xmlns='http://www.w3.org/2000/svg'&gt;</v>
      </c>
    </row>
    <row r="98" spans="3:70">
      <c r="C98" t="s">
        <v>1808</v>
      </c>
      <c r="E98" t="s">
        <v>1797</v>
      </c>
      <c r="J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8" s="61" t="str">
        <f xml:space="preserve"> ""</f>
        <v/>
      </c>
    </row>
    <row r="99" spans="3:70">
      <c r="C99" t="s">
        <v>1807</v>
      </c>
      <c r="D99">
        <v>0.44</v>
      </c>
      <c r="E99" t="s">
        <v>1799</v>
      </c>
      <c r="J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9" s="61" t="str">
        <f xml:space="preserve"> ""</f>
        <v/>
      </c>
    </row>
    <row r="100" spans="3:70">
      <c r="E100" t="s">
        <v>1796</v>
      </c>
      <c r="J100" s="57" t="str">
        <f t="shared" ref="J100:J109" si="141" xml:space="preserve"> IF(ISTEXT(J77), J77, "")</f>
        <v/>
      </c>
      <c r="AP100" s="57" t="str">
        <f t="shared" ref="AP100:AP109" si="142" xml:space="preserve"> IF(ISTEXT(AP77), AP77, "")</f>
        <v/>
      </c>
      <c r="AX100" s="57" t="str">
        <f t="shared" ref="AX100:AX109" si="143" xml:space="preserve"> IF(ISTEXT(AX77), AX77, "")</f>
        <v/>
      </c>
      <c r="BR100" s="57" t="str">
        <f t="shared" ref="BR100:BR109" si="144" xml:space="preserve"> IF(ISTEXT(BR77), BR77, "")</f>
        <v>&lt;path fill='#006633' d='M6 6.85224H-6V-6.85224H6Z'/&gt;</v>
      </c>
    </row>
    <row r="101" spans="3:70">
      <c r="E101" t="s">
        <v>1796</v>
      </c>
      <c r="J101" s="57" t="str">
        <f t="shared" si="141"/>
        <v/>
      </c>
      <c r="AP101" s="57" t="str">
        <f t="shared" si="142"/>
        <v/>
      </c>
      <c r="AX101" s="57" t="str">
        <f t="shared" si="143"/>
        <v/>
      </c>
      <c r="BR101" s="57" t="str">
        <f t="shared" si="144"/>
        <v>&lt;path fill='#FFF' d='M4.8541 5.70634H-4.8541V-5.70634H4.8541Z'/&gt;</v>
      </c>
    </row>
    <row r="102" spans="3:70">
      <c r="E102" t="s">
        <v>1796</v>
      </c>
      <c r="J102" s="57" t="str">
        <f t="shared" si="141"/>
        <v>&lt;path id='USD-s' d='M0 -10 l-2.2451 6.9098 H-9.5106 l5.8779 4.2705 L-5.8779 8.0902 L0 3.8197 L5.8779 8.0902 L3.6327 1.1803 L9.5106 -3.0902 H2.2451Z'/&gt;</v>
      </c>
      <c r="AP102" s="57" t="str">
        <f t="shared" si="142"/>
        <v>&lt;defs&gt;&lt;path id='CNY-s' d='M-9.8995 1.4142 l7.1579 1.2454 L-1.7141 9.852 L1.6822 3.4293 L8.8401 4.6747 L3.7813 -.5402 L7.1776 -6.9629 L.6547 -3.7631 L-4.4041 -8.978 l1.0275 7.1924Z'/&gt;&lt;/defs&gt;</v>
      </c>
      <c r="AX102" s="57" t="str">
        <f t="shared" si="143"/>
        <v>&lt;defs&gt;&lt;path id='PKR-s' d='M7.4741 -6.6436 L.818 -3.731 L-4.0089 -9.1613 l.7133 7.2304 L-9.9517 .9817 l7.0969 1.5559 l.7132 7.2304 L1.5312 3.4993 l7.0969 1.556 L3.8012 -.375Z'/&gt;&lt;/defs&gt;</v>
      </c>
      <c r="BR102" s="57" t="str">
        <f t="shared" si="144"/>
        <v/>
      </c>
    </row>
    <row r="103" spans="3:70">
      <c r="E103" t="s">
        <v>1796</v>
      </c>
      <c r="J103" s="57" t="str">
        <f t="shared" si="141"/>
        <v/>
      </c>
      <c r="AP103" s="57" t="str">
        <f t="shared" si="142"/>
        <v>&lt;use href='#CNY-s' fill='#DE2910'/&gt;</v>
      </c>
      <c r="AX103" s="57" t="str">
        <f t="shared" si="143"/>
        <v>&lt;use href='#PKR-s' fill='#01411C'/&gt;</v>
      </c>
      <c r="BR103" s="57" t="str">
        <f t="shared" si="144"/>
        <v/>
      </c>
    </row>
    <row r="104" spans="3:70">
      <c r="E104" t="s">
        <v>1796</v>
      </c>
      <c r="J104" s="57" t="str">
        <f t="shared" si="141"/>
        <v>&lt;use href='#USD-s' fill='#FFF' transform='scale(0.6)'/&gt;</v>
      </c>
      <c r="AP104" s="57" t="str">
        <f t="shared" si="142"/>
        <v>&lt;use href='#CNY-s' fill='#FFDE00' transform='scale(0.7)'/&gt;</v>
      </c>
      <c r="AX104" s="57" t="str">
        <f t="shared" si="143"/>
        <v>&lt;use href='#PKR-s' fill='#FFF' transform='scale(0.7)'/&gt;</v>
      </c>
      <c r="BR104" s="57" t="str">
        <f t="shared" si="144"/>
        <v/>
      </c>
    </row>
    <row r="105" spans="3:70">
      <c r="E105" t="s">
        <v>1796</v>
      </c>
      <c r="J105" s="57" t="str">
        <f t="shared" si="141"/>
        <v/>
      </c>
      <c r="AP105" s="57" t="str">
        <f t="shared" si="142"/>
        <v/>
      </c>
      <c r="AX105" s="57" t="str">
        <f t="shared" si="143"/>
        <v/>
      </c>
      <c r="BR105" s="57" t="str">
        <f t="shared" si="144"/>
        <v/>
      </c>
    </row>
    <row r="106" spans="3:70">
      <c r="E106" t="s">
        <v>1796</v>
      </c>
      <c r="J106" s="57" t="str">
        <f t="shared" si="141"/>
        <v/>
      </c>
      <c r="AP106" s="57" t="str">
        <f t="shared" si="142"/>
        <v/>
      </c>
      <c r="AX106" s="57" t="str">
        <f t="shared" si="143"/>
        <v/>
      </c>
      <c r="BR106" s="57" t="str">
        <f t="shared" si="144"/>
        <v/>
      </c>
    </row>
    <row r="107" spans="3:70">
      <c r="E107" t="s">
        <v>1796</v>
      </c>
      <c r="J107" s="57" t="str">
        <f t="shared" si="141"/>
        <v/>
      </c>
      <c r="AP107" s="57" t="str">
        <f t="shared" si="142"/>
        <v/>
      </c>
      <c r="AX107" s="57" t="str">
        <f t="shared" si="143"/>
        <v/>
      </c>
      <c r="BR107" s="57" t="str">
        <f t="shared" si="144"/>
        <v/>
      </c>
    </row>
    <row r="108" spans="3:70">
      <c r="E108" t="s">
        <v>1796</v>
      </c>
      <c r="J108" s="57" t="str">
        <f t="shared" si="141"/>
        <v/>
      </c>
      <c r="AP108" s="57" t="str">
        <f t="shared" si="142"/>
        <v/>
      </c>
      <c r="AX108" s="57" t="str">
        <f t="shared" si="143"/>
        <v/>
      </c>
      <c r="BR108" s="57" t="str">
        <f t="shared" si="144"/>
        <v>&lt;path fill='#D21034' d='M6 0 L1.8541 -1.34708 V-5.70634 L-.7082 -2.17963 L-4.8541 -3.52671 L-2.2918 0 L-4.8541 3.52671 L-.7082 2.17963 L1.8541 5.70634 V1.34708Z'/&gt;</v>
      </c>
    </row>
    <row r="109" spans="3:70">
      <c r="E109" t="s">
        <v>1796</v>
      </c>
      <c r="J109" s="57" t="str">
        <f t="shared" si="141"/>
        <v/>
      </c>
      <c r="AP109" s="57" t="str">
        <f t="shared" si="142"/>
        <v/>
      </c>
      <c r="AX109" s="57" t="str">
        <f t="shared" si="143"/>
        <v/>
      </c>
      <c r="BR109" s="57" t="str">
        <f t="shared" si="144"/>
        <v/>
      </c>
    </row>
    <row r="110" spans="3:70">
      <c r="C110" t="s">
        <v>1798</v>
      </c>
      <c r="D110">
        <f xml:space="preserve"> D$99 / 2</f>
        <v>0.22</v>
      </c>
      <c r="E110" t="s">
        <v>1800</v>
      </c>
      <c r="J110" s="58" t="str">
        <f xml:space="preserve"> "&lt;circle fill='none' " &amp; $C110 &amp; " stroke-width='" &amp; $D110 &amp; "' r='" &amp; ROUND(ABS(Star_5_2.SizeOuter),Star_5_2.DecimalPlaces) &amp; "'/&gt;"</f>
        <v>&lt;circle fill='none' opacity='60%' stroke='#00AACC' stroke-width='0.22' r='10'/&gt;</v>
      </c>
      <c r="AP110" s="58" t="str">
        <f xml:space="preserve"> "&lt;circle fill='none' " &amp; $C110 &amp; " stroke-width='" &amp; $D110 &amp; "' r='" &amp; ROUND(ABS(Star_5_2.SizeOuter),Star_5_2.DecimalPlaces) &amp; "'/&gt;"</f>
        <v>&lt;circle fill='none' opacity='60%' stroke='#00AACC' stroke-width='0.22' r='10'/&gt;</v>
      </c>
      <c r="AX110" s="58" t="str">
        <f xml:space="preserve"> "&lt;circle fill='none' " &amp; $C110 &amp; " stroke-width='" &amp; $D110 &amp; "' r='" &amp; ROUND(ABS(Star_5_2.SizeOuter),Star_5_2.DecimalPlaces) &amp; "'/&gt;"</f>
        <v>&lt;circle fill='none' opacity='60%' stroke='#00AACC' stroke-width='0.22' r='10'/&gt;</v>
      </c>
      <c r="BR110" s="58" t="str">
        <f xml:space="preserve"> "&lt;circle fill='none' " &amp; $C110 &amp; " stroke-width='" &amp; $D110 &amp; "' r='" &amp; ROUND(ABS(Star_5_2.SizeOuter),Star_5_2.DecimalPlaces) &amp; "'/&gt;"</f>
        <v>&lt;circle fill='none' opacity='60%' stroke='#00AACC' stroke-width='0.22' r='6'/&gt;</v>
      </c>
    </row>
    <row r="111" spans="3:70">
      <c r="C111" t="str">
        <f xml:space="preserve"> C$110</f>
        <v>opacity='60%' stroke='#00AACC'</v>
      </c>
      <c r="D111">
        <f xml:space="preserve"> D$110</f>
        <v>0.22</v>
      </c>
      <c r="E111" t="s">
        <v>1801</v>
      </c>
      <c r="J111" s="58" t="str">
        <f xml:space="preserve"> "&lt;circle fill='none' " &amp; $C110 &amp; " stroke-width='" &amp; $D110 &amp; "' r='" &amp; ROUND(ABS(Star_5_2.SizeMiddle),Star_5_2.DecimalPlaces) &amp; "'/&gt;"</f>
        <v>&lt;circle fill='none' opacity='60%' stroke='#00AACC' stroke-width='0.22' r='6'/&gt;</v>
      </c>
      <c r="AP111" s="58" t="str">
        <f xml:space="preserve"> "&lt;circle fill='none' " &amp; $C110 &amp; " stroke-width='" &amp; $D110 &amp; "' r='" &amp; ROUND(ABS(Star_5_2.SizeMiddle),Star_5_2.DecimalPlaces) &amp; "'/&gt;"</f>
        <v>&lt;circle fill='none' opacity='60%' stroke='#00AACC' stroke-width='0.22' r='7'/&gt;</v>
      </c>
      <c r="AX111" s="58" t="str">
        <f xml:space="preserve"> "&lt;circle fill='none' " &amp; $C110 &amp; " stroke-width='" &amp; $D110 &amp; "' r='" &amp; ROUND(ABS(Star_5_2.SizeMiddle),Star_5_2.DecimalPlaces) &amp; "'/&gt;"</f>
        <v>&lt;circle fill='none' opacity='60%' stroke='#00AACC' stroke-width='0.22' r='7'/&gt;</v>
      </c>
      <c r="BR111" s="61" t="str">
        <f xml:space="preserve"> ""</f>
        <v/>
      </c>
    </row>
    <row r="112" spans="3:70">
      <c r="C112" t="str">
        <f t="shared" ref="C112:D113" si="145" xml:space="preserve"> C$110</f>
        <v>opacity='60%' stroke='#00AACC'</v>
      </c>
      <c r="D112">
        <f t="shared" si="145"/>
        <v>0.22</v>
      </c>
      <c r="E112" t="s">
        <v>1802</v>
      </c>
      <c r="J112" s="58" t="str">
        <f xml:space="preserve"> "&lt;circle fill='none' " &amp; $C110 &amp; " stroke-width='" &amp; $D110 &amp; "' r='" &amp; ROUND(ABS(Star_5_2.SizeOuter * (3 - Sqrt5) / 2),Star_5_2.DecimalPlaces) &amp; "'/&gt;"</f>
        <v>&lt;circle fill='none' opacity='60%' stroke='#00AACC' stroke-width='0.22' r='3.8197'/&gt;</v>
      </c>
      <c r="AP112" s="58" t="str">
        <f xml:space="preserve"> "&lt;circle fill='none' " &amp; $C110 &amp; " stroke-width='" &amp; $D110 &amp; "' r='" &amp; ROUND(ABS(Star_5_2.SizeOuter * (3 - Sqrt5) / 2),Star_5_2.DecimalPlaces) &amp; "'/&gt;"</f>
        <v>&lt;circle fill='none' opacity='60%' stroke='#00AACC' stroke-width='0.22' r='3.8197'/&gt;</v>
      </c>
      <c r="AX112" s="58" t="str">
        <f xml:space="preserve"> "&lt;circle fill='none' " &amp; $C110 &amp; " stroke-width='" &amp; $D110 &amp; "' r='" &amp; ROUND(ABS(Star_5_2.SizeOuter * (3 - Sqrt5) / 2),Star_5_2.DecimalPlaces) &amp; "'/&gt;"</f>
        <v>&lt;circle fill='none' opacity='60%' stroke='#00AACC' stroke-width='0.22' r='3.8197'/&gt;</v>
      </c>
      <c r="BR112" s="58" t="str">
        <f xml:space="preserve"> "&lt;circle fill='none' " &amp; $C110 &amp; " stroke-width='" &amp; $D110 &amp; "' r='" &amp; ROUND(ABS(Star_5_2.SizeOuter * (3 - Sqrt5) / 2),Star_5_2.DecimalPlaces) &amp; "'/&gt;"</f>
        <v>&lt;circle fill='none' opacity='60%' stroke='#00AACC' stroke-width='0.22' r='2.2918'/&gt;</v>
      </c>
    </row>
    <row r="113" spans="3:70">
      <c r="C113" t="str">
        <f t="shared" si="145"/>
        <v>opacity='60%' stroke='#00AACC'</v>
      </c>
      <c r="D113">
        <f t="shared" si="145"/>
        <v>0.22</v>
      </c>
      <c r="E113" t="s">
        <v>1803</v>
      </c>
      <c r="J113" s="58" t="str">
        <f xml:space="preserve"> "&lt;circle fill='none' " &amp; $C110 &amp; " stroke-width='" &amp; $D110 &amp; "' r='" &amp; ROUND(ABS(Star_5_2.SizeMiddle * (3 - Sqrt5) / 2),Star_5_2.DecimalPlaces) &amp; "'/&gt;"</f>
        <v>&lt;circle fill='none' opacity='60%' stroke='#00AACC' stroke-width='0.22' r='2.2918'/&gt;</v>
      </c>
      <c r="AP113" s="58" t="str">
        <f xml:space="preserve"> "&lt;circle fill='none' " &amp; $C110 &amp; " stroke-width='" &amp; $D110 &amp; "' r='" &amp; ROUND(ABS(Star_5_2.SizeMiddle * (3 - Sqrt5) / 2),Star_5_2.DecimalPlaces) &amp; "'/&gt;"</f>
        <v>&lt;circle fill='none' opacity='60%' stroke='#00AACC' stroke-width='0.22' r='2.6738'/&gt;</v>
      </c>
      <c r="AX113" s="58" t="str">
        <f xml:space="preserve"> "&lt;circle fill='none' " &amp; $C110 &amp; " stroke-width='" &amp; $D110 &amp; "' r='" &amp; ROUND(ABS(Star_5_2.SizeMiddle * (3 - Sqrt5) / 2),Star_5_2.DecimalPlaces) &amp; "'/&gt;"</f>
        <v>&lt;circle fill='none' opacity='60%' stroke='#00AACC' stroke-width='0.22' r='2.6738'/&gt;</v>
      </c>
      <c r="BR113" s="61" t="str">
        <f xml:space="preserve"> ""</f>
        <v/>
      </c>
    </row>
    <row r="114" spans="3:70">
      <c r="C114" t="s">
        <v>1806</v>
      </c>
      <c r="D114">
        <f xml:space="preserve"> D$110</f>
        <v>0.22</v>
      </c>
      <c r="E114" t="s">
        <v>1805</v>
      </c>
      <c r="J114" s="58" t="str">
        <f xml:space="preserve"> "&lt;path " &amp; $C114 &amp; " stroke-width='" &amp; $D114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4" s="58" t="str">
        <f xml:space="preserve"> "&lt;path " &amp; $C114 &amp; " stroke-width='" &amp; $D114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4" s="58" t="str">
        <f xml:space="preserve"> "&lt;path " &amp; $C114 &amp; " stroke-width='" &amp; $D114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4" s="58" t="str">
        <f xml:space="preserve"> "&lt;path " &amp; $C114 &amp; " stroke-width='" &amp; $D114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5" spans="3:70">
      <c r="C115" t="str">
        <f xml:space="preserve"> C99</f>
        <v>fill='none' stroke='#0000FF'</v>
      </c>
      <c r="D115">
        <f xml:space="preserve"> D$110</f>
        <v>0.22</v>
      </c>
      <c r="E115" t="s">
        <v>1804</v>
      </c>
      <c r="J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6" spans="3:70">
      <c r="C116" t="s">
        <v>2073</v>
      </c>
      <c r="D116">
        <f xml:space="preserve"> D115 / 2</f>
        <v>0.11</v>
      </c>
      <c r="J116" s="58" t="str">
        <f xml:space="preserve"> "&lt;circle " &amp; $C116 &amp; " r='" &amp; $D116 &amp; "'/&gt;"</f>
        <v>&lt;circle fill='#FFF' r='0.11'/&gt;</v>
      </c>
      <c r="AP116" s="58" t="str">
        <f xml:space="preserve"> "&lt;circle " &amp; $C116 &amp; " r='" &amp; $D116 &amp; "'/&gt;"</f>
        <v>&lt;circle fill='#FFF' r='0.11'/&gt;</v>
      </c>
      <c r="AX116" s="58" t="str">
        <f xml:space="preserve"> "&lt;circle " &amp; $C116 &amp; " r='" &amp; $D116 &amp; "'/&gt;"</f>
        <v>&lt;circle fill='#FFF' r='0.11'/&gt;</v>
      </c>
      <c r="BR116" s="58" t="str">
        <f xml:space="preserve"> "&lt;circle " &amp; $C116 &amp; " r='" &amp; $D116 &amp; "'/&gt;"</f>
        <v>&lt;circle fill='#FFF' r='0.11'/&gt;</v>
      </c>
    </row>
    <row r="117" spans="3:70">
      <c r="C117">
        <v>16</v>
      </c>
      <c r="J117" s="60" t="str">
        <f xml:space="preserve"> "&lt;text x='" &amp; ROUND(_xlfn.SINGLE(Star_5_2.MinX) * -0.2, _xlfn.SINGLE(Star_5_2.DecimalPlaces)) &amp; "' y='" &amp;  ROUND((_xlfn.SINGLE(Star_5_2.MaxY) * -0.85), _xlfn.SINGLE(Star_5_2.DecimalPlaces) - 2) &amp; "' fill='black' dominant-baseline='middle' font-family='Consolas, monospace' font-size='" &amp; ROUND($C117 * (_xlfn.SINGLE(Star_5_2.MaxY) - _xlfn.SINGLE(Star_5_2.MinY)) / J$93, _xlfn.SINGLE(Star_5_2.DecimalPlaces)) &amp; "' font-weight='800'&gt;" &amp; _xlfn.SINGLE(Star_5_2.ID) &amp; "&lt;/text&gt;"</f>
        <v>&lt;text x='1.9021' y='-6.88' fill='black' dominant-baseline='middle' font-family='Consolas, monospace' font-size='2.7831' font-weight='800'&gt;USD&lt;/text&gt;</v>
      </c>
      <c r="AP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AP$93, _xlfn.SINGLE(Star_5_2.DecimalPlaces)) &amp; "' font-weight='800'&gt;" &amp; _xlfn.SINGLE(Star_5_2.ID) &amp; "&lt;/text&gt;"</f>
        <v>&lt;text x='0' y='8.37' fill='black' dominant-baseline='middle' font-family='Consolas, monospace' font-size='2.9537' font-weight='800'&gt;CNY&lt;/text&gt;</v>
      </c>
      <c r="AX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AX$93, _xlfn.SINGLE(Star_5_2.DecimalPlaces)) &amp; "' font-weight='800'&gt;" &amp; _xlfn.SINGLE(Star_5_2.ID) &amp; "&lt;/text&gt;"</f>
        <v>&lt;text x='0' y='8.3' fill='black' dominant-baseline='middle' font-family='Consolas, monospace' font-size='2.9987' font-weight='800'&gt;PKR&lt;/text&gt;</v>
      </c>
      <c r="BR117" s="60" t="str">
        <f xml:space="preserve"> "&lt;text x='" &amp; ROUND(_xlfn.SINGLE(Star_5_2.MinX) * 0.4, _xlfn.SINGLE(Star_5_2.DecimalPlaces)) &amp; "' y='" &amp;  ROUND((_xlfn.SINGLE(Star_5_2.MaxY) * 0.65), _xlfn.SINGLE(Star_5_2.DecimalPlaces) - 2) &amp; "' fill='black' dominant-baseline='middle' font-family='Consolas, monospace' font-size='" &amp; ROUND($C117 * (_xlfn.SINGLE(Star_5_2.MaxY) - _xlfn.SINGLE(Star_5_2.MinY)) / BR$93, _xlfn.SINGLE(Star_5_2.DecimalPlaces)) &amp; "' font-weight='800'&gt;" &amp; _xlfn.SINGLE(Star_5_2.ID) &amp; "&lt;/text&gt;"</f>
        <v>&lt;text x='-2.4' y='4.454' fill='black' dominant-baseline='middle' font-family='Consolas, monospace' font-size='2.01167' font-weight='800'&gt;DZD&lt;/text&gt;</v>
      </c>
    </row>
    <row r="118" spans="3:70">
      <c r="J118" s="59" t="s">
        <v>15</v>
      </c>
      <c r="AP118" s="59" t="s">
        <v>15</v>
      </c>
      <c r="AX118" s="59" t="s">
        <v>15</v>
      </c>
      <c r="BR118" s="59" t="s">
        <v>15</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392</v>
      </c>
      <c r="L2" t="s">
        <v>99</v>
      </c>
      <c r="N2" t="s">
        <v>98</v>
      </c>
      <c r="P2" t="s">
        <v>1625</v>
      </c>
      <c r="R2" t="s">
        <v>2658</v>
      </c>
      <c r="T2" t="s">
        <v>100</v>
      </c>
      <c r="V2" t="s">
        <v>101</v>
      </c>
      <c r="X2" t="s">
        <v>103</v>
      </c>
      <c r="Z2" t="s">
        <v>2280</v>
      </c>
      <c r="AB2" t="s">
        <v>105</v>
      </c>
      <c r="AD2" t="s">
        <v>708</v>
      </c>
      <c r="AF2" t="s">
        <v>1658</v>
      </c>
      <c r="AH2" t="s">
        <v>2233</v>
      </c>
      <c r="AJ2" t="s">
        <v>173</v>
      </c>
      <c r="AL2" t="s">
        <v>106</v>
      </c>
      <c r="AN2" t="s">
        <v>2023</v>
      </c>
      <c r="AP2" t="s">
        <v>2695</v>
      </c>
      <c r="AR2" t="s">
        <v>2699</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10</v>
      </c>
      <c r="F6">
        <f xml:space="preserve"> VALUE(TEXT(SQRT(_xlfn.SINGLE(Circles.AreaMultiplier) * BasicBBoxArea * _xlfn.SINGLE(Circles.Aspect)), SVG.NumberFormatHeight))</f>
        <v>10</v>
      </c>
      <c r="H6">
        <f xml:space="preserve"> VALUE(TEXT(SQRT(_xlfn.SINGLE(Circles.AreaMultiplier) * BasicBBoxArea * _xlfn.SINGLE(Circles.Aspect)), SVG.NumberFormatHeight))</f>
        <v>10</v>
      </c>
      <c r="J6">
        <f xml:space="preserve"> VALUE(TEXT(SQRT(_xlfn.SINGLE(Circles.AreaMultiplier) * BasicBBoxArea * _xlfn.SINGLE(Circles.Aspect)), SVG.NumberFormatHeight))</f>
        <v>10</v>
      </c>
      <c r="L6">
        <f xml:space="preserve"> VALUE(TEXT(SQRT(_xlfn.SINGLE(Circles.AreaMultiplier) * BasicBBoxArea * _xlfn.SINGLE(Circles.Aspect)), SVG.NumberFormatHeight))</f>
        <v>10</v>
      </c>
      <c r="N6">
        <f xml:space="preserve"> VALUE(TEXT(SQRT(_xlfn.SINGLE(Circles.AreaMultiplier) * BasicBBoxArea * _xlfn.SINGLE(Circles.Aspect)), SVG.NumberFormatHeight))</f>
        <v>10</v>
      </c>
      <c r="P6">
        <f xml:space="preserve"> VALUE(TEXT(SQRT(_xlfn.SINGLE(Circles.AreaMultiplier) * BasicBBoxArea * _xlfn.SINGLE(Circles.Aspect)), SVG.NumberFormatHeight))</f>
        <v>10</v>
      </c>
      <c r="R6">
        <f xml:space="preserve"> VALUE(TEXT(SQRT(_xlfn.SINGLE(Circles.AreaMultiplier) * BasicBBoxArea * _xlfn.SINGLE(Circles.Aspect)), SVG.NumberFormatHeight))</f>
        <v>10</v>
      </c>
      <c r="T6">
        <f xml:space="preserve"> VALUE(TEXT(SQRT(_xlfn.SINGLE(Circles.AreaMultiplier) * BasicBBoxArea * _xlfn.SINGLE(Circles.Aspect)), SVG.NumberFormatHeight))</f>
        <v>10</v>
      </c>
      <c r="V6">
        <f xml:space="preserve"> VALUE(TEXT(SQRT(_xlfn.SINGLE(Circles.AreaMultiplier) * BasicBBoxArea * _xlfn.SINGLE(Circles.Aspect)), SVG.NumberFormatHeight))</f>
        <v>10</v>
      </c>
      <c r="X6">
        <f xml:space="preserve"> VALUE(TEXT(SQRT(_xlfn.SINGLE(Circles.AreaMultiplier) * BasicBBoxArea * _xlfn.SINGLE(Circles.Aspect)), SVG.NumberFormatHeight))</f>
        <v>10</v>
      </c>
      <c r="Z6">
        <f t="shared" si="0"/>
        <v>10</v>
      </c>
      <c r="AB6">
        <f xml:space="preserve"> VALUE(TEXT(SQRT(_xlfn.SINGLE(Circles.AreaMultiplier) * BasicBBoxArea * _xlfn.SINGLE(Circles.Aspect)), SVG.NumberFormatHeight))</f>
        <v>10</v>
      </c>
      <c r="AD6">
        <f xml:space="preserve"> VALUE(TEXT(SQRT(_xlfn.SINGLE(Circles.AreaMultiplier) * BasicBBoxArea * _xlfn.SINGLE(Circles.Aspect)), SVG.NumberFormatHeight))</f>
        <v>10</v>
      </c>
      <c r="AF6">
        <f xml:space="preserve"> VALUE(TEXT(SQRT(_xlfn.SINGLE(Circles.AreaMultiplier) * BasicBBoxArea * _xlfn.SINGLE(Circles.Aspect)), SVG.NumberFormatHeight))</f>
        <v>10</v>
      </c>
      <c r="AH6">
        <f xml:space="preserve"> VALUE(TEXT(SQRT(_xlfn.SINGLE(Circles.AreaMultiplier) * BasicBBoxArea * _xlfn.SINGLE(Circles.Aspect)), SVG.NumberFormatHeight))</f>
        <v>10</v>
      </c>
      <c r="AJ6">
        <f xml:space="preserve"> VALUE(TEXT(SQRT(_xlfn.SINGLE(Circles.AreaMultiplier) * BasicBBoxArea * _xlfn.SINGLE(Circles.Aspect)), SVG.NumberFormatHeight))</f>
        <v>10</v>
      </c>
      <c r="AL6">
        <f xml:space="preserve"> VALUE(TEXT(SQRT(_xlfn.SINGLE(Circles.AreaMultiplier) * BasicBBoxArea * _xlfn.SINGLE(Circles.Aspect)), SVG.NumberFormatHeight))</f>
        <v>10</v>
      </c>
      <c r="AN6">
        <f xml:space="preserve"> VALUE(TEXT(SQRT(_xlfn.SINGLE(Circles.AreaMultiplier) * BasicBBoxArea * _xlfn.SINGLE(Circles.Aspect)), SVG.NumberFormatHeight))</f>
        <v>10</v>
      </c>
      <c r="AP6">
        <f xml:space="preserve"> VALUE(TEXT(SQRT(_xlfn.SINGLE(Circles.AreaMultiplier) * BasicBBoxArea * _xlfn.SINGLE(Circles.Aspect)), SVG.NumberFormatHeight))</f>
        <v>10</v>
      </c>
      <c r="AR6">
        <f xml:space="preserve"> VALUE(TEXT(SQRT(_xlfn.SINGLE(Circles.AreaMultiplier) * BasicBBoxArea * _xlfn.SINGLE(Circles.Aspect)), SVG.NumberFormatHeight))</f>
        <v>10</v>
      </c>
    </row>
    <row r="7" spans="2:49">
      <c r="B7" s="4" t="s">
        <v>90</v>
      </c>
      <c r="D7">
        <f xml:space="preserve"> _xlfn.SINGLE(Circles.Height) / _xlfn.SINGLE(Circles.Aspect)</f>
        <v>10</v>
      </c>
      <c r="F7">
        <f xml:space="preserve"> _xlfn.SINGLE(Circles.Height) / _xlfn.SINGLE(Circles.Aspect)</f>
        <v>10</v>
      </c>
      <c r="H7">
        <f xml:space="preserve"> _xlfn.SINGLE(Circles.Height) / _xlfn.SINGLE(Circles.Aspect)</f>
        <v>10</v>
      </c>
      <c r="J7">
        <f xml:space="preserve"> _xlfn.SINGLE(Circles.Height) / _xlfn.SINGLE(Circles.Aspect)</f>
        <v>10</v>
      </c>
      <c r="L7">
        <f xml:space="preserve"> _xlfn.SINGLE(Circles.Height) / _xlfn.SINGLE(Circles.Aspect)</f>
        <v>10</v>
      </c>
      <c r="N7">
        <f xml:space="preserve"> _xlfn.SINGLE(Circles.Height) / _xlfn.SINGLE(Circles.Aspect)</f>
        <v>10</v>
      </c>
      <c r="P7">
        <f xml:space="preserve"> _xlfn.SINGLE(Circles.Height) / _xlfn.SINGLE(Circles.Aspect)</f>
        <v>10</v>
      </c>
      <c r="R7">
        <f xml:space="preserve"> _xlfn.SINGLE(Circles.Height) / _xlfn.SINGLE(Circles.Aspect)</f>
        <v>10</v>
      </c>
      <c r="T7">
        <f xml:space="preserve"> _xlfn.SINGLE(Circles.Height) / _xlfn.SINGLE(Circles.Aspect)</f>
        <v>10</v>
      </c>
      <c r="V7">
        <f xml:space="preserve"> _xlfn.SINGLE(Circles.Height) / _xlfn.SINGLE(Circles.Aspect)</f>
        <v>10</v>
      </c>
      <c r="X7">
        <f xml:space="preserve"> _xlfn.SINGLE(Circles.Height) / _xlfn.SINGLE(Circles.Aspect)</f>
        <v>10</v>
      </c>
      <c r="Z7">
        <f t="shared" si="0"/>
        <v>10</v>
      </c>
      <c r="AB7">
        <f xml:space="preserve"> _xlfn.SINGLE(Circles.Height) / _xlfn.SINGLE(Circles.Aspect)</f>
        <v>10</v>
      </c>
      <c r="AD7">
        <f xml:space="preserve"> _xlfn.SINGLE(Circles.Height) / _xlfn.SINGLE(Circles.Aspect)</f>
        <v>10</v>
      </c>
      <c r="AF7">
        <f xml:space="preserve"> _xlfn.SINGLE(Circles.Height) / _xlfn.SINGLE(Circles.Aspect)</f>
        <v>10</v>
      </c>
      <c r="AH7">
        <f xml:space="preserve"> _xlfn.SINGLE(Circles.Height) / _xlfn.SINGLE(Circles.Aspect)</f>
        <v>10</v>
      </c>
      <c r="AJ7">
        <f xml:space="preserve"> _xlfn.SINGLE(Circles.Height) / _xlfn.SINGLE(Circles.Aspect)</f>
        <v>10</v>
      </c>
      <c r="AL7">
        <f xml:space="preserve"> _xlfn.SINGLE(Circles.Height) / _xlfn.SINGLE(Circles.Aspect)</f>
        <v>10</v>
      </c>
      <c r="AN7">
        <f xml:space="preserve"> _xlfn.SINGLE(Circles.Height) / _xlfn.SINGLE(Circles.Aspect)</f>
        <v>10</v>
      </c>
      <c r="AP7">
        <f xml:space="preserve"> _xlfn.SINGLE(Circles.Height) / _xlfn.SINGLE(Circles.Aspect)</f>
        <v>10</v>
      </c>
      <c r="AR7">
        <f xml:space="preserve"> _xlfn.SINGLE(Circles.Height) / _xlfn.SINGLE(Circles.Aspect)</f>
        <v>10</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710</v>
      </c>
      <c r="F14" t="s">
        <v>713</v>
      </c>
      <c r="H14" t="s">
        <v>712</v>
      </c>
      <c r="J14" t="s">
        <v>719</v>
      </c>
      <c r="L14" t="s">
        <v>716</v>
      </c>
      <c r="N14" t="s">
        <v>717</v>
      </c>
      <c r="P14" t="s">
        <v>719</v>
      </c>
      <c r="R14" t="s">
        <v>2659</v>
      </c>
      <c r="T14" t="s">
        <v>721</v>
      </c>
      <c r="V14" t="s">
        <v>721</v>
      </c>
      <c r="X14" t="s">
        <v>713</v>
      </c>
      <c r="Z14" t="str">
        <f t="shared" ref="Z14" si="7" xml:space="preserve"> $X14</f>
        <v>fill='#DA291C'</v>
      </c>
      <c r="AB14" t="s">
        <v>727</v>
      </c>
      <c r="AD14" t="s">
        <v>728</v>
      </c>
      <c r="AF14" t="s">
        <v>1659</v>
      </c>
      <c r="AH14" t="s">
        <v>2234</v>
      </c>
      <c r="AJ14" t="s">
        <v>718</v>
      </c>
      <c r="AL14" t="s">
        <v>719</v>
      </c>
      <c r="AN14" t="s">
        <v>2024</v>
      </c>
      <c r="AP14" t="s">
        <v>2696</v>
      </c>
      <c r="AR14" t="s">
        <v>2714</v>
      </c>
    </row>
    <row r="15" spans="2:49">
      <c r="B15" s="4" t="s">
        <v>109</v>
      </c>
      <c r="D15" t="str">
        <f xml:space="preserve"> "fill='#FFF'"</f>
        <v>fill='#FFF'</v>
      </c>
      <c r="H15" t="s">
        <v>711</v>
      </c>
      <c r="L15" t="s">
        <v>715</v>
      </c>
      <c r="N15" t="s">
        <v>2073</v>
      </c>
      <c r="P15" t="s">
        <v>1626</v>
      </c>
      <c r="R15" t="s">
        <v>2660</v>
      </c>
      <c r="T15" t="s">
        <v>723</v>
      </c>
      <c r="V15" t="s">
        <v>2073</v>
      </c>
      <c r="X15" t="s">
        <v>725</v>
      </c>
      <c r="Z15" s="28" t="s">
        <v>2283</v>
      </c>
      <c r="AB15" t="s">
        <v>2114</v>
      </c>
      <c r="AF15" t="s">
        <v>1661</v>
      </c>
      <c r="AH15" t="s">
        <v>2073</v>
      </c>
      <c r="AL15" t="s">
        <v>2073</v>
      </c>
      <c r="AN15" t="s">
        <v>2073</v>
      </c>
      <c r="AP15" t="s">
        <v>2073</v>
      </c>
      <c r="AR15" t="s">
        <v>2715</v>
      </c>
    </row>
    <row r="16" spans="2:49">
      <c r="B16" s="4" t="s">
        <v>110</v>
      </c>
      <c r="L16" t="s">
        <v>714</v>
      </c>
      <c r="N16" t="s">
        <v>720</v>
      </c>
      <c r="P16" t="s">
        <v>1627</v>
      </c>
      <c r="R16" t="str">
        <f xml:space="preserve"> _xlfn.SINGLE(Circles.SVG_Painting_3)</f>
        <v>fill='#E05206'</v>
      </c>
      <c r="T16" t="s">
        <v>724</v>
      </c>
      <c r="V16" t="str">
        <f xml:space="preserve"> _xlfn.SINGLE(Circles.SVG_Painting_3)</f>
        <v>fill='#C8102E'</v>
      </c>
      <c r="AB16" t="s">
        <v>2073</v>
      </c>
      <c r="AH16" t="s">
        <v>2235</v>
      </c>
      <c r="AL16" t="s">
        <v>730</v>
      </c>
      <c r="AN16" t="s">
        <v>2025</v>
      </c>
      <c r="AR16" t="s">
        <v>2716</v>
      </c>
    </row>
    <row r="17" spans="2:49">
      <c r="B17" s="4" t="s">
        <v>107</v>
      </c>
      <c r="F17" t="s">
        <v>2073</v>
      </c>
      <c r="J17" t="s">
        <v>713</v>
      </c>
      <c r="AD17" t="s">
        <v>729</v>
      </c>
      <c r="AF17" t="s">
        <v>1660</v>
      </c>
      <c r="AJ17" t="s">
        <v>2073</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201</v>
      </c>
      <c r="T23" cm="1">
        <f t="array" ref="T23" xml:space="preserve"> SVG_length(T$25:T$31)</f>
        <v>194</v>
      </c>
      <c r="V23" cm="1">
        <f t="array" ref="V23" xml:space="preserve"> SVG_length(V$25:V$31)</f>
        <v>198</v>
      </c>
      <c r="X23" cm="1">
        <f t="array" ref="X23" xml:space="preserve"> SVG_length(X$25:X$31)</f>
        <v>164</v>
      </c>
      <c r="Z23" cm="1">
        <f t="array" ref="Z23" xml:space="preserve"> SVG_length(Z$25:Z$31)</f>
        <v>161</v>
      </c>
      <c r="AB23" cm="1">
        <f t="array" ref="AB23" xml:space="preserve"> SVG_length(AB$25:AB$31)</f>
        <v>183</v>
      </c>
      <c r="AD23" cm="1">
        <f t="array" ref="AD23" xml:space="preserve"> SVG_length(AD$25:AD$31)</f>
        <v>217</v>
      </c>
      <c r="AF23" cm="1">
        <f t="array" ref="AF23" xml:space="preserve"> SVG_length(AF$25:AF$31)</f>
        <v>231</v>
      </c>
      <c r="AH23" cm="1">
        <f t="array" ref="AH23" xml:space="preserve"> SVG_length(AH$25:AH$31)</f>
        <v>196</v>
      </c>
      <c r="AJ23" cm="1">
        <f t="array" ref="AJ23" xml:space="preserve"> SVG_length(AJ$25:AJ$31)</f>
        <v>196</v>
      </c>
      <c r="AL23" cm="1">
        <f t="array" ref="AL23" xml:space="preserve"> SVG_length(AL$25:AL$31)</f>
        <v>183</v>
      </c>
      <c r="AN23" cm="1">
        <f t="array" ref="AN23" xml:space="preserve"> SVG_length(AN$25:AN$31)</f>
        <v>196</v>
      </c>
      <c r="AP23" cm="1">
        <f t="array" ref="AP23" xml:space="preserve"> SVG_length(AP$25:AP$31)</f>
        <v>271</v>
      </c>
      <c r="AR23" cm="1">
        <f t="array" ref="AR23" xml:space="preserve"> SVG_length(AR$25:AR$31)</f>
        <v>201</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viewBox='-6 -6 12 12'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viewBox='-4 -4 8 8'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viewBox='-1 -1 2 2'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viewBox='-24 -24 48 48'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2340</v>
      </c>
      <c r="L2" t="s">
        <v>164</v>
      </c>
      <c r="N2" t="s">
        <v>165</v>
      </c>
      <c r="P2" t="s">
        <v>167</v>
      </c>
      <c r="R2" t="s">
        <v>102</v>
      </c>
      <c r="T2" t="s">
        <v>169</v>
      </c>
      <c r="V2" t="s">
        <v>2360</v>
      </c>
      <c r="X2" t="s">
        <v>170</v>
      </c>
      <c r="Z2" t="s">
        <v>2261</v>
      </c>
      <c r="AB2" t="s">
        <v>558</v>
      </c>
      <c r="AD2" t="s">
        <v>2362</v>
      </c>
      <c r="AF2" t="s">
        <v>2401</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9.1999999999999993</v>
      </c>
      <c r="F6">
        <f xml:space="preserve"> VALUE(TEXT(SQRT(_xlfn.SINGLE(Squares.AreaMultiplier) * BasicBBoxArea * _xlfn.SINGLE(Squares.Aspect)), SVG.NumberFormatHeight))</f>
        <v>9.1999999999999993</v>
      </c>
      <c r="H6">
        <f xml:space="preserve"> VALUE(TEXT(SQRT(_xlfn.SINGLE(Squares.AreaMultiplier) * BasicBBoxArea * _xlfn.SINGLE(Squares.Aspect)), SVG.NumberFormatHeight))</f>
        <v>9.1999999999999993</v>
      </c>
      <c r="J6">
        <f xml:space="preserve"> VALUE(TEXT(SQRT(_xlfn.SINGLE(Squares.AreaMultiplier) * BasicBBoxArea * _xlfn.SINGLE(Squares.Aspect)), SVG.NumberFormatHeight))</f>
        <v>9.1999999999999993</v>
      </c>
      <c r="L6">
        <f xml:space="preserve"> VALUE(TEXT(SQRT(_xlfn.SINGLE(Squares.AreaMultiplier) * BasicBBoxArea * _xlfn.SINGLE(Squares.Aspect)), SVG.NumberFormatHeight))</f>
        <v>9.1999999999999993</v>
      </c>
      <c r="N6">
        <f xml:space="preserve"> VALUE(TEXT(SQRT(_xlfn.SINGLE(Squares.AreaMultiplier) * BasicBBoxArea * _xlfn.SINGLE(Squares.Aspect)), SVG.NumberFormatHeight))</f>
        <v>9.1999999999999993</v>
      </c>
      <c r="P6">
        <f xml:space="preserve"> VALUE(TEXT(SQRT(_xlfn.SINGLE(Squares.AreaMultiplier) * BasicBBoxArea * _xlfn.SINGLE(Squares.Aspect)), SVG.NumberFormatHeight))</f>
        <v>9.1999999999999993</v>
      </c>
      <c r="R6">
        <f xml:space="preserve"> VALUE(TEXT(SQRT(_xlfn.SINGLE(Squares.AreaMultiplier) * BasicBBoxArea * _xlfn.SINGLE(Squares.Aspect)), SVG.NumberFormatHeight))</f>
        <v>9.1999999999999993</v>
      </c>
      <c r="T6">
        <f xml:space="preserve"> VALUE(TEXT(SQRT(_xlfn.SINGLE(Squares.AreaMultiplier) * BasicBBoxArea * _xlfn.SINGLE(Squares.Aspect)), SVG.NumberFormatHeight))</f>
        <v>9.1999999999999993</v>
      </c>
      <c r="V6">
        <f xml:space="preserve"> VALUE(TEXT(SQRT(_xlfn.SINGLE(Squares.AreaMultiplier) * BasicBBoxArea * _xlfn.SINGLE(Squares.Aspect)), SVG.NumberFormatHeight))</f>
        <v>9.1999999999999993</v>
      </c>
      <c r="X6">
        <f xml:space="preserve"> VALUE(TEXT(SQRT(_xlfn.SINGLE(Squares.AreaMultiplier) * BasicBBoxArea * _xlfn.SINGLE(Squares.Aspect)), SVG.NumberFormatHeight))</f>
        <v>9.1999999999999993</v>
      </c>
      <c r="Z6">
        <f t="shared" si="0"/>
        <v>9.1999999999999993</v>
      </c>
      <c r="AB6">
        <f xml:space="preserve"> VALUE(TEXT(SQRT(_xlfn.SINGLE(Squares.AreaMultiplier) * BasicBBoxArea * _xlfn.SINGLE(Squares.Aspect)), SVG.NumberFormatHeight))</f>
        <v>9.1999999999999993</v>
      </c>
      <c r="AD6">
        <f xml:space="preserve"> VALUE(TEXT(SQRT(_xlfn.SINGLE(Squares.AreaMultiplier) * BasicBBoxArea * _xlfn.SINGLE(Squares.Aspect)), SVG.NumberFormatHeight))</f>
        <v>9.1999999999999993</v>
      </c>
      <c r="AF6">
        <f xml:space="preserve"> VALUE(TEXT(SQRT(_xlfn.SINGLE(Squares.AreaMultiplier) * BasicBBoxArea * _xlfn.SINGLE(Squares.Aspect)), SVG.NumberFormatHeight))</f>
        <v>9.1999999999999993</v>
      </c>
    </row>
    <row r="7" spans="2:37">
      <c r="B7" s="4" t="s">
        <v>156</v>
      </c>
      <c r="D7">
        <f xml:space="preserve"> _xlfn.SINGLE(Squares.Height) / _xlfn.SINGLE(Squares.Aspect)</f>
        <v>9.1999999999999993</v>
      </c>
      <c r="F7">
        <f xml:space="preserve"> _xlfn.SINGLE(Squares.Height) / _xlfn.SINGLE(Squares.Aspect)</f>
        <v>9.1999999999999993</v>
      </c>
      <c r="H7">
        <f xml:space="preserve"> _xlfn.SINGLE(Squares.Height) / _xlfn.SINGLE(Squares.Aspect)</f>
        <v>9.1999999999999993</v>
      </c>
      <c r="J7">
        <f xml:space="preserve"> _xlfn.SINGLE(Squares.Height) / _xlfn.SINGLE(Squares.Aspect)</f>
        <v>9.1999999999999993</v>
      </c>
      <c r="L7">
        <f xml:space="preserve"> _xlfn.SINGLE(Squares.Height) / _xlfn.SINGLE(Squares.Aspect)</f>
        <v>9.1999999999999993</v>
      </c>
      <c r="N7">
        <f xml:space="preserve"> _xlfn.SINGLE(Squares.Height) / _xlfn.SINGLE(Squares.Aspect)</f>
        <v>9.1999999999999993</v>
      </c>
      <c r="P7">
        <f xml:space="preserve"> _xlfn.SINGLE(Squares.Height) / _xlfn.SINGLE(Squares.Aspect)</f>
        <v>9.1999999999999993</v>
      </c>
      <c r="R7">
        <f xml:space="preserve"> _xlfn.SINGLE(Squares.Height) / _xlfn.SINGLE(Squares.Aspect)</f>
        <v>9.1999999999999993</v>
      </c>
      <c r="T7">
        <f xml:space="preserve"> _xlfn.SINGLE(Squares.Height) / _xlfn.SINGLE(Squares.Aspect)</f>
        <v>9.1999999999999993</v>
      </c>
      <c r="V7">
        <f xml:space="preserve"> _xlfn.SINGLE(Squares.Height) / _xlfn.SINGLE(Squares.Aspect)</f>
        <v>9.1999999999999993</v>
      </c>
      <c r="X7">
        <f xml:space="preserve"> _xlfn.SINGLE(Squares.Height) / _xlfn.SINGLE(Squares.Aspect)</f>
        <v>9.1999999999999993</v>
      </c>
      <c r="Z7">
        <f t="shared" si="0"/>
        <v>9.1999999999999993</v>
      </c>
      <c r="AB7">
        <f xml:space="preserve"> _xlfn.SINGLE(Squares.Height) / _xlfn.SINGLE(Squares.Aspect)</f>
        <v>9.1999999999999993</v>
      </c>
      <c r="AD7">
        <f xml:space="preserve"> _xlfn.SINGLE(Squares.Height) / _xlfn.SINGLE(Squares.Aspect)</f>
        <v>9.1999999999999993</v>
      </c>
      <c r="AF7">
        <f xml:space="preserve"> _xlfn.SINGLE(Squares.Height) / _xlfn.SINGLE(Squares.Aspect)</f>
        <v>9.1999999999999993</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1056</v>
      </c>
      <c r="F14" t="s">
        <v>731</v>
      </c>
      <c r="H14" t="s">
        <v>732</v>
      </c>
      <c r="J14" t="s">
        <v>1053</v>
      </c>
      <c r="L14" t="s">
        <v>733</v>
      </c>
      <c r="N14" t="s">
        <v>1049</v>
      </c>
      <c r="P14" t="s">
        <v>710</v>
      </c>
      <c r="R14" t="s">
        <v>722</v>
      </c>
      <c r="T14" t="s">
        <v>737</v>
      </c>
      <c r="V14" t="s">
        <v>2361</v>
      </c>
      <c r="X14" t="s">
        <v>2135</v>
      </c>
      <c r="Z14" t="str">
        <f xml:space="preserve"> $X14</f>
        <v>fill='#AD1519'</v>
      </c>
      <c r="AB14" t="s">
        <v>721</v>
      </c>
      <c r="AD14" t="s">
        <v>2363</v>
      </c>
      <c r="AF14" t="s">
        <v>2402</v>
      </c>
    </row>
    <row r="15" spans="2:37">
      <c r="B15" s="4" t="s">
        <v>158</v>
      </c>
      <c r="F15" t="s">
        <v>2073</v>
      </c>
      <c r="H15" t="s">
        <v>2073</v>
      </c>
      <c r="J15" t="s">
        <v>2073</v>
      </c>
      <c r="L15" t="s">
        <v>734</v>
      </c>
      <c r="N15" t="s">
        <v>1946</v>
      </c>
      <c r="P15" t="s">
        <v>2073</v>
      </c>
      <c r="R15" t="s">
        <v>2073</v>
      </c>
      <c r="T15" t="s">
        <v>2073</v>
      </c>
      <c r="V15" t="s">
        <v>2073</v>
      </c>
      <c r="X15" t="s">
        <v>2136</v>
      </c>
      <c r="Z15" s="28" t="s">
        <v>2269</v>
      </c>
      <c r="AB15" t="s">
        <v>735</v>
      </c>
      <c r="AD15" t="s">
        <v>2364</v>
      </c>
      <c r="AF15" t="s">
        <v>745</v>
      </c>
    </row>
    <row r="16" spans="2:37">
      <c r="B16" s="4" t="s">
        <v>159</v>
      </c>
      <c r="H16" t="s">
        <v>736</v>
      </c>
      <c r="J16" t="s">
        <v>713</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2365</v>
      </c>
      <c r="AF16" t="s">
        <v>750</v>
      </c>
    </row>
    <row r="17" spans="2:37">
      <c r="B17" s="4" t="s">
        <v>160</v>
      </c>
      <c r="D17" t="s">
        <v>2073</v>
      </c>
      <c r="P17" t="s">
        <v>716</v>
      </c>
      <c r="R17" t="s">
        <v>1676</v>
      </c>
      <c r="AB17" t="s">
        <v>2073</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173</v>
      </c>
      <c r="F25" cm="1">
        <f t="array" ref="F25" xml:space="preserve"> SVG_length(F$28:F$34)</f>
        <v>179</v>
      </c>
      <c r="H25" cm="1">
        <f t="array" ref="H25" xml:space="preserve"> SVG_length(H$28:H$34)</f>
        <v>242</v>
      </c>
      <c r="J25" cm="1">
        <f t="array" ref="J25" xml:space="preserve"> SVG_length(J$28:J$34)</f>
        <v>242</v>
      </c>
      <c r="L25" cm="1">
        <f t="array" ref="L25" xml:space="preserve"> SVG_length(L$28:L$34)</f>
        <v>186</v>
      </c>
      <c r="N25" cm="1">
        <f t="array" ref="N25" xml:space="preserve"> SVG_length(N$28:N$34)</f>
        <v>183</v>
      </c>
      <c r="P25" cm="1">
        <f t="array" ref="P25" xml:space="preserve"> SVG_length(P$28:P$34)</f>
        <v>230</v>
      </c>
      <c r="R25" cm="1">
        <f t="array" ref="R25" xml:space="preserve"> SVG_length(R$28:R$34)</f>
        <v>215</v>
      </c>
      <c r="T25" cm="1">
        <f t="array" ref="T25" xml:space="preserve"> SVG_length(T$28:T$34)</f>
        <v>242</v>
      </c>
      <c r="V25" cm="1">
        <f t="array" ref="V25" xml:space="preserve"> SVG_length(V$28:V$34)</f>
        <v>242</v>
      </c>
      <c r="X25" cm="1">
        <f t="array" ref="X25" xml:space="preserve"> SVG_length(X$28:X$34)</f>
        <v>245</v>
      </c>
      <c r="Z25" cm="1">
        <f t="array" ref="Z25" xml:space="preserve"> SVG_length(Z$28:Z$34)</f>
        <v>242</v>
      </c>
      <c r="AB25" cm="1">
        <f t="array" ref="AB25" xml:space="preserve"> SVG_length(AB$28:AB$34)</f>
        <v>230</v>
      </c>
      <c r="AD25" cm="1">
        <f t="array" ref="AD25" xml:space="preserve"> SVG_length(AD$28:AD$34)</f>
        <v>245</v>
      </c>
      <c r="AF25" cm="1">
        <f t="array" ref="AF25" xml:space="preserve"> SVG_length(AF$28:AF$34)</f>
        <v>245</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viewBox='-50 -50 100 100'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1533</v>
      </c>
      <c r="D2">
        <v>10</v>
      </c>
      <c r="H2" s="4" t="s">
        <v>1532</v>
      </c>
      <c r="J2" t="s">
        <v>1527</v>
      </c>
      <c r="L2" t="s">
        <v>2264</v>
      </c>
      <c r="N2" t="s">
        <v>126</v>
      </c>
      <c r="P2" t="s">
        <v>669</v>
      </c>
      <c r="R2" t="s">
        <v>128</v>
      </c>
      <c r="T2" t="s">
        <v>1528</v>
      </c>
      <c r="V2" t="s">
        <v>650</v>
      </c>
      <c r="X2" t="s">
        <v>2275</v>
      </c>
      <c r="Z2" t="e">
        <f xml:space="preserve"> NA()</f>
        <v>#N/A</v>
      </c>
    </row>
    <row r="3" spans="2:26">
      <c r="C3" s="4" t="s">
        <v>1531</v>
      </c>
      <c r="D3">
        <f xml:space="preserve"> EquilateralCross.Size2 * 2.5</f>
        <v>25</v>
      </c>
      <c r="H3" s="4" t="s">
        <v>1534</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1535</v>
      </c>
      <c r="D4" cm="1">
        <f t="array" ref="D4" xml:space="preserve"> EquilateralCross.Size2 / 2.5</f>
        <v>4</v>
      </c>
    </row>
    <row r="5" spans="2:26">
      <c r="C5" s="4" t="s">
        <v>1536</v>
      </c>
      <c r="D5">
        <f xml:space="preserve"> 1 + EquilateralCross.SizeGap3</f>
        <v>5</v>
      </c>
    </row>
    <row r="7" spans="2:26">
      <c r="C7" s="4" t="s">
        <v>1549</v>
      </c>
      <c r="D7">
        <f xml:space="preserve"> MODE(Circles.AreaMultiplier) * (EquilateralCross.Size1 / 2) * SQRT( PI() / (2*EquilateralCross.Size1 - EquilateralCross.Size2) / EquilateralCross.Size2 )</f>
        <v>1.1077836568159476</v>
      </c>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10" spans="2:26" ht="17" thickBot="1">
      <c r="B10" s="3" t="s">
        <v>1537</v>
      </c>
      <c r="C10" s="3" t="s">
        <v>1538</v>
      </c>
      <c r="D10" s="3" t="s">
        <v>1539</v>
      </c>
    </row>
    <row r="11" spans="2:26">
      <c r="B11" t="s">
        <v>1554</v>
      </c>
      <c r="C11" cm="1">
        <f t="array" ref="C11" xml:space="preserve"> EquilateralCross.Size2</f>
        <v>10</v>
      </c>
      <c r="D11" cm="1">
        <f t="array" ref="D11" xml:space="preserve"> EquilateralCross.Size2</f>
        <v>10</v>
      </c>
    </row>
    <row r="12" spans="2:26">
      <c r="B12" t="s">
        <v>1554</v>
      </c>
      <c r="C12" cm="1">
        <f t="array" ref="C12" xml:space="preserve"> EquilateralCross.Size1</f>
        <v>25</v>
      </c>
      <c r="D12" cm="1">
        <f t="array" ref="D12" xml:space="preserve"> EquilateralCross.Size2</f>
        <v>10</v>
      </c>
    </row>
    <row r="13" spans="2:26">
      <c r="B13" t="s">
        <v>1554</v>
      </c>
      <c r="C13" cm="1">
        <f t="array" ref="C13" xml:space="preserve"> EquilateralCross.Size1</f>
        <v>25</v>
      </c>
      <c r="D13" cm="1">
        <f t="array" ref="D13" xml:space="preserve"> - EquilateralCross.Size2</f>
        <v>-10</v>
      </c>
    </row>
    <row r="14" spans="2:26">
      <c r="B14" t="s">
        <v>1554</v>
      </c>
      <c r="C14" cm="1">
        <f t="array" ref="C14" xml:space="preserve"> EquilateralCross.Size2</f>
        <v>10</v>
      </c>
      <c r="D14" cm="1">
        <f t="array" ref="D14" xml:space="preserve"> - EquilateralCross.Size2</f>
        <v>-10</v>
      </c>
    </row>
    <row r="15" spans="2:26">
      <c r="B15" t="s">
        <v>1554</v>
      </c>
      <c r="C15" cm="1">
        <f t="array" ref="C15" xml:space="preserve"> EquilateralCross.Size2</f>
        <v>10</v>
      </c>
      <c r="D15" cm="1">
        <f t="array" ref="D15" xml:space="preserve"> - EquilateralCross.Size1</f>
        <v>-25</v>
      </c>
    </row>
    <row r="16" spans="2:26">
      <c r="B16" t="s">
        <v>1554</v>
      </c>
      <c r="C16" cm="1">
        <f t="array" ref="C16" xml:space="preserve"> - EquilateralCross.Size2</f>
        <v>-10</v>
      </c>
      <c r="D16" cm="1">
        <f t="array" ref="D16" xml:space="preserve"> - EquilateralCross.Size1</f>
        <v>-25</v>
      </c>
    </row>
    <row r="17" spans="2:4">
      <c r="B17" t="s">
        <v>1554</v>
      </c>
      <c r="C17" cm="1">
        <f t="array" ref="C17" xml:space="preserve"> - EquilateralCross.Size2</f>
        <v>-10</v>
      </c>
      <c r="D17" cm="1">
        <f t="array" ref="D17" xml:space="preserve"> - EquilateralCross.Size2</f>
        <v>-10</v>
      </c>
    </row>
    <row r="18" spans="2:4">
      <c r="B18" t="s">
        <v>1554</v>
      </c>
      <c r="C18" cm="1">
        <f t="array" ref="C18" xml:space="preserve"> - EquilateralCross.Size1</f>
        <v>-25</v>
      </c>
      <c r="D18" cm="1">
        <f t="array" ref="D18" xml:space="preserve"> - EquilateralCross.Size2</f>
        <v>-10</v>
      </c>
    </row>
    <row r="19" spans="2:4">
      <c r="B19" t="s">
        <v>1554</v>
      </c>
      <c r="C19" cm="1">
        <f t="array" ref="C19" xml:space="preserve"> - EquilateralCross.Size1</f>
        <v>-25</v>
      </c>
      <c r="D19" cm="1">
        <f t="array" ref="D19" xml:space="preserve"> EquilateralCross.Size2</f>
        <v>10</v>
      </c>
    </row>
    <row r="20" spans="2:4">
      <c r="B20" t="s">
        <v>1554</v>
      </c>
      <c r="C20" cm="1">
        <f t="array" ref="C20" xml:space="preserve"> - EquilateralCross.Size2</f>
        <v>-10</v>
      </c>
      <c r="D20" cm="1">
        <f t="array" ref="D20" xml:space="preserve"> EquilateralCross.Size2</f>
        <v>10</v>
      </c>
    </row>
    <row r="21" spans="2:4">
      <c r="B21" t="s">
        <v>1554</v>
      </c>
      <c r="C21" cm="1">
        <f t="array" ref="C21" xml:space="preserve"> - EquilateralCross.Size2</f>
        <v>-10</v>
      </c>
      <c r="D21" cm="1">
        <f t="array" ref="D21" xml:space="preserve"> EquilateralCross.Size1</f>
        <v>25</v>
      </c>
    </row>
    <row r="22" spans="2:4">
      <c r="B22" t="s">
        <v>1554</v>
      </c>
      <c r="C22" cm="1">
        <f t="array" ref="C22" xml:space="preserve"> EquilateralCross.Size2</f>
        <v>10</v>
      </c>
      <c r="D22" cm="1">
        <f t="array" ref="D22" xml:space="preserve"> EquilateralCross.Size1</f>
        <v>25</v>
      </c>
    </row>
    <row r="24" spans="2:4">
      <c r="B24" t="s">
        <v>1555</v>
      </c>
      <c r="C24" cm="1">
        <f t="array" ref="C24" xml:space="preserve"> (ABS(C11) - EquilateralCross.SizeGap3) * SIGN(C11)</f>
        <v>6</v>
      </c>
      <c r="D24" cm="1">
        <f t="array" ref="D24" xml:space="preserve"> (ABS(D11) - EquilateralCross.SizeGap3) * SIGN(D11)</f>
        <v>6</v>
      </c>
    </row>
    <row r="25" spans="2:4">
      <c r="B25" t="s">
        <v>1555</v>
      </c>
      <c r="C25" cm="1">
        <f t="array" ref="C25" xml:space="preserve"> (ABS(C12) - EquilateralCross.SizeGap3) * SIGN(C12)</f>
        <v>21</v>
      </c>
      <c r="D25" cm="1">
        <f t="array" ref="D25" xml:space="preserve"> (ABS(D12) - EquilateralCross.SizeGap3) * SIGN(D12)</f>
        <v>6</v>
      </c>
    </row>
    <row r="26" spans="2:4">
      <c r="B26" t="s">
        <v>1555</v>
      </c>
      <c r="C26" cm="1">
        <f t="array" ref="C26" xml:space="preserve"> (ABS(C13) - EquilateralCross.SizeGap3) * SIGN(C13)</f>
        <v>21</v>
      </c>
      <c r="D26" cm="1">
        <f t="array" ref="D26" xml:space="preserve"> (ABS(D13) - EquilateralCross.SizeGap3) * SIGN(D13)</f>
        <v>-6</v>
      </c>
    </row>
    <row r="27" spans="2:4">
      <c r="B27" t="s">
        <v>1555</v>
      </c>
      <c r="C27" cm="1">
        <f t="array" ref="C27" xml:space="preserve"> (ABS(C14) - EquilateralCross.SizeGap3) * SIGN(C14)</f>
        <v>6</v>
      </c>
      <c r="D27" cm="1">
        <f t="array" ref="D27" xml:space="preserve"> (ABS(D14) - EquilateralCross.SizeGap3) * SIGN(D14)</f>
        <v>-6</v>
      </c>
    </row>
    <row r="28" spans="2:4">
      <c r="B28" t="s">
        <v>1555</v>
      </c>
      <c r="C28" cm="1">
        <f t="array" ref="C28" xml:space="preserve"> (ABS(C15) - EquilateralCross.SizeGap3) * SIGN(C15)</f>
        <v>6</v>
      </c>
      <c r="D28" cm="1">
        <f t="array" ref="D28" xml:space="preserve"> (ABS(D15) - EquilateralCross.SizeGap3) * SIGN(D15)</f>
        <v>-21</v>
      </c>
    </row>
    <row r="29" spans="2:4">
      <c r="B29" t="s">
        <v>1555</v>
      </c>
      <c r="C29" cm="1">
        <f t="array" ref="C29" xml:space="preserve"> (ABS(C16) - EquilateralCross.SizeGap3) * SIGN(C16)</f>
        <v>-6</v>
      </c>
      <c r="D29" cm="1">
        <f t="array" ref="D29" xml:space="preserve"> (ABS(D16) - EquilateralCross.SizeGap3) * SIGN(D16)</f>
        <v>-21</v>
      </c>
    </row>
    <row r="30" spans="2:4">
      <c r="B30" t="s">
        <v>1555</v>
      </c>
      <c r="C30" cm="1">
        <f t="array" ref="C30" xml:space="preserve"> (ABS(C17) - EquilateralCross.SizeGap3) * SIGN(C17)</f>
        <v>-6</v>
      </c>
      <c r="D30" cm="1">
        <f t="array" ref="D30" xml:space="preserve"> (ABS(D17) - EquilateralCross.SizeGap3) * SIGN(D17)</f>
        <v>-6</v>
      </c>
    </row>
    <row r="31" spans="2:4">
      <c r="B31" t="s">
        <v>1555</v>
      </c>
      <c r="C31" cm="1">
        <f t="array" ref="C31" xml:space="preserve"> (ABS(C18) - EquilateralCross.SizeGap3) * SIGN(C18)</f>
        <v>-21</v>
      </c>
      <c r="D31" cm="1">
        <f t="array" ref="D31" xml:space="preserve"> (ABS(D18) - EquilateralCross.SizeGap3) * SIGN(D18)</f>
        <v>-6</v>
      </c>
    </row>
    <row r="32" spans="2:4">
      <c r="B32" t="s">
        <v>1555</v>
      </c>
      <c r="C32" cm="1">
        <f t="array" ref="C32" xml:space="preserve"> (ABS(C19) - EquilateralCross.SizeGap3) * SIGN(C19)</f>
        <v>-21</v>
      </c>
      <c r="D32" cm="1">
        <f t="array" ref="D32" xml:space="preserve"> (ABS(D19) - EquilateralCross.SizeGap3) * SIGN(D19)</f>
        <v>6</v>
      </c>
    </row>
    <row r="33" spans="2:4">
      <c r="B33" t="s">
        <v>1555</v>
      </c>
      <c r="C33" cm="1">
        <f t="array" ref="C33" xml:space="preserve"> (ABS(C20) - EquilateralCross.SizeGap3) * SIGN(C20)</f>
        <v>-6</v>
      </c>
      <c r="D33" cm="1">
        <f t="array" ref="D33" xml:space="preserve"> (ABS(D20) - EquilateralCross.SizeGap3) * SIGN(D20)</f>
        <v>6</v>
      </c>
    </row>
    <row r="34" spans="2:4">
      <c r="B34" t="s">
        <v>1555</v>
      </c>
      <c r="C34" cm="1">
        <f t="array" ref="C34" xml:space="preserve"> (ABS(C21) - EquilateralCross.SizeGap3) * SIGN(C21)</f>
        <v>-6</v>
      </c>
      <c r="D34" cm="1">
        <f t="array" ref="D34" xml:space="preserve"> (ABS(D21) - EquilateralCross.SizeGap3) * SIGN(D21)</f>
        <v>21</v>
      </c>
    </row>
    <row r="35" spans="2:4">
      <c r="B35" t="s">
        <v>1555</v>
      </c>
      <c r="C35" cm="1">
        <f t="array" ref="C35" xml:space="preserve"> (ABS(C22) - EquilateralCross.SizeGap3) * SIGN(C22)</f>
        <v>6</v>
      </c>
      <c r="D35" cm="1">
        <f t="array" ref="D35" xml:space="preserve"> (ABS(D22) - EquilateralCross.SizeGap3) * SIGN(D22)</f>
        <v>21</v>
      </c>
    </row>
    <row r="37" spans="2:4">
      <c r="B37" t="s">
        <v>1556</v>
      </c>
      <c r="C37" cm="1">
        <f t="array" ref="C37" xml:space="preserve"> (ABS(C24) - EquilateralCross.SizeGap3) * SIGN(C24)</f>
        <v>2</v>
      </c>
      <c r="D37" cm="1">
        <f t="array" ref="D37" xml:space="preserve"> (ABS(D24) - EquilateralCross.SizeGap3) * SIGN(D24)</f>
        <v>2</v>
      </c>
    </row>
    <row r="38" spans="2:4">
      <c r="B38" t="s">
        <v>1556</v>
      </c>
      <c r="C38" cm="1">
        <f t="array" ref="C38" xml:space="preserve"> (ABS(C25) - EquilateralCross.SizeGap3) * SIGN(C25)</f>
        <v>17</v>
      </c>
      <c r="D38" cm="1">
        <f t="array" ref="D38" xml:space="preserve"> (ABS(D25) - EquilateralCross.SizeGap3) * SIGN(D25)</f>
        <v>2</v>
      </c>
    </row>
    <row r="39" spans="2:4">
      <c r="B39" t="s">
        <v>1556</v>
      </c>
      <c r="C39" cm="1">
        <f t="array" ref="C39" xml:space="preserve"> (ABS(C26) - EquilateralCross.SizeGap3) * SIGN(C26)</f>
        <v>17</v>
      </c>
      <c r="D39" cm="1">
        <f t="array" ref="D39" xml:space="preserve"> (ABS(D26) - EquilateralCross.SizeGap3) * SIGN(D26)</f>
        <v>-2</v>
      </c>
    </row>
    <row r="40" spans="2:4">
      <c r="B40" t="s">
        <v>1556</v>
      </c>
      <c r="C40" cm="1">
        <f t="array" ref="C40" xml:space="preserve"> (ABS(C27) - EquilateralCross.SizeGap3) * SIGN(C27)</f>
        <v>2</v>
      </c>
      <c r="D40" cm="1">
        <f t="array" ref="D40" xml:space="preserve"> (ABS(D27) - EquilateralCross.SizeGap3) * SIGN(D27)</f>
        <v>-2</v>
      </c>
    </row>
    <row r="41" spans="2:4">
      <c r="B41" t="s">
        <v>1556</v>
      </c>
      <c r="C41" cm="1">
        <f t="array" ref="C41" xml:space="preserve"> (ABS(C28) - EquilateralCross.SizeGap3) * SIGN(C28)</f>
        <v>2</v>
      </c>
      <c r="D41" cm="1">
        <f t="array" ref="D41" xml:space="preserve"> (ABS(D28) - EquilateralCross.SizeGap3) * SIGN(D28)</f>
        <v>-17</v>
      </c>
    </row>
    <row r="42" spans="2:4">
      <c r="B42" t="s">
        <v>1556</v>
      </c>
      <c r="C42" cm="1">
        <f t="array" ref="C42" xml:space="preserve"> (ABS(C29) - EquilateralCross.SizeGap3) * SIGN(C29)</f>
        <v>-2</v>
      </c>
      <c r="D42" cm="1">
        <f t="array" ref="D42" xml:space="preserve"> (ABS(D29) - EquilateralCross.SizeGap3) * SIGN(D29)</f>
        <v>-17</v>
      </c>
    </row>
    <row r="43" spans="2:4">
      <c r="B43" t="s">
        <v>1556</v>
      </c>
      <c r="C43" cm="1">
        <f t="array" ref="C43" xml:space="preserve"> (ABS(C30) - EquilateralCross.SizeGap3) * SIGN(C30)</f>
        <v>-2</v>
      </c>
      <c r="D43" cm="1">
        <f t="array" ref="D43" xml:space="preserve"> (ABS(D30) - EquilateralCross.SizeGap3) * SIGN(D30)</f>
        <v>-2</v>
      </c>
    </row>
    <row r="44" spans="2:4">
      <c r="B44" t="s">
        <v>1556</v>
      </c>
      <c r="C44" cm="1">
        <f t="array" ref="C44" xml:space="preserve"> (ABS(C31) - EquilateralCross.SizeGap3) * SIGN(C31)</f>
        <v>-17</v>
      </c>
      <c r="D44" cm="1">
        <f t="array" ref="D44" xml:space="preserve"> (ABS(D31) - EquilateralCross.SizeGap3) * SIGN(D31)</f>
        <v>-2</v>
      </c>
    </row>
    <row r="45" spans="2:4">
      <c r="B45" t="s">
        <v>1556</v>
      </c>
      <c r="C45" cm="1">
        <f t="array" ref="C45" xml:space="preserve"> (ABS(C32) - EquilateralCross.SizeGap3) * SIGN(C32)</f>
        <v>-17</v>
      </c>
      <c r="D45" cm="1">
        <f t="array" ref="D45" xml:space="preserve"> (ABS(D32) - EquilateralCross.SizeGap3) * SIGN(D32)</f>
        <v>2</v>
      </c>
    </row>
    <row r="46" spans="2:4">
      <c r="B46" t="s">
        <v>1556</v>
      </c>
      <c r="C46" cm="1">
        <f t="array" ref="C46" xml:space="preserve"> (ABS(C33) - EquilateralCross.SizeGap3) * SIGN(C33)</f>
        <v>-2</v>
      </c>
      <c r="D46" cm="1">
        <f t="array" ref="D46" xml:space="preserve"> (ABS(D33) - EquilateralCross.SizeGap3) * SIGN(D33)</f>
        <v>2</v>
      </c>
    </row>
    <row r="47" spans="2:4">
      <c r="B47" t="s">
        <v>1556</v>
      </c>
      <c r="C47" cm="1">
        <f t="array" ref="C47" xml:space="preserve"> (ABS(C34) - EquilateralCross.SizeGap3) * SIGN(C34)</f>
        <v>-2</v>
      </c>
      <c r="D47" cm="1">
        <f t="array" ref="D47" xml:space="preserve"> (ABS(D34) - EquilateralCross.SizeGap3) * SIGN(D34)</f>
        <v>17</v>
      </c>
    </row>
    <row r="48" spans="2:4">
      <c r="B48" t="s">
        <v>1556</v>
      </c>
      <c r="C48" cm="1">
        <f t="array" ref="C48" xml:space="preserve"> (ABS(C35) - EquilateralCross.SizeGap3) * SIGN(C35)</f>
        <v>2</v>
      </c>
      <c r="D48" cm="1">
        <f t="array" ref="D48" xml:space="preserve"> (ABS(D35) - EquilateralCross.SizeGap3) * SIGN(D35)</f>
        <v>17</v>
      </c>
    </row>
    <row r="50" spans="2:4">
      <c r="B50" t="s">
        <v>1557</v>
      </c>
      <c r="C50">
        <f t="shared" ref="C50:D61" si="0" xml:space="preserve"> (ABS(C11) - EquilateralCross.SizeGap2) * SIGN(C11)</f>
        <v>5</v>
      </c>
      <c r="D50">
        <f t="shared" si="0"/>
        <v>5</v>
      </c>
    </row>
    <row r="51" spans="2:4">
      <c r="B51" t="s">
        <v>1557</v>
      </c>
      <c r="C51">
        <f t="shared" si="0"/>
        <v>20</v>
      </c>
      <c r="D51">
        <f t="shared" si="0"/>
        <v>5</v>
      </c>
    </row>
    <row r="52" spans="2:4">
      <c r="B52" t="s">
        <v>1557</v>
      </c>
      <c r="C52">
        <f t="shared" si="0"/>
        <v>20</v>
      </c>
      <c r="D52">
        <f t="shared" si="0"/>
        <v>-5</v>
      </c>
    </row>
    <row r="53" spans="2:4">
      <c r="B53" t="s">
        <v>1557</v>
      </c>
      <c r="C53">
        <f t="shared" si="0"/>
        <v>5</v>
      </c>
      <c r="D53">
        <f t="shared" si="0"/>
        <v>-5</v>
      </c>
    </row>
    <row r="54" spans="2:4">
      <c r="B54" t="s">
        <v>1557</v>
      </c>
      <c r="C54">
        <f t="shared" si="0"/>
        <v>5</v>
      </c>
      <c r="D54">
        <f t="shared" si="0"/>
        <v>-20</v>
      </c>
    </row>
    <row r="55" spans="2:4">
      <c r="B55" t="s">
        <v>1557</v>
      </c>
      <c r="C55">
        <f t="shared" si="0"/>
        <v>-5</v>
      </c>
      <c r="D55">
        <f t="shared" si="0"/>
        <v>-20</v>
      </c>
    </row>
    <row r="56" spans="2:4">
      <c r="B56" t="s">
        <v>1557</v>
      </c>
      <c r="C56">
        <f t="shared" si="0"/>
        <v>-5</v>
      </c>
      <c r="D56">
        <f t="shared" si="0"/>
        <v>-5</v>
      </c>
    </row>
    <row r="57" spans="2:4">
      <c r="B57" t="s">
        <v>1557</v>
      </c>
      <c r="C57">
        <f t="shared" si="0"/>
        <v>-20</v>
      </c>
      <c r="D57">
        <f t="shared" si="0"/>
        <v>-5</v>
      </c>
    </row>
    <row r="58" spans="2:4">
      <c r="B58" t="s">
        <v>1557</v>
      </c>
      <c r="C58">
        <f t="shared" si="0"/>
        <v>-20</v>
      </c>
      <c r="D58">
        <f t="shared" si="0"/>
        <v>5</v>
      </c>
    </row>
    <row r="59" spans="2:4">
      <c r="B59" t="s">
        <v>1557</v>
      </c>
      <c r="C59">
        <f t="shared" si="0"/>
        <v>-5</v>
      </c>
      <c r="D59">
        <f t="shared" si="0"/>
        <v>5</v>
      </c>
    </row>
    <row r="60" spans="2:4">
      <c r="B60" t="s">
        <v>1557</v>
      </c>
      <c r="C60">
        <f t="shared" si="0"/>
        <v>-5</v>
      </c>
      <c r="D60">
        <f t="shared" si="0"/>
        <v>20</v>
      </c>
    </row>
    <row r="61" spans="2:4">
      <c r="B61" t="s">
        <v>1557</v>
      </c>
      <c r="C61">
        <f t="shared" si="0"/>
        <v>5</v>
      </c>
      <c r="D61">
        <f t="shared" si="0"/>
        <v>20</v>
      </c>
    </row>
    <row r="63" spans="2:4">
      <c r="B63" t="s">
        <v>1562</v>
      </c>
      <c r="C63">
        <f xml:space="preserve"> AVERAGE(C37, C24)</f>
        <v>4</v>
      </c>
      <c r="D63">
        <f xml:space="preserve"> AVERAGE(D37, D24)</f>
        <v>4</v>
      </c>
    </row>
    <row r="64" spans="2:4">
      <c r="B64" t="s">
        <v>1562</v>
      </c>
      <c r="C64">
        <f t="shared" ref="C64:D64" si="1" xml:space="preserve"> AVERAGE(C38, C25)</f>
        <v>19</v>
      </c>
      <c r="D64">
        <f t="shared" si="1"/>
        <v>4</v>
      </c>
    </row>
    <row r="65" spans="2:24">
      <c r="B65" t="s">
        <v>1562</v>
      </c>
      <c r="C65">
        <f t="shared" ref="C65:D65" si="2" xml:space="preserve"> AVERAGE(C39, C26)</f>
        <v>19</v>
      </c>
      <c r="D65">
        <f t="shared" si="2"/>
        <v>-4</v>
      </c>
    </row>
    <row r="66" spans="2:24">
      <c r="B66" t="s">
        <v>1562</v>
      </c>
      <c r="C66">
        <f t="shared" ref="C66:D66" si="3" xml:space="preserve"> AVERAGE(C40, C27)</f>
        <v>4</v>
      </c>
      <c r="D66">
        <f t="shared" si="3"/>
        <v>-4</v>
      </c>
    </row>
    <row r="67" spans="2:24">
      <c r="B67" t="s">
        <v>1562</v>
      </c>
      <c r="C67">
        <f t="shared" ref="C67:D67" si="4" xml:space="preserve"> AVERAGE(C41, C28)</f>
        <v>4</v>
      </c>
      <c r="D67">
        <f t="shared" si="4"/>
        <v>-19</v>
      </c>
    </row>
    <row r="68" spans="2:24">
      <c r="B68" t="s">
        <v>1562</v>
      </c>
      <c r="C68">
        <f t="shared" ref="C68:D68" si="5" xml:space="preserve"> AVERAGE(C42, C29)</f>
        <v>-4</v>
      </c>
      <c r="D68">
        <f t="shared" si="5"/>
        <v>-19</v>
      </c>
    </row>
    <row r="69" spans="2:24">
      <c r="B69" t="s">
        <v>1562</v>
      </c>
      <c r="C69">
        <f t="shared" ref="C69:D69" si="6" xml:space="preserve"> AVERAGE(C43, C30)</f>
        <v>-4</v>
      </c>
      <c r="D69">
        <f t="shared" si="6"/>
        <v>-4</v>
      </c>
    </row>
    <row r="70" spans="2:24">
      <c r="B70" t="s">
        <v>1562</v>
      </c>
      <c r="C70">
        <f t="shared" ref="C70:D70" si="7" xml:space="preserve"> AVERAGE(C44, C31)</f>
        <v>-19</v>
      </c>
      <c r="D70">
        <f t="shared" si="7"/>
        <v>-4</v>
      </c>
    </row>
    <row r="71" spans="2:24">
      <c r="B71" t="s">
        <v>1562</v>
      </c>
      <c r="C71">
        <f t="shared" ref="C71:D71" si="8" xml:space="preserve"> AVERAGE(C45, C32)</f>
        <v>-19</v>
      </c>
      <c r="D71">
        <f t="shared" si="8"/>
        <v>4</v>
      </c>
    </row>
    <row r="72" spans="2:24">
      <c r="B72" t="s">
        <v>1562</v>
      </c>
      <c r="C72">
        <f t="shared" ref="C72:D72" si="9" xml:space="preserve"> AVERAGE(C46, C33)</f>
        <v>-4</v>
      </c>
      <c r="D72">
        <f t="shared" si="9"/>
        <v>4</v>
      </c>
    </row>
    <row r="73" spans="2:24">
      <c r="B73" t="s">
        <v>1562</v>
      </c>
      <c r="C73">
        <f t="shared" ref="C73:D73" si="10" xml:space="preserve"> AVERAGE(C47, C34)</f>
        <v>-4</v>
      </c>
      <c r="D73">
        <f t="shared" si="10"/>
        <v>19</v>
      </c>
    </row>
    <row r="74" spans="2:24">
      <c r="B74" t="s">
        <v>1562</v>
      </c>
      <c r="C74">
        <f t="shared" ref="C74:D74" si="11" xml:space="preserve"> AVERAGE(C48, C35)</f>
        <v>4</v>
      </c>
      <c r="D74">
        <f t="shared" si="11"/>
        <v>19</v>
      </c>
    </row>
    <row r="77" spans="2:24">
      <c r="H77" s="4" t="s">
        <v>1540</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1541</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1542</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1543</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1544</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1545</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1546</v>
      </c>
      <c r="J84">
        <f xml:space="preserve"> VALUE(TEXT(SQRT(_xlfn.SINGLE(EquilateralCross.AreaMultiplier) * BasicBBoxArea * _xlfn.SINGLE(EquilateralCross.Aspect)), SVG.NumberFormatHeight))</f>
        <v>11.2</v>
      </c>
      <c r="L84">
        <f t="shared" si="13"/>
        <v>11.2</v>
      </c>
      <c r="N84">
        <f xml:space="preserve"> VALUE(TEXT(SQRT(_xlfn.SINGLE(EquilateralCross.AreaMultiplier) * BasicBBoxArea * _xlfn.SINGLE(EquilateralCross.Aspect)), SVG.NumberFormatHeight))</f>
        <v>11.2</v>
      </c>
      <c r="P84">
        <f xml:space="preserve"> VALUE(TEXT(SQRT(_xlfn.SINGLE(EquilateralCross.AreaMultiplier) * BasicBBoxArea * _xlfn.SINGLE(EquilateralCross.Aspect)), SVG.NumberFormatHeight))</f>
        <v>11.2</v>
      </c>
      <c r="R84">
        <f xml:space="preserve"> VALUE(TEXT(SQRT(_xlfn.SINGLE(EquilateralCross.AreaMultiplier) * BasicBBoxArea * _xlfn.SINGLE(EquilateralCross.Aspect)), SVG.NumberFormatHeight))</f>
        <v>11.2</v>
      </c>
      <c r="T84">
        <f xml:space="preserve"> VALUE(TEXT(SQRT(_xlfn.SINGLE(EquilateralCross.AreaMultiplier) * BasicBBoxArea * _xlfn.SINGLE(EquilateralCross.Aspect)), SVG.NumberFormatHeight))</f>
        <v>11.2</v>
      </c>
      <c r="V84">
        <f xml:space="preserve"> VALUE(TEXT(SQRT(_xlfn.SINGLE(EquilateralCross.AreaMultiplier) * BasicBBoxArea * _xlfn.SINGLE(EquilateralCross.Aspect)), SVG.NumberFormatHeight))</f>
        <v>11.2</v>
      </c>
      <c r="X84">
        <f t="shared" si="14"/>
        <v>11.2</v>
      </c>
    </row>
    <row r="85" spans="6:26">
      <c r="H85" s="4" t="s">
        <v>1547</v>
      </c>
      <c r="J85">
        <f xml:space="preserve"> _xlfn.SINGLE(EquilateralCross.Height) / _xlfn.SINGLE(EquilateralCross.Aspect)</f>
        <v>11.2</v>
      </c>
      <c r="L85">
        <f t="shared" si="13"/>
        <v>11.2</v>
      </c>
      <c r="N85">
        <f xml:space="preserve"> _xlfn.SINGLE(EquilateralCross.Height) / _xlfn.SINGLE(EquilateralCross.Aspect)</f>
        <v>11.2</v>
      </c>
      <c r="P85">
        <f xml:space="preserve"> _xlfn.SINGLE(EquilateralCross.Height) / _xlfn.SINGLE(EquilateralCross.Aspect)</f>
        <v>11.2</v>
      </c>
      <c r="R85">
        <f xml:space="preserve"> _xlfn.SINGLE(EquilateralCross.Height) / _xlfn.SINGLE(EquilateralCross.Aspect)</f>
        <v>11.2</v>
      </c>
      <c r="T85">
        <f xml:space="preserve"> _xlfn.SINGLE(EquilateralCross.Height) / _xlfn.SINGLE(EquilateralCross.Aspect)</f>
        <v>11.2</v>
      </c>
      <c r="V85">
        <f xml:space="preserve"> _xlfn.SINGLE(EquilateralCross.Height) / _xlfn.SINGLE(EquilateralCross.Aspect)</f>
        <v>11.2</v>
      </c>
      <c r="X85">
        <f t="shared" si="14"/>
        <v>11.2</v>
      </c>
    </row>
    <row r="87" spans="6:26">
      <c r="H87" s="4" t="s">
        <v>1558</v>
      </c>
      <c r="J87" t="s">
        <v>731</v>
      </c>
      <c r="L87" t="str">
        <f t="shared" si="13"/>
        <v>fill='red'</v>
      </c>
      <c r="N87" s="5" t="s">
        <v>747</v>
      </c>
      <c r="P87" s="5" t="s">
        <v>1495</v>
      </c>
      <c r="R87" t="s">
        <v>780</v>
      </c>
      <c r="T87" t="s">
        <v>1530</v>
      </c>
      <c r="V87" s="5" t="s">
        <v>1474</v>
      </c>
      <c r="X87" s="5" t="str">
        <f xml:space="preserve"> $V87</f>
        <v>fill='#002F6C'</v>
      </c>
    </row>
    <row r="88" spans="6:26">
      <c r="H88" s="4" t="s">
        <v>1559</v>
      </c>
      <c r="P88" s="5"/>
      <c r="R88" t="s">
        <v>2074</v>
      </c>
      <c r="T88" t="s">
        <v>2074</v>
      </c>
      <c r="V88" s="5"/>
      <c r="X88" s="5"/>
    </row>
    <row r="89" spans="6:26">
      <c r="H89" s="4" t="s">
        <v>1560</v>
      </c>
      <c r="R89" t="s">
        <v>779</v>
      </c>
      <c r="T89" t="s">
        <v>1529</v>
      </c>
      <c r="V89" s="5"/>
      <c r="X89" s="5"/>
    </row>
    <row r="90" spans="6:26">
      <c r="H90" s="4" t="s">
        <v>1561</v>
      </c>
      <c r="J90" t="s">
        <v>2073</v>
      </c>
      <c r="L90" t="s">
        <v>2114</v>
      </c>
      <c r="N90" s="5" t="s">
        <v>715</v>
      </c>
      <c r="P90" s="5" t="s">
        <v>2073</v>
      </c>
      <c r="V90" s="5"/>
      <c r="X90" s="5"/>
    </row>
    <row r="91" spans="6:26">
      <c r="H91" s="4" t="s">
        <v>1563</v>
      </c>
      <c r="N91" s="5"/>
      <c r="P91" s="5"/>
      <c r="V91" s="5" t="s">
        <v>2073</v>
      </c>
      <c r="X91" s="63" t="s">
        <v>2269</v>
      </c>
    </row>
    <row r="93" spans="6:26" ht="17" thickBot="1">
      <c r="H93" s="6" t="s">
        <v>1548</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Y94" s="7"/>
      <c r="Z94" s="8"/>
    </row>
    <row r="95" spans="6:26">
      <c r="F95" t="s">
        <v>1770</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1771</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1769</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1772</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1773</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340</v>
      </c>
      <c r="H2" t="s">
        <v>356</v>
      </c>
      <c r="J2" t="s">
        <v>357</v>
      </c>
      <c r="L2" t="s">
        <v>2276</v>
      </c>
      <c r="N2" t="s">
        <v>358</v>
      </c>
      <c r="P2" t="e">
        <f xml:space="preserve"> NA()</f>
        <v>#N/A</v>
      </c>
    </row>
    <row r="3" spans="1:16">
      <c r="F3" s="4" t="s">
        <v>341</v>
      </c>
      <c r="H3" s="26">
        <v>0.95</v>
      </c>
      <c r="J3" s="26">
        <f xml:space="preserve"> $H3</f>
        <v>0.95</v>
      </c>
      <c r="L3">
        <f xml:space="preserve"> $J3</f>
        <v>0.95</v>
      </c>
      <c r="N3" s="26">
        <f xml:space="preserve"> $H3</f>
        <v>0.95</v>
      </c>
    </row>
    <row r="4" spans="1:16">
      <c r="C4" s="1"/>
      <c r="D4" s="1"/>
    </row>
    <row r="5" spans="1:16">
      <c r="F5" s="4" t="s">
        <v>342</v>
      </c>
      <c r="H5" s="5" t="s">
        <v>1058</v>
      </c>
      <c r="J5" s="5" t="s">
        <v>738</v>
      </c>
      <c r="L5" s="27" t="str">
        <f xml:space="preserve"> $J6</f>
        <v xml:space="preserve">  fill='#034DA3' </v>
      </c>
      <c r="N5" s="5" t="s">
        <v>739</v>
      </c>
    </row>
    <row r="6" spans="1:16">
      <c r="F6" s="4" t="s">
        <v>343</v>
      </c>
      <c r="H6" s="5" t="s">
        <v>1057</v>
      </c>
      <c r="J6" s="5" t="s">
        <v>1811</v>
      </c>
      <c r="L6" s="27" t="str">
        <f xml:space="preserve"> $J5</f>
        <v xml:space="preserve">  fill='#EF3340' </v>
      </c>
      <c r="N6" s="5" t="s">
        <v>740</v>
      </c>
    </row>
    <row r="7" spans="1:16">
      <c r="H7" s="5"/>
    </row>
    <row r="8" spans="1:16">
      <c r="A8" s="1">
        <v>1</v>
      </c>
      <c r="C8" s="4" t="s">
        <v>1668</v>
      </c>
      <c r="D8" s="1">
        <v>1</v>
      </c>
      <c r="F8" s="1"/>
      <c r="H8" s="5"/>
    </row>
    <row r="9" spans="1:16">
      <c r="A9" s="1">
        <v>3</v>
      </c>
      <c r="C9" s="4" t="s">
        <v>1663</v>
      </c>
      <c r="D9" s="1">
        <v>2</v>
      </c>
      <c r="F9" s="1"/>
      <c r="H9" s="5"/>
    </row>
    <row r="10" spans="1:16">
      <c r="A10" s="1">
        <v>8</v>
      </c>
      <c r="C10" s="4" t="s">
        <v>1665</v>
      </c>
      <c r="D10" s="1">
        <v>5</v>
      </c>
      <c r="F10" s="1"/>
      <c r="H10" s="5"/>
    </row>
    <row r="11" spans="1:16">
      <c r="A11" s="1">
        <v>1</v>
      </c>
      <c r="C11" s="4" t="s">
        <v>1664</v>
      </c>
      <c r="D11" s="1">
        <v>1</v>
      </c>
      <c r="F11" s="1"/>
      <c r="H11" s="5"/>
    </row>
    <row r="12" spans="1:16">
      <c r="A12" s="1">
        <v>7</v>
      </c>
      <c r="C12" s="4" t="s">
        <v>1666</v>
      </c>
      <c r="D12" s="1">
        <v>5</v>
      </c>
      <c r="F12" s="1"/>
      <c r="H12" s="5"/>
    </row>
    <row r="13" spans="1:16">
      <c r="A13" s="1">
        <v>11</v>
      </c>
      <c r="C13" s="4" t="s">
        <v>1667</v>
      </c>
      <c r="D13" s="1">
        <v>7</v>
      </c>
      <c r="F13" s="1"/>
      <c r="H13" s="5"/>
    </row>
    <row r="14" spans="1:16">
      <c r="D14" s="1"/>
      <c r="H14" s="5"/>
    </row>
    <row r="15" spans="1:16" ht="17" thickBot="1">
      <c r="B15" s="2" t="s">
        <v>344</v>
      </c>
      <c r="C15" s="2" t="s">
        <v>345</v>
      </c>
      <c r="D15" s="2" t="s">
        <v>346</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347</v>
      </c>
      <c r="H58">
        <f xml:space="preserve"> MIN(Slavic.RawX)</f>
        <v>-5</v>
      </c>
      <c r="J58">
        <f xml:space="preserve"> MIN(Slavic.RawX)</f>
        <v>-5</v>
      </c>
      <c r="L58">
        <f t="shared" ref="L58:L61" si="4" xml:space="preserve"> $J58</f>
        <v>-5</v>
      </c>
      <c r="N58">
        <f xml:space="preserve"> MIN(Slavic.RawX)</f>
        <v>-5</v>
      </c>
    </row>
    <row r="59" spans="2:14">
      <c r="C59" s="1"/>
      <c r="F59" s="4" t="s">
        <v>348</v>
      </c>
      <c r="H59">
        <f xml:space="preserve"> MAX(Slavic.RawX)</f>
        <v>5</v>
      </c>
      <c r="J59">
        <f xml:space="preserve"> MAX(Slavic.RawX)</f>
        <v>5</v>
      </c>
      <c r="L59">
        <f t="shared" si="4"/>
        <v>5</v>
      </c>
      <c r="N59">
        <f xml:space="preserve"> MAX(Slavic.RawX)</f>
        <v>5</v>
      </c>
    </row>
    <row r="60" spans="2:14">
      <c r="C60" s="1"/>
      <c r="F60" s="4" t="s">
        <v>349</v>
      </c>
      <c r="H60">
        <f xml:space="preserve"> MIN(Slavic.RawY)</f>
        <v>-7</v>
      </c>
      <c r="J60">
        <f xml:space="preserve"> MIN(Slavic.RawY)</f>
        <v>-7</v>
      </c>
      <c r="L60">
        <f t="shared" si="4"/>
        <v>-7</v>
      </c>
      <c r="N60">
        <f xml:space="preserve"> MIN(Slavic.RawY)</f>
        <v>-7</v>
      </c>
    </row>
    <row r="61" spans="2:14">
      <c r="F61" s="4" t="s">
        <v>350</v>
      </c>
      <c r="H61">
        <f xml:space="preserve"> MAX(Slavic.RawY)</f>
        <v>7</v>
      </c>
      <c r="J61">
        <f xml:space="preserve"> MAX(Slavic.RawY)</f>
        <v>7</v>
      </c>
      <c r="L61">
        <f t="shared" si="4"/>
        <v>7</v>
      </c>
      <c r="N61">
        <f xml:space="preserve"> MAX(Slavic.RawY)</f>
        <v>7</v>
      </c>
    </row>
    <row r="63" spans="2:14">
      <c r="F63" s="4" t="s">
        <v>355</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351</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352</v>
      </c>
      <c r="H66">
        <f xml:space="preserve"> VALUE(TEXT(SQRT(_xlfn.SINGLE(Slavic.AreaMultiplier) * BasicBBoxArea * _xlfn.SINGLE(Slavic.Aspect)), SVG.NumberFormatHeight))</f>
        <v>11.5</v>
      </c>
      <c r="J66">
        <f xml:space="preserve"> VALUE(TEXT(SQRT(_xlfn.SINGLE(Slavic.AreaMultiplier) * BasicBBoxArea * _xlfn.SINGLE(Slavic.Aspect)), SVG.NumberFormatHeight))</f>
        <v>11.5</v>
      </c>
      <c r="L66">
        <f t="shared" si="5"/>
        <v>11.5</v>
      </c>
      <c r="N66">
        <f xml:space="preserve"> VALUE(TEXT(SQRT(_xlfn.SINGLE(Slavic.AreaMultiplier) * BasicBBoxArea * _xlfn.SINGLE(Slavic.Aspect)), SVG.NumberFormatHeight))</f>
        <v>11.5</v>
      </c>
    </row>
    <row r="67" spans="6:16">
      <c r="F67" s="4" t="s">
        <v>353</v>
      </c>
      <c r="H67">
        <f xml:space="preserve"> _xlfn.SINGLE(Slavic.Height) / _xlfn.SINGLE(Slavic.Aspect)</f>
        <v>8.2142857142857153</v>
      </c>
      <c r="J67">
        <f xml:space="preserve"> _xlfn.SINGLE(Slavic.Height) / _xlfn.SINGLE(Slavic.Aspect)</f>
        <v>8.2142857142857153</v>
      </c>
      <c r="L67">
        <f t="shared" si="5"/>
        <v>8.2142857142857153</v>
      </c>
      <c r="N67">
        <f xml:space="preserve"> _xlfn.SINGLE(Slavic.Height) / _xlfn.SINGLE(Slavic.Aspect)</f>
        <v>8.2142857142857153</v>
      </c>
    </row>
    <row r="69" spans="6:16">
      <c r="F69" s="4" t="s">
        <v>354</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B4:L62"/>
  <sheetViews>
    <sheetView workbookViewId="0">
      <selection activeCell="B2" sqref="B2"/>
    </sheetView>
  </sheetViews>
  <sheetFormatPr baseColWidth="10" defaultRowHeight="16"/>
  <cols>
    <col min="5" max="5" width="15.83203125" customWidth="1"/>
    <col min="7" max="7" width="10.83203125" style="21"/>
  </cols>
  <sheetData>
    <row r="4" spans="2:7">
      <c r="B4" s="4" t="s">
        <v>563</v>
      </c>
      <c r="C4">
        <v>378</v>
      </c>
      <c r="F4" s="4" t="s">
        <v>569</v>
      </c>
      <c r="G4">
        <f xml:space="preserve"> DecimalPlaces - INT(LOG(MIN(  EC.MaxX - EC.MinX,  EC.MaxY - EC.MinY  )/2, 10) + 0.2)</f>
        <v>3</v>
      </c>
    </row>
    <row r="5" spans="2:7">
      <c r="B5" s="4" t="s">
        <v>564</v>
      </c>
      <c r="C5">
        <v>513</v>
      </c>
      <c r="F5" s="4" t="s">
        <v>565</v>
      </c>
      <c r="G5" s="26">
        <f xml:space="preserve"> MODE(Circles.AreaMultiplier)</f>
        <v>1</v>
      </c>
    </row>
    <row r="6" spans="2:7">
      <c r="B6" s="4" t="s">
        <v>560</v>
      </c>
      <c r="C6">
        <f xml:space="preserve"> - EC.MaxX</f>
        <v>-378</v>
      </c>
      <c r="F6" s="4" t="s">
        <v>566</v>
      </c>
      <c r="G6">
        <f xml:space="preserve"> MAX(EC.MaxY, - EC.MinY) / MAX(EC.MaxX, - EC.MinX)</f>
        <v>1.3571428571428572</v>
      </c>
    </row>
    <row r="7" spans="2:7">
      <c r="B7" s="4" t="s">
        <v>561</v>
      </c>
      <c r="C7">
        <f xml:space="preserve"> - EC.MaxY</f>
        <v>-513</v>
      </c>
      <c r="F7" s="4" t="s">
        <v>567</v>
      </c>
      <c r="G7">
        <f xml:space="preserve"> VALUE(TEXT(SQRT(EC.AreaMultiplier * BasicBBoxArea * EC.Aspect), SVG.NumberFormatHeight))</f>
        <v>11.6</v>
      </c>
    </row>
    <row r="8" spans="2:7">
      <c r="F8" s="4" t="s">
        <v>568</v>
      </c>
      <c r="G8" cm="1">
        <f t="array" ref="G8" xml:space="preserve"> EC.Height / EC.Aspect</f>
        <v>8.5473684210526315</v>
      </c>
    </row>
    <row r="9" spans="2:7">
      <c r="E9" cm="1">
        <f t="array" ref="E9" xml:space="preserve"> SVG_length(EC.svg)</f>
        <v>284</v>
      </c>
    </row>
    <row r="11" spans="2:7" ht="17" thickBot="1">
      <c r="G11" s="36" t="s">
        <v>562</v>
      </c>
    </row>
    <row r="12" spans="2: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width='8.54737' height='11.6' viewBox='-378 -513 756 1026'  id='%thisID%' xmlns='http://www.w3.org/2000/svg'&gt;</v>
      </c>
    </row>
    <row r="13" spans="2:7">
      <c r="G13" s="21" t="s">
        <v>2737</v>
      </c>
    </row>
    <row r="14" spans="2:7">
      <c r="G14" s="21" t="s">
        <v>2736</v>
      </c>
    </row>
    <row r="15" spans="2:7">
      <c r="G15" s="21" t="s">
        <v>15</v>
      </c>
    </row>
    <row r="19" spans="2:7" s="38" customFormat="1">
      <c r="G19" s="39"/>
    </row>
    <row r="23" spans="2:7">
      <c r="B23" s="4" t="s">
        <v>256</v>
      </c>
      <c r="C23">
        <v>36</v>
      </c>
      <c r="F23" s="4" t="s">
        <v>250</v>
      </c>
      <c r="G23">
        <f xml:space="preserve"> DecimalPlaces - INT(LOG(MIN(  VND.MaxX - VND.MinX,  VND.MaxY - VND.MinY  )/2, 10) + 0.2)</f>
        <v>4</v>
      </c>
    </row>
    <row r="24" spans="2:7">
      <c r="B24" s="4" t="s">
        <v>258</v>
      </c>
      <c r="C24">
        <v>25</v>
      </c>
      <c r="F24" s="4" t="s">
        <v>251</v>
      </c>
      <c r="G24" s="26">
        <f xml:space="preserve"> MODE(Circles.AreaMultiplier)</f>
        <v>1</v>
      </c>
    </row>
    <row r="25" spans="2:7">
      <c r="B25" s="4" t="s">
        <v>255</v>
      </c>
      <c r="C25">
        <f xml:space="preserve"> - VND.MaxX</f>
        <v>-36</v>
      </c>
      <c r="F25" s="4" t="s">
        <v>252</v>
      </c>
      <c r="G25">
        <f xml:space="preserve"> MAX(VND.MaxY, - VND.MinY)  /  MAX(VND.MaxX, - VND.MinX)</f>
        <v>0.69444444444444442</v>
      </c>
    </row>
    <row r="26" spans="2:7">
      <c r="B26" s="4" t="s">
        <v>257</v>
      </c>
      <c r="C26">
        <f xml:space="preserve"> - VND.MaxY</f>
        <v>-25</v>
      </c>
      <c r="F26" s="4" t="s">
        <v>253</v>
      </c>
      <c r="G26">
        <f xml:space="preserve"> VALUE(TEXT(SQRT(VND.AreaMultiplier * BasicBBoxArea * VND.Aspect), SVG.NumberFormatHeight))</f>
        <v>8.3000000000000007</v>
      </c>
    </row>
    <row r="27" spans="2:7">
      <c r="F27" s="4" t="s">
        <v>254</v>
      </c>
      <c r="G27">
        <f xml:space="preserve"> VND.Height / VND.Aspect</f>
        <v>11.952000000000002</v>
      </c>
    </row>
    <row r="30" spans="2:7" ht="17" thickBot="1">
      <c r="G30" s="36" t="s">
        <v>259</v>
      </c>
    </row>
    <row r="31" spans="2:7">
      <c r="G31"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width='11.952' height='8.3' viewBox='-36 -25 72 50'  id='%thisID%' xmlns='http://www.w3.org/2000/svg'&gt;</v>
      </c>
    </row>
    <row r="32" spans="2:7">
      <c r="G32" s="21" t="s">
        <v>2735</v>
      </c>
    </row>
    <row r="33" spans="2:7">
      <c r="G33" s="21" t="s">
        <v>15</v>
      </c>
    </row>
    <row r="37" spans="2:7" s="38" customFormat="1">
      <c r="G37" s="39"/>
    </row>
    <row r="41" spans="2:7">
      <c r="B41" s="4" t="s">
        <v>625</v>
      </c>
      <c r="C41">
        <f xml:space="preserve"> 31 + MAX(IT.StrokeWidth) / 2</f>
        <v>82</v>
      </c>
      <c r="F41" s="4" t="s">
        <v>618</v>
      </c>
      <c r="G41" cm="1">
        <f t="array" ref="G41" xml:space="preserve"> DecimalPlaces - INT(LOG(MIN(  IT.MaxX - IT.MinX,  IT.MaxY - IT.MinY  )/2, 10) + 0.2)</f>
        <v>3</v>
      </c>
    </row>
    <row r="42" spans="2:7">
      <c r="B42" s="4" t="s">
        <v>627</v>
      </c>
      <c r="C42">
        <f xml:space="preserve"> 17 + MAX(IT.StrokeWidth) / 2</f>
        <v>68</v>
      </c>
      <c r="F42" s="4" t="s">
        <v>620</v>
      </c>
      <c r="G42" s="26">
        <f xml:space="preserve"> MODE(Circles.AreaMultiplier)</f>
        <v>1</v>
      </c>
    </row>
    <row r="43" spans="2:7">
      <c r="B43" s="4" t="s">
        <v>624</v>
      </c>
      <c r="C43" cm="1">
        <f t="array" ref="C43" xml:space="preserve"> - IT.MaxX</f>
        <v>-82</v>
      </c>
      <c r="F43" s="4" t="s">
        <v>621</v>
      </c>
      <c r="G43" cm="1">
        <f t="array" ref="G43" xml:space="preserve"> MAX(IT.MaxY, - IT.MinY)  /  MAX(IT.MaxX, - IT.MinX)</f>
        <v>0.82926829268292679</v>
      </c>
    </row>
    <row r="44" spans="2:7">
      <c r="B44" s="4" t="s">
        <v>626</v>
      </c>
      <c r="C44" cm="1">
        <f t="array" ref="C44" xml:space="preserve"> - IT.MaxY</f>
        <v>-68</v>
      </c>
      <c r="F44" s="4" t="s">
        <v>622</v>
      </c>
      <c r="G44" cm="1">
        <f t="array" ref="G44" xml:space="preserve"> VALUE(TEXT(SQRT(IT.AreaMultiplier * BasicBBoxArea * IT.Aspect), SVG.NumberFormatHeight))</f>
        <v>9.1</v>
      </c>
    </row>
    <row r="45" spans="2:7">
      <c r="F45" s="4" t="s">
        <v>623</v>
      </c>
      <c r="G45" cm="1">
        <f t="array" ref="G45" xml:space="preserve"> IT.Height / IT.Aspect</f>
        <v>10.973529411764707</v>
      </c>
    </row>
    <row r="46" spans="2:7">
      <c r="B46" s="4" t="s">
        <v>1678</v>
      </c>
      <c r="C46">
        <f xml:space="preserve"> 2 / 15</f>
        <v>0.13333333333333333</v>
      </c>
    </row>
    <row r="48" spans="2:7" ht="17" thickBot="1">
      <c r="B48" s="3" t="s">
        <v>2734</v>
      </c>
      <c r="C48" s="3" t="s">
        <v>1677</v>
      </c>
      <c r="G48" s="36" t="s">
        <v>619</v>
      </c>
    </row>
    <row r="49" spans="2:12">
      <c r="G49"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50" spans="2:12">
      <c r="B50">
        <f xml:space="preserve"> 17 * 6</f>
        <v>102</v>
      </c>
      <c r="C50" s="5" t="str">
        <f xml:space="preserve"> "stroke='#008C45' stroke-width='" &amp; _xlfn.SINGLE(IT.StrokeWidth) &amp; "'"</f>
        <v>stroke='#008C45' stroke-width='102'</v>
      </c>
      <c r="G50" s="21" t="str">
        <f xml:space="preserve"> "&lt;ellipse rx='31' ry='17' " &amp; _xlfn.SINGLE(IT.SVG_painting) &amp; "/&gt;"</f>
        <v>&lt;ellipse rx='31' ry='17' stroke='#008C45' stroke-width='102'/&gt;</v>
      </c>
      <c r="L50" s="21"/>
    </row>
    <row r="51" spans="2:12">
      <c r="B51">
        <f xml:space="preserve"> 17 * 4</f>
        <v>68</v>
      </c>
      <c r="C51" s="5" t="str">
        <f xml:space="preserve"> "stroke='#F4F5F0' stroke-width='" &amp; _xlfn.SINGLE(IT.StrokeWidth) &amp; "'"</f>
        <v>stroke='#F4F5F0' stroke-width='68'</v>
      </c>
      <c r="G51" s="21" t="str">
        <f xml:space="preserve"> "&lt;ellipse rx='31' ry='17' " &amp; _xlfn.SINGLE(IT.SVG_painting) &amp; "/&gt;"</f>
        <v>&lt;ellipse rx='31' ry='17' stroke='#F4F5F0' stroke-width='68'/&gt;</v>
      </c>
      <c r="L51" s="21"/>
    </row>
    <row r="52" spans="2:12">
      <c r="B52">
        <f xml:space="preserve"> 17 * 2</f>
        <v>34</v>
      </c>
      <c r="C52" s="5" t="str">
        <f xml:space="preserve"> "stroke='#CD212A' stroke-width='" &amp; _xlfn.SINGLE(IT.StrokeWidth) &amp; "' paint-order='stroke' fill='#F4F5F0'"</f>
        <v>stroke='#CD212A' stroke-width='34' paint-order='stroke' fill='#F4F5F0'</v>
      </c>
      <c r="G52" s="21" t="str">
        <f xml:space="preserve"> "&lt;ellipse rx='31' ry='17' " &amp; _xlfn.SINGLE(IT.SVG_painting) &amp; "/&gt;"</f>
        <v>&lt;ellipse rx='31' ry='17' stroke='#CD212A' stroke-width='34' paint-order='stroke' fill='#F4F5F0'/&gt;</v>
      </c>
      <c r="L52" s="21"/>
    </row>
    <row r="53" spans="2:12">
      <c r="G53" s="21" t="s">
        <v>15</v>
      </c>
    </row>
    <row r="57" spans="2:12" ht="17" thickBot="1">
      <c r="G57" s="36" t="s">
        <v>2256</v>
      </c>
    </row>
    <row r="58" spans="2:12">
      <c r="G58" s="16" t="str" cm="1">
        <f t="array" ref="G58:G62" xml:space="preserve"> SUBSTITUTE(IT.svg, "stroke='#F4F5F0", "stroke='#000")</f>
        <v>&lt;svg width='10.97353' height='9.1' viewBox='-82 -68 164 136'  id='%thisID%' xmlns='http://www.w3.org/2000/svg'&gt;</v>
      </c>
    </row>
    <row r="59" spans="2:12">
      <c r="G59" s="21" t="str">
        <v>&lt;ellipse rx='31' ry='17' stroke='#008C45' stroke-width='102'/&gt;</v>
      </c>
    </row>
    <row r="60" spans="2:12">
      <c r="G60" s="21" t="str">
        <v>&lt;ellipse rx='31' ry='17' stroke='#000' stroke-width='68'/&gt;</v>
      </c>
    </row>
    <row r="61" spans="2:12">
      <c r="G61" s="21" t="str">
        <v>&lt;ellipse rx='31' ry='17' stroke='#CD212A' stroke-width='34' paint-order='stroke' fill='#F4F5F0'/&gt;</v>
      </c>
    </row>
    <row r="62" spans="2:12">
      <c r="G62" s="21" t="str">
        <v>&lt;/svg&gt;</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U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99">
      <c r="B2" s="4" t="s">
        <v>360</v>
      </c>
      <c r="D2" t="s">
        <v>403</v>
      </c>
      <c r="F2" t="s">
        <v>2654</v>
      </c>
      <c r="H2" t="s">
        <v>784</v>
      </c>
      <c r="J2" t="s">
        <v>2722</v>
      </c>
      <c r="L2" t="s">
        <v>867</v>
      </c>
      <c r="N2" t="s">
        <v>1602</v>
      </c>
      <c r="P2" t="s">
        <v>2140</v>
      </c>
      <c r="R2" t="s">
        <v>166</v>
      </c>
      <c r="T2" t="s">
        <v>2762</v>
      </c>
      <c r="V2" t="s">
        <v>2663</v>
      </c>
      <c r="X2" t="s">
        <v>2664</v>
      </c>
      <c r="Z2" t="s">
        <v>490</v>
      </c>
      <c r="AB2" t="s">
        <v>2137</v>
      </c>
      <c r="AD2" t="s">
        <v>526</v>
      </c>
      <c r="AF2" t="s">
        <v>1762</v>
      </c>
      <c r="AH2" t="s">
        <v>168</v>
      </c>
      <c r="AJ2" t="s">
        <v>571</v>
      </c>
      <c r="AL2" t="s">
        <v>572</v>
      </c>
      <c r="AN2" t="s">
        <v>573</v>
      </c>
      <c r="AP2" t="s">
        <v>1615</v>
      </c>
      <c r="AR2" t="s">
        <v>1611</v>
      </c>
      <c r="AT2" t="s">
        <v>1608</v>
      </c>
      <c r="AV2" t="s">
        <v>574</v>
      </c>
      <c r="AX2" t="s">
        <v>2257</v>
      </c>
      <c r="AZ2" t="s">
        <v>649</v>
      </c>
      <c r="BB2" t="s">
        <v>2263</v>
      </c>
      <c r="BD2" t="s">
        <v>104</v>
      </c>
      <c r="BF2" t="s">
        <v>1654</v>
      </c>
      <c r="BH2" t="s">
        <v>371</v>
      </c>
      <c r="BJ2" t="s">
        <v>2289</v>
      </c>
      <c r="BL2" t="s">
        <v>783</v>
      </c>
      <c r="BN2" t="s">
        <v>2117</v>
      </c>
      <c r="BP2" t="s">
        <v>786</v>
      </c>
      <c r="BR2" t="s">
        <v>2018</v>
      </c>
      <c r="BT2" t="s">
        <v>1690</v>
      </c>
      <c r="BV2" t="s">
        <v>917</v>
      </c>
      <c r="BX2" t="s">
        <v>172</v>
      </c>
      <c r="BZ2" t="s">
        <v>2028</v>
      </c>
      <c r="CB2" t="s">
        <v>2297</v>
      </c>
      <c r="CD2" t="s">
        <v>2697</v>
      </c>
      <c r="CF2" t="s">
        <v>2764</v>
      </c>
      <c r="CG2" t="s">
        <v>2765</v>
      </c>
      <c r="CH2" t="s">
        <v>2766</v>
      </c>
      <c r="CI2" t="s">
        <v>2767</v>
      </c>
      <c r="CJ2" t="s">
        <v>2768</v>
      </c>
      <c r="CK2" t="s">
        <v>2769</v>
      </c>
      <c r="CL2" t="s">
        <v>2770</v>
      </c>
      <c r="CM2" t="s">
        <v>2771</v>
      </c>
      <c r="CN2" t="s">
        <v>2772</v>
      </c>
      <c r="CO2" t="s">
        <v>2773</v>
      </c>
      <c r="CP2" t="s">
        <v>2774</v>
      </c>
      <c r="CQ2" t="s">
        <v>2775</v>
      </c>
      <c r="CR2" t="s">
        <v>2776</v>
      </c>
      <c r="CS2" t="s">
        <v>2777</v>
      </c>
      <c r="CU2" t="e">
        <f xml:space="preserve"> NA()</f>
        <v>#N/A</v>
      </c>
    </row>
    <row r="3" spans="2:99">
      <c r="B3" s="4" t="s">
        <v>361</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f xml:space="preserve"> MODE(Squares.AreaMultiplier)</f>
        <v>0.85</v>
      </c>
      <c r="Z3">
        <v>1.2</v>
      </c>
      <c r="AB3">
        <f xml:space="preserve"> MODE(Circles.AreaMultiplier)</f>
        <v>1</v>
      </c>
      <c r="AD3">
        <f xml:space="preserve"> 1.625 * MODE(Squares.AreaMultiplier)</f>
        <v>1.3812499999999999</v>
      </c>
      <c r="AF3">
        <f xml:space="preserve"> 1.625 * MODE(Squares.AreaMultiplier)</f>
        <v>1.3812499999999999</v>
      </c>
      <c r="AH3">
        <f xml:space="preserve"> MODE(Squares.AreaMultiplier)</f>
        <v>0.85</v>
      </c>
      <c r="AJ3">
        <f xml:space="preserve"> MODE(Squares.AreaMultiplier)</f>
        <v>0.85</v>
      </c>
      <c r="AL3">
        <f xml:space="preserve"> MODE(Squares.AreaMultiplier)</f>
        <v>0.85</v>
      </c>
      <c r="AN3">
        <f xml:space="preserve"> MODE(Squares.AreaMultiplier)</f>
        <v>0.85</v>
      </c>
      <c r="AP3">
        <f xml:space="preserve"> EC.AreaMultiplier</f>
        <v>1</v>
      </c>
      <c r="AR3">
        <f xml:space="preserve"> MODE(Squares.AreaMultiplier)</f>
        <v>0.85</v>
      </c>
      <c r="AT3">
        <f xml:space="preserve"> MODE(Squares.AreaMultiplier)</f>
        <v>0.85</v>
      </c>
      <c r="AV3">
        <v>1</v>
      </c>
      <c r="AX3">
        <v>1</v>
      </c>
      <c r="AZ3">
        <v>0.875</v>
      </c>
      <c r="BB3">
        <v>0.875</v>
      </c>
      <c r="BD3">
        <f xml:space="preserve"> 1.625 * MODE(Squares.AreaMultiplier)</f>
        <v>1.3812499999999999</v>
      </c>
      <c r="BF3">
        <f xml:space="preserve"> MODE(Squares.AreaMultiplier)</f>
        <v>0.85</v>
      </c>
      <c r="BH3">
        <f xml:space="preserve"> 1.625 * MODE(Squares.AreaMultiplier)</f>
        <v>1.3812499999999999</v>
      </c>
      <c r="BJ3">
        <f xml:space="preserve"> 1.625 * MODE(Squares.AreaMultiplier)</f>
        <v>1.3812499999999999</v>
      </c>
      <c r="BL3">
        <f xml:space="preserve"> MODE(Squares.AreaMultiplier)</f>
        <v>0.85</v>
      </c>
      <c r="BN3">
        <f xml:space="preserve"> MODE(Squares.AreaMultiplier)</f>
        <v>0.85</v>
      </c>
      <c r="BP3">
        <f xml:space="preserve"> 1.625 * MODE(Squares.AreaMultiplier)</f>
        <v>1.3812499999999999</v>
      </c>
      <c r="BR3">
        <f xml:space="preserve"> MODE(Squares.AreaMultiplier)</f>
        <v>0.85</v>
      </c>
      <c r="BT3">
        <f xml:space="preserve"> MODE(Squares.AreaMultiplier)</f>
        <v>0.85</v>
      </c>
      <c r="BV3">
        <f xml:space="preserve"> MODE(Squares.AreaMultiplier)</f>
        <v>0.85</v>
      </c>
      <c r="BX3">
        <f xml:space="preserve"> MEDIAN(Circles.AreaMultiplier)</f>
        <v>1</v>
      </c>
      <c r="BZ3">
        <f xml:space="preserve"> MODE(Circles.AreaMultiplier)</f>
        <v>1</v>
      </c>
      <c r="CB3">
        <f xml:space="preserve"> MODE(Circles.AreaMultiplier)</f>
        <v>1</v>
      </c>
      <c r="CD3">
        <f xml:space="preserve"> MODE(Circles.AreaMultiplier)</f>
        <v>1</v>
      </c>
      <c r="CF3">
        <v>1</v>
      </c>
      <c r="CG3">
        <f xml:space="preserve"> $CF3</f>
        <v>1</v>
      </c>
      <c r="CH3">
        <f t="shared" ref="CH3:CS3" si="0" xml:space="preserve"> $CF3</f>
        <v>1</v>
      </c>
      <c r="CI3">
        <f t="shared" si="0"/>
        <v>1</v>
      </c>
      <c r="CJ3">
        <f t="shared" si="0"/>
        <v>1</v>
      </c>
      <c r="CK3">
        <f t="shared" si="0"/>
        <v>1</v>
      </c>
      <c r="CL3">
        <f t="shared" si="0"/>
        <v>1</v>
      </c>
      <c r="CM3">
        <f t="shared" si="0"/>
        <v>1</v>
      </c>
      <c r="CN3">
        <f t="shared" si="0"/>
        <v>1</v>
      </c>
      <c r="CO3">
        <f t="shared" si="0"/>
        <v>1</v>
      </c>
      <c r="CP3">
        <f t="shared" si="0"/>
        <v>1</v>
      </c>
      <c r="CQ3">
        <f t="shared" si="0"/>
        <v>1</v>
      </c>
      <c r="CR3">
        <f t="shared" si="0"/>
        <v>1</v>
      </c>
      <c r="CS3">
        <f t="shared" si="0"/>
        <v>1</v>
      </c>
    </row>
    <row r="5" spans="2:99">
      <c r="B5" s="4" t="s">
        <v>362</v>
      </c>
      <c r="BP5">
        <v>44</v>
      </c>
      <c r="BR5">
        <v>44</v>
      </c>
    </row>
    <row r="6" spans="2:99">
      <c r="B6" s="4" t="s">
        <v>2288</v>
      </c>
      <c r="BJ6" s="5" t="s">
        <v>2291</v>
      </c>
    </row>
    <row r="7" spans="2:99">
      <c r="B7" s="4" t="s">
        <v>372</v>
      </c>
      <c r="C7" s="5"/>
      <c r="D7" s="5" t="s">
        <v>709</v>
      </c>
      <c r="E7" s="5"/>
      <c r="F7" s="5" t="s">
        <v>2653</v>
      </c>
      <c r="G7" s="5"/>
      <c r="H7" s="5" t="s">
        <v>1810</v>
      </c>
      <c r="I7" s="5"/>
      <c r="J7" s="5" t="s">
        <v>1055</v>
      </c>
      <c r="K7" s="5"/>
      <c r="L7" s="5" t="s">
        <v>1492</v>
      </c>
      <c r="M7" s="5"/>
      <c r="N7" s="5" t="s">
        <v>1604</v>
      </c>
      <c r="O7" s="5"/>
      <c r="P7" s="5" t="s">
        <v>743</v>
      </c>
      <c r="Q7" s="5"/>
      <c r="R7" s="5" t="s">
        <v>716</v>
      </c>
      <c r="S7" s="5"/>
      <c r="T7" s="5" t="s">
        <v>2763</v>
      </c>
      <c r="U7" s="5"/>
      <c r="V7" s="5" t="s">
        <v>2114</v>
      </c>
      <c r="W7" s="5"/>
      <c r="X7" s="5" t="s">
        <v>1058</v>
      </c>
      <c r="Y7" s="5"/>
      <c r="Z7" s="5" t="s">
        <v>746</v>
      </c>
      <c r="AA7" s="5"/>
      <c r="AB7" s="5" t="s">
        <v>2138</v>
      </c>
      <c r="AC7" s="5"/>
      <c r="AD7" s="5" t="s">
        <v>716</v>
      </c>
      <c r="AE7" s="5"/>
      <c r="AF7" s="5" t="s">
        <v>1763</v>
      </c>
      <c r="AG7" s="5"/>
      <c r="AH7" s="5" t="s">
        <v>716</v>
      </c>
      <c r="AI7" s="5"/>
      <c r="AJ7" s="5"/>
      <c r="AK7" s="5"/>
      <c r="AL7" s="5"/>
      <c r="AM7" s="5"/>
      <c r="AN7" s="5"/>
      <c r="AO7" s="5"/>
      <c r="AP7" s="5" t="s">
        <v>1616</v>
      </c>
      <c r="AQ7" s="5"/>
      <c r="AR7" s="5"/>
      <c r="AS7" s="5"/>
      <c r="AT7" s="5"/>
      <c r="AU7" s="5"/>
      <c r="AV7" s="5" t="s">
        <v>719</v>
      </c>
      <c r="AW7" s="5"/>
      <c r="AX7" s="5" t="s">
        <v>719</v>
      </c>
      <c r="AY7" s="5"/>
      <c r="AZ7" s="5" t="s">
        <v>721</v>
      </c>
      <c r="BA7" s="5"/>
      <c r="BB7" s="5" t="s">
        <v>721</v>
      </c>
      <c r="BC7" s="5"/>
      <c r="BD7" s="5" t="s">
        <v>710</v>
      </c>
      <c r="BE7" s="5"/>
      <c r="BF7" s="5" t="s">
        <v>2073</v>
      </c>
      <c r="BG7" s="5"/>
      <c r="BH7" s="5" t="s">
        <v>1059</v>
      </c>
      <c r="BI7" s="5"/>
      <c r="BJ7" s="5" t="s">
        <v>2073</v>
      </c>
      <c r="BK7" s="5"/>
      <c r="BL7" s="5" t="s">
        <v>1031</v>
      </c>
      <c r="BM7" s="5"/>
      <c r="BN7" s="5" t="str">
        <f xml:space="preserve"> $BD$9</f>
        <v>fill='#00A3E0'</v>
      </c>
      <c r="BO7" s="5"/>
      <c r="BP7" s="5" t="s">
        <v>2073</v>
      </c>
      <c r="BQ7" s="5"/>
      <c r="BR7" s="5" t="s">
        <v>2019</v>
      </c>
      <c r="BS7" s="5"/>
      <c r="BT7" s="5" t="s">
        <v>1691</v>
      </c>
      <c r="BU7" s="5"/>
      <c r="BV7" s="5" t="s">
        <v>918</v>
      </c>
      <c r="BW7" s="5"/>
      <c r="BX7" s="5" t="s">
        <v>2425</v>
      </c>
      <c r="BY7" s="5"/>
      <c r="BZ7" s="5" t="s">
        <v>2031</v>
      </c>
      <c r="CA7" s="5"/>
      <c r="CB7" s="5" t="s">
        <v>2298</v>
      </c>
      <c r="CC7" s="5"/>
      <c r="CD7" s="5" t="s">
        <v>2706</v>
      </c>
      <c r="CE7" s="5"/>
      <c r="CF7" s="5" t="str">
        <f t="shared" ref="CF7:CS7" si="1" xml:space="preserve"> "fill='#" &amp; RIGHT(Simple.ID,3) &amp; "'"</f>
        <v>fill='#FFF'</v>
      </c>
      <c r="CG7" s="5" t="str">
        <f t="shared" si="1"/>
        <v>fill='#0F0'</v>
      </c>
      <c r="CH7" s="5" t="str">
        <f t="shared" si="1"/>
        <v>fill='#F00'</v>
      </c>
      <c r="CI7" s="5" t="str">
        <f t="shared" si="1"/>
        <v>fill='#00F'</v>
      </c>
      <c r="CJ7" s="5" t="str">
        <f t="shared" si="1"/>
        <v>fill='#F0F'</v>
      </c>
      <c r="CK7" s="5" t="str">
        <f t="shared" si="1"/>
        <v>fill='#0FF'</v>
      </c>
      <c r="CL7" s="5" t="str">
        <f t="shared" si="1"/>
        <v>fill='#FF0'</v>
      </c>
      <c r="CM7" s="5" t="str">
        <f t="shared" si="1"/>
        <v>fill='#FFF'</v>
      </c>
      <c r="CN7" s="5" t="str">
        <f t="shared" si="1"/>
        <v>fill='#0F0'</v>
      </c>
      <c r="CO7" s="5" t="str">
        <f t="shared" si="1"/>
        <v>fill='#F00'</v>
      </c>
      <c r="CP7" s="5" t="str">
        <f t="shared" si="1"/>
        <v>fill='#00F'</v>
      </c>
      <c r="CQ7" s="5" t="str">
        <f t="shared" si="1"/>
        <v>fill='#F0F'</v>
      </c>
      <c r="CR7" s="5" t="str">
        <f t="shared" si="1"/>
        <v>fill='#0FF'</v>
      </c>
      <c r="CS7" s="5" t="str">
        <f t="shared" si="1"/>
        <v>fill='#FF0'</v>
      </c>
      <c r="CT7" s="5"/>
      <c r="CU7" s="5"/>
    </row>
    <row r="8" spans="2:99">
      <c r="B8" s="4" t="s">
        <v>373</v>
      </c>
      <c r="C8" s="5"/>
      <c r="D8" s="5" t="s">
        <v>2075</v>
      </c>
      <c r="E8" s="5"/>
      <c r="F8" s="5" t="s">
        <v>2075</v>
      </c>
      <c r="G8" s="5"/>
      <c r="H8" s="5" t="s">
        <v>2075</v>
      </c>
      <c r="I8" s="5"/>
      <c r="J8" s="5" t="s">
        <v>2073</v>
      </c>
      <c r="K8" s="5"/>
      <c r="L8" s="5" t="s">
        <v>1491</v>
      </c>
      <c r="M8" s="5"/>
      <c r="N8" s="5" t="s">
        <v>1603</v>
      </c>
      <c r="O8" s="5"/>
      <c r="P8" s="5" t="s">
        <v>2073</v>
      </c>
      <c r="Q8" s="5"/>
      <c r="R8" s="5" t="s">
        <v>2073</v>
      </c>
      <c r="S8" s="5"/>
      <c r="T8" s="5" t="s">
        <v>2073</v>
      </c>
      <c r="U8" s="5"/>
      <c r="V8" s="5" t="s">
        <v>2073</v>
      </c>
      <c r="W8" s="5"/>
      <c r="X8" s="5" t="s">
        <v>2665</v>
      </c>
      <c r="Y8" s="5"/>
      <c r="Z8" s="5" t="s">
        <v>2073</v>
      </c>
      <c r="AA8" s="5"/>
      <c r="AB8" s="5" t="s">
        <v>2139</v>
      </c>
      <c r="AC8" s="5"/>
      <c r="AD8" s="5" t="s">
        <v>741</v>
      </c>
      <c r="AE8" s="5"/>
      <c r="AF8" s="5" t="s">
        <v>1764</v>
      </c>
      <c r="AG8" s="5"/>
      <c r="AH8" s="5" t="s">
        <v>2073</v>
      </c>
      <c r="AI8" s="5"/>
      <c r="AJ8" s="5" t="s">
        <v>742</v>
      </c>
      <c r="AK8" s="5"/>
      <c r="AL8" s="5" t="s">
        <v>721</v>
      </c>
      <c r="AM8" s="5"/>
      <c r="AN8" s="5" t="s">
        <v>716</v>
      </c>
      <c r="AO8" s="5"/>
      <c r="AP8" s="5" t="s">
        <v>719</v>
      </c>
      <c r="AQ8" s="5"/>
      <c r="AR8" s="5" t="s">
        <v>750</v>
      </c>
      <c r="AS8" s="5"/>
      <c r="AT8" s="5" t="s">
        <v>1609</v>
      </c>
      <c r="AU8" s="5"/>
      <c r="AV8" s="5" t="s">
        <v>2073</v>
      </c>
      <c r="AW8" s="5"/>
      <c r="AX8" s="5" t="s">
        <v>2258</v>
      </c>
      <c r="AY8" s="5"/>
      <c r="AZ8" s="5" t="s">
        <v>2073</v>
      </c>
      <c r="BA8" s="5"/>
      <c r="BB8" s="5" t="s">
        <v>2114</v>
      </c>
      <c r="BC8" s="5"/>
      <c r="BD8" s="5" t="s">
        <v>2073</v>
      </c>
      <c r="BE8" s="5"/>
      <c r="BF8" s="5" t="s">
        <v>731</v>
      </c>
      <c r="BG8" s="5"/>
      <c r="BH8" s="5" t="s">
        <v>1060</v>
      </c>
      <c r="BI8" s="5"/>
      <c r="BJ8" s="5" t="s">
        <v>2114</v>
      </c>
      <c r="BK8" s="5"/>
      <c r="BL8" s="5" t="s">
        <v>2073</v>
      </c>
      <c r="BM8" s="5"/>
      <c r="BN8" s="5" t="s">
        <v>2073</v>
      </c>
      <c r="BO8" s="5"/>
      <c r="BP8" s="5" t="str">
        <f xml:space="preserve"> "stroke-width='" &amp; _xlfn.SINGLE(Simple.SVG_borderWidth) &amp; "' stroke-linejoin='round' stroke='#1B618C' fill='none' "</f>
        <v xml:space="preserve">stroke-width='44' stroke-linejoin='round' stroke='#1B618C' fill='none' </v>
      </c>
      <c r="BQ8" s="5"/>
      <c r="BR8" s="5" t="s">
        <v>2073</v>
      </c>
      <c r="BS8" s="5"/>
      <c r="BT8" s="5" t="s">
        <v>1692</v>
      </c>
      <c r="BU8" s="5"/>
      <c r="BV8" s="5" t="s">
        <v>919</v>
      </c>
      <c r="BW8" s="5"/>
      <c r="BX8" s="5" t="s">
        <v>2426</v>
      </c>
      <c r="BY8" s="5"/>
      <c r="BZ8" s="5" t="s">
        <v>2032</v>
      </c>
      <c r="CA8" s="5"/>
      <c r="CB8" s="5" t="s">
        <v>2299</v>
      </c>
      <c r="CC8" s="5"/>
      <c r="CD8" s="5" t="s">
        <v>2707</v>
      </c>
      <c r="CE8" s="5"/>
      <c r="CF8" s="5" t="str">
        <f t="shared" ref="CF8:CS8" si="2" xml:space="preserve"> IF(MID(Simple.ID,5,1)&lt;&gt;"0", "fill='#" &amp; REPT(MID(Simple.ID,5,1),3) &amp; "'", "")</f>
        <v/>
      </c>
      <c r="CG8" s="5" t="str">
        <f t="shared" si="2"/>
        <v/>
      </c>
      <c r="CH8" s="5" t="str">
        <f t="shared" si="2"/>
        <v/>
      </c>
      <c r="CI8" s="5" t="str">
        <f t="shared" si="2"/>
        <v/>
      </c>
      <c r="CJ8" s="5" t="str">
        <f t="shared" si="2"/>
        <v/>
      </c>
      <c r="CK8" s="5" t="str">
        <f t="shared" si="2"/>
        <v/>
      </c>
      <c r="CL8" s="5" t="str">
        <f t="shared" si="2"/>
        <v/>
      </c>
      <c r="CM8" s="5" t="str">
        <f t="shared" si="2"/>
        <v>fill='#666'</v>
      </c>
      <c r="CN8" s="5" t="str">
        <f t="shared" si="2"/>
        <v>fill='#666'</v>
      </c>
      <c r="CO8" s="5" t="str">
        <f t="shared" si="2"/>
        <v>fill='#666'</v>
      </c>
      <c r="CP8" s="5" t="str">
        <f t="shared" si="2"/>
        <v>fill='#666'</v>
      </c>
      <c r="CQ8" s="5" t="str">
        <f t="shared" si="2"/>
        <v>fill='#666'</v>
      </c>
      <c r="CR8" s="5" t="str">
        <f t="shared" si="2"/>
        <v>fill='#666'</v>
      </c>
      <c r="CS8" s="5" t="str">
        <f t="shared" si="2"/>
        <v>fill='#666'</v>
      </c>
      <c r="CT8" s="5"/>
      <c r="CU8" s="5"/>
    </row>
    <row r="9" spans="2:99">
      <c r="B9" s="4" t="s">
        <v>374</v>
      </c>
      <c r="C9" s="5"/>
      <c r="D9" s="5"/>
      <c r="E9" s="5"/>
      <c r="F9" s="5"/>
      <c r="G9" s="5"/>
      <c r="H9" s="5"/>
      <c r="I9" s="5"/>
      <c r="J9" s="5"/>
      <c r="K9" s="5"/>
      <c r="L9" s="5"/>
      <c r="M9" s="5"/>
      <c r="N9" s="5"/>
      <c r="O9" s="5"/>
      <c r="P9" s="5" t="s">
        <v>743</v>
      </c>
      <c r="Q9" s="5"/>
      <c r="R9" s="5"/>
      <c r="S9" s="5"/>
      <c r="T9" s="5"/>
      <c r="U9" s="5"/>
      <c r="V9" s="5"/>
      <c r="W9" s="5"/>
      <c r="X9" s="5" t="s">
        <v>2073</v>
      </c>
      <c r="Y9" s="5"/>
      <c r="Z9" s="5" t="s">
        <v>744</v>
      </c>
      <c r="AA9" s="5"/>
      <c r="AB9" s="5" t="s">
        <v>719</v>
      </c>
      <c r="AC9" s="5"/>
      <c r="AD9" s="5"/>
      <c r="AE9" s="5"/>
      <c r="AF9" s="5" t="s">
        <v>719</v>
      </c>
      <c r="AG9" s="5"/>
      <c r="AH9" s="5"/>
      <c r="AI9" s="5"/>
      <c r="AJ9" s="5" t="s">
        <v>745</v>
      </c>
      <c r="AK9" s="5"/>
      <c r="AL9" s="5" t="s">
        <v>719</v>
      </c>
      <c r="AM9" s="5"/>
      <c r="AN9" s="5" t="s">
        <v>719</v>
      </c>
      <c r="AO9" s="5"/>
      <c r="AP9" s="5" t="s">
        <v>2073</v>
      </c>
      <c r="AQ9" s="5"/>
      <c r="AR9" s="5" t="s">
        <v>719</v>
      </c>
      <c r="AS9" s="5"/>
      <c r="AT9" s="5" t="s">
        <v>1610</v>
      </c>
      <c r="AU9" s="5"/>
      <c r="AV9" s="5"/>
      <c r="AW9" s="5"/>
      <c r="AX9" s="5"/>
      <c r="AY9" s="5"/>
      <c r="AZ9" s="5"/>
      <c r="BA9" s="5"/>
      <c r="BB9" s="5"/>
      <c r="BC9" s="5"/>
      <c r="BD9" s="5" t="s">
        <v>726</v>
      </c>
      <c r="BE9" s="5"/>
      <c r="BF9" s="5"/>
      <c r="BG9" s="5"/>
      <c r="BH9" s="5" t="s">
        <v>2073</v>
      </c>
      <c r="BI9" s="5"/>
      <c r="BJ9" s="5" t="s">
        <v>2290</v>
      </c>
      <c r="BK9" s="5"/>
      <c r="BL9" s="5" t="s">
        <v>785</v>
      </c>
      <c r="BM9" s="5"/>
      <c r="BN9" s="5" t="str">
        <f xml:space="preserve"> $BD$7</f>
        <v>fill='#EF3340'</v>
      </c>
      <c r="BO9" s="5"/>
      <c r="BP9" s="5"/>
      <c r="BQ9" s="5"/>
      <c r="BR9" s="5" t="s">
        <v>2020</v>
      </c>
      <c r="BS9" s="5"/>
      <c r="BT9" s="5"/>
      <c r="BU9" s="5"/>
      <c r="BV9" s="5"/>
      <c r="BW9" s="5"/>
      <c r="BX9" s="5"/>
      <c r="BY9" s="5"/>
      <c r="BZ9" s="5" t="s">
        <v>2073</v>
      </c>
      <c r="CA9" s="5"/>
      <c r="CB9" s="5" t="s">
        <v>2300</v>
      </c>
      <c r="CC9" s="5"/>
      <c r="CD9" s="5"/>
      <c r="CE9" s="5"/>
      <c r="CF9" s="5"/>
      <c r="CG9" s="5"/>
      <c r="CH9" s="5"/>
      <c r="CI9" s="5"/>
      <c r="CJ9" s="5"/>
      <c r="CK9" s="5"/>
      <c r="CL9" s="5"/>
      <c r="CM9" s="5"/>
      <c r="CN9" s="5"/>
      <c r="CO9" s="5"/>
      <c r="CP9" s="5"/>
      <c r="CQ9" s="5"/>
      <c r="CR9" s="5"/>
      <c r="CS9" s="5"/>
      <c r="CT9" s="5"/>
      <c r="CU9" s="5"/>
    </row>
    <row r="10" spans="2:99">
      <c r="AC10" s="5"/>
      <c r="AF10" s="5"/>
      <c r="AJ10" s="5"/>
      <c r="AL10" s="5"/>
    </row>
    <row r="11" spans="2:99">
      <c r="B11" s="4" t="s">
        <v>364</v>
      </c>
      <c r="D11">
        <v>10</v>
      </c>
      <c r="F11">
        <v>10</v>
      </c>
      <c r="H11">
        <f xml:space="preserve"> $D11</f>
        <v>10</v>
      </c>
      <c r="J11">
        <f xml:space="preserve"> 2 * 2</f>
        <v>4</v>
      </c>
      <c r="L11">
        <f xml:space="preserve"> $J11</f>
        <v>4</v>
      </c>
      <c r="N11">
        <v>11</v>
      </c>
      <c r="P11">
        <v>27</v>
      </c>
      <c r="R11">
        <v>6</v>
      </c>
      <c r="T11">
        <v>17</v>
      </c>
      <c r="V11">
        <v>7</v>
      </c>
      <c r="X11">
        <v>4</v>
      </c>
      <c r="Z11">
        <v>67</v>
      </c>
      <c r="AB11">
        <v>8</v>
      </c>
      <c r="AD11">
        <f xml:space="preserve"> 83 * 10</f>
        <v>830</v>
      </c>
      <c r="AF11">
        <v>97</v>
      </c>
      <c r="AH11">
        <v>6</v>
      </c>
      <c r="AJ11">
        <v>1</v>
      </c>
      <c r="AL11">
        <v>2</v>
      </c>
      <c r="AN11">
        <v>2</v>
      </c>
      <c r="AP11">
        <v>216</v>
      </c>
      <c r="AR11">
        <v>4</v>
      </c>
      <c r="AT11">
        <v>4</v>
      </c>
      <c r="AV11">
        <v>11</v>
      </c>
      <c r="AX11">
        <v>11</v>
      </c>
      <c r="AZ11">
        <v>9</v>
      </c>
      <c r="BB11">
        <v>9</v>
      </c>
      <c r="BD11">
        <f xml:space="preserve"> Thirds_O * 2</f>
        <v>54</v>
      </c>
      <c r="BF11">
        <v>3</v>
      </c>
      <c r="BH11">
        <f xml:space="preserve"> Thirds_O * 3</f>
        <v>81</v>
      </c>
      <c r="BJ11">
        <f xml:space="preserve"> 4*90</f>
        <v>360</v>
      </c>
      <c r="BL11">
        <v>5</v>
      </c>
      <c r="BN11">
        <v>5</v>
      </c>
      <c r="BP11">
        <f xml:space="preserve"> 17*8 + _xlfn.SINGLE(Simple.SVG_borderWidth)/2</f>
        <v>158</v>
      </c>
      <c r="BR11">
        <v>8</v>
      </c>
      <c r="BT11">
        <v>5</v>
      </c>
      <c r="BV11">
        <v>20</v>
      </c>
      <c r="BX11">
        <v>40</v>
      </c>
      <c r="BZ11">
        <v>4</v>
      </c>
      <c r="CB11">
        <v>2</v>
      </c>
      <c r="CD11">
        <v>10</v>
      </c>
      <c r="CF11">
        <v>4</v>
      </c>
      <c r="CG11">
        <f xml:space="preserve"> $CF11</f>
        <v>4</v>
      </c>
      <c r="CH11">
        <f t="shared" ref="CH11:CS11" si="3" xml:space="preserve"> $CF11</f>
        <v>4</v>
      </c>
      <c r="CI11">
        <f t="shared" si="3"/>
        <v>4</v>
      </c>
      <c r="CJ11">
        <f t="shared" si="3"/>
        <v>4</v>
      </c>
      <c r="CK11">
        <f t="shared" si="3"/>
        <v>4</v>
      </c>
      <c r="CL11">
        <f t="shared" si="3"/>
        <v>4</v>
      </c>
      <c r="CM11">
        <f t="shared" si="3"/>
        <v>4</v>
      </c>
      <c r="CN11">
        <f t="shared" si="3"/>
        <v>4</v>
      </c>
      <c r="CO11">
        <f t="shared" si="3"/>
        <v>4</v>
      </c>
      <c r="CP11">
        <f t="shared" si="3"/>
        <v>4</v>
      </c>
      <c r="CQ11">
        <f t="shared" si="3"/>
        <v>4</v>
      </c>
      <c r="CR11">
        <f t="shared" si="3"/>
        <v>4</v>
      </c>
      <c r="CS11">
        <f t="shared" si="3"/>
        <v>4</v>
      </c>
    </row>
    <row r="12" spans="2:99">
      <c r="B12" s="4" t="s">
        <v>366</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15</v>
      </c>
      <c r="V12">
        <v>5</v>
      </c>
      <c r="X12">
        <v>3</v>
      </c>
      <c r="Z12">
        <v>80</v>
      </c>
      <c r="AB12">
        <f xml:space="preserve"> _xlfn.SINGLE(Simple.MaxX)</f>
        <v>8</v>
      </c>
      <c r="AD12">
        <f xml:space="preserve"> _xlfn.SINGLE(Simple.MaxX) * 53 / 83</f>
        <v>530</v>
      </c>
      <c r="AF12">
        <v>56</v>
      </c>
      <c r="AH12">
        <f xml:space="preserve"> _xlfn.SINGLE(Simple.MaxX)</f>
        <v>6</v>
      </c>
      <c r="AJ12">
        <f xml:space="preserve"> _xlfn.SINGLE(Simple.MaxX)</f>
        <v>1</v>
      </c>
      <c r="AL12">
        <f xml:space="preserve"> _xlfn.SINGLE(Simple.MaxX)</f>
        <v>2</v>
      </c>
      <c r="AN12">
        <f xml:space="preserve"> _xlfn.SINGLE(Simple.MaxX)</f>
        <v>2</v>
      </c>
      <c r="AP12">
        <v>432</v>
      </c>
      <c r="AR12">
        <f xml:space="preserve"> _xlfn.SINGLE(Simple.MaxX)</f>
        <v>4</v>
      </c>
      <c r="AT12">
        <f xml:space="preserve"> _xlfn.SINGLE(Simple.MaxX)</f>
        <v>4</v>
      </c>
      <c r="AV12">
        <v>8</v>
      </c>
      <c r="AX12">
        <v>8</v>
      </c>
      <c r="AZ12">
        <v>6</v>
      </c>
      <c r="BB12">
        <v>6</v>
      </c>
      <c r="BD12">
        <f xml:space="preserve"> _xlfn.SINGLE(Simple.MaxX)  / 2</f>
        <v>27</v>
      </c>
      <c r="BF12">
        <f xml:space="preserve"> _xlfn.SINGLE(Simple.MaxX)</f>
        <v>3</v>
      </c>
      <c r="BH12">
        <f xml:space="preserve"> Thirds_O * 2</f>
        <v>54</v>
      </c>
      <c r="BJ12">
        <f xml:space="preserve"> _xlfn.SINGLE(Simple.MaxX) * 3 / 4</f>
        <v>270</v>
      </c>
      <c r="BL12">
        <f xml:space="preserve"> _xlfn.SINGLE(Simple.MaxX)</f>
        <v>5</v>
      </c>
      <c r="BN12">
        <f xml:space="preserve"> _xlfn.SINGLE(Simple.MaxX)</f>
        <v>5</v>
      </c>
      <c r="BP12">
        <f xml:space="preserve"> 17*11 + _xlfn.SINGLE(Simple.SVG_borderWidth)/2</f>
        <v>209</v>
      </c>
      <c r="BR12">
        <f xml:space="preserve"> _xlfn.SINGLE(Simple.MaxX)</f>
        <v>8</v>
      </c>
      <c r="BT12">
        <f xml:space="preserve"> _xlfn.SINGLE(Simple.MaxX)</f>
        <v>5</v>
      </c>
      <c r="BV12">
        <v>39.5</v>
      </c>
      <c r="BX12">
        <v>32</v>
      </c>
      <c r="BZ12">
        <f xml:space="preserve"> _xlfn.SINGLE(Simple.MaxX)</f>
        <v>4</v>
      </c>
      <c r="CB12">
        <v>1</v>
      </c>
      <c r="CD12">
        <v>15</v>
      </c>
      <c r="CF12">
        <f t="shared" ref="CF12:CS12" si="4" xml:space="preserve"> _xlfn.SINGLE(Simple.MaxX)</f>
        <v>4</v>
      </c>
      <c r="CG12">
        <f t="shared" si="4"/>
        <v>4</v>
      </c>
      <c r="CH12">
        <f t="shared" si="4"/>
        <v>4</v>
      </c>
      <c r="CI12">
        <f t="shared" si="4"/>
        <v>4</v>
      </c>
      <c r="CJ12">
        <f t="shared" si="4"/>
        <v>4</v>
      </c>
      <c r="CK12">
        <f t="shared" si="4"/>
        <v>4</v>
      </c>
      <c r="CL12">
        <f t="shared" si="4"/>
        <v>4</v>
      </c>
      <c r="CM12">
        <f t="shared" si="4"/>
        <v>4</v>
      </c>
      <c r="CN12">
        <f t="shared" si="4"/>
        <v>4</v>
      </c>
      <c r="CO12">
        <f t="shared" si="4"/>
        <v>4</v>
      </c>
      <c r="CP12">
        <f t="shared" si="4"/>
        <v>4</v>
      </c>
      <c r="CQ12">
        <f t="shared" si="4"/>
        <v>4</v>
      </c>
      <c r="CR12">
        <f t="shared" si="4"/>
        <v>4</v>
      </c>
      <c r="CS12">
        <f t="shared" si="4"/>
        <v>4</v>
      </c>
    </row>
    <row r="13" spans="2:99">
      <c r="B13" s="4" t="s">
        <v>363</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-17</v>
      </c>
      <c r="V13">
        <f xml:space="preserve"> - _xlfn.SINGLE(Simple.MaxX)</f>
        <v>-7</v>
      </c>
      <c r="X13">
        <f xml:space="preserve"> - _xlfn.SINGLE(Simple.MaxX)</f>
        <v>-4</v>
      </c>
      <c r="Z13">
        <f xml:space="preserve"> - _xlfn.SINGLE(Simple.MaxX)</f>
        <v>-67</v>
      </c>
      <c r="AB13">
        <f xml:space="preserve"> - _xlfn.SINGLE(Simple.MaxX)</f>
        <v>-8</v>
      </c>
      <c r="AD13">
        <f xml:space="preserve"> - _xlfn.SINGLE(Simple.MaxX)</f>
        <v>-830</v>
      </c>
      <c r="AF13">
        <f xml:space="preserve"> - _xlfn.SINGLE(Simple.MaxX)</f>
        <v>-97</v>
      </c>
      <c r="AH13">
        <f xml:space="preserve"> - _xlfn.SINGLE(Simple.MaxX)</f>
        <v>-6</v>
      </c>
      <c r="AJ13">
        <f xml:space="preserve"> - _xlfn.SINGLE(Simple.MaxX)</f>
        <v>-1</v>
      </c>
      <c r="AL13">
        <f xml:space="preserve"> - _xlfn.SINGLE(Simple.MaxX)</f>
        <v>-2</v>
      </c>
      <c r="AN13">
        <f xml:space="preserve"> - _xlfn.SINGLE(Simple.MaxX)</f>
        <v>-2</v>
      </c>
      <c r="AP13">
        <f xml:space="preserve"> - _xlfn.SINGLE(Simple.MaxX)</f>
        <v>-216</v>
      </c>
      <c r="AR13">
        <f xml:space="preserve"> - _xlfn.SINGLE(Simple.MaxX)</f>
        <v>-4</v>
      </c>
      <c r="AT13">
        <f xml:space="preserve"> - _xlfn.SINGLE(Simple.MaxX)</f>
        <v>-4</v>
      </c>
      <c r="AV13">
        <f xml:space="preserve"> - _xlfn.SINGLE(Simple.MaxX)</f>
        <v>-11</v>
      </c>
      <c r="AX13">
        <f xml:space="preserve"> - _xlfn.SINGLE(Simple.MaxX)</f>
        <v>-11</v>
      </c>
      <c r="AZ13">
        <f xml:space="preserve"> - _xlfn.SINGLE(Simple.MaxX)</f>
        <v>-9</v>
      </c>
      <c r="BB13">
        <f xml:space="preserve"> - _xlfn.SINGLE(Simple.MaxX)</f>
        <v>-9</v>
      </c>
      <c r="BD13">
        <f xml:space="preserve"> - _xlfn.SINGLE(Simple.MaxX)</f>
        <v>-54</v>
      </c>
      <c r="BF13">
        <f xml:space="preserve"> - _xlfn.SINGLE(Simple.MaxX)</f>
        <v>-3</v>
      </c>
      <c r="BH13">
        <f xml:space="preserve"> - _xlfn.SINGLE(Simple.MaxX)</f>
        <v>-81</v>
      </c>
      <c r="BJ13">
        <f xml:space="preserve"> - _xlfn.SINGLE(Simple.MaxX)</f>
        <v>-360</v>
      </c>
      <c r="BL13">
        <f xml:space="preserve"> - _xlfn.SINGLE(Simple.MaxX)</f>
        <v>-5</v>
      </c>
      <c r="BN13">
        <f xml:space="preserve"> - _xlfn.SINGLE(Simple.MaxX)</f>
        <v>-5</v>
      </c>
      <c r="BP13">
        <f xml:space="preserve"> - _xlfn.SINGLE(Simple.MaxX)</f>
        <v>-158</v>
      </c>
      <c r="BR13">
        <f xml:space="preserve"> - _xlfn.SINGLE(Simple.MaxX)</f>
        <v>-8</v>
      </c>
      <c r="BT13">
        <f xml:space="preserve"> - _xlfn.SINGLE(Simple.MaxX)</f>
        <v>-5</v>
      </c>
      <c r="BV13">
        <f xml:space="preserve"> - _xlfn.SINGLE(Simple.MaxX)</f>
        <v>-20</v>
      </c>
      <c r="BX13">
        <f xml:space="preserve"> - _xlfn.SINGLE(Simple.MaxX)</f>
        <v>-40</v>
      </c>
      <c r="BZ13">
        <f xml:space="preserve"> - _xlfn.SINGLE(Simple.MaxX)</f>
        <v>-4</v>
      </c>
      <c r="CB13">
        <f xml:space="preserve"> - _xlfn.SINGLE(Simple.MaxX)</f>
        <v>-2</v>
      </c>
      <c r="CD13">
        <f xml:space="preserve"> - _xlfn.SINGLE(Simple.MaxX)</f>
        <v>-10</v>
      </c>
      <c r="CF13">
        <f t="shared" ref="CF13:CS13" si="5" xml:space="preserve"> - _xlfn.SINGLE(Simple.MaxX)</f>
        <v>-4</v>
      </c>
      <c r="CG13">
        <f t="shared" si="5"/>
        <v>-4</v>
      </c>
      <c r="CH13">
        <f t="shared" si="5"/>
        <v>-4</v>
      </c>
      <c r="CI13">
        <f t="shared" si="5"/>
        <v>-4</v>
      </c>
      <c r="CJ13">
        <f t="shared" si="5"/>
        <v>-4</v>
      </c>
      <c r="CK13">
        <f t="shared" si="5"/>
        <v>-4</v>
      </c>
      <c r="CL13">
        <f t="shared" si="5"/>
        <v>-4</v>
      </c>
      <c r="CM13">
        <f t="shared" si="5"/>
        <v>-4</v>
      </c>
      <c r="CN13">
        <f t="shared" si="5"/>
        <v>-4</v>
      </c>
      <c r="CO13">
        <f t="shared" si="5"/>
        <v>-4</v>
      </c>
      <c r="CP13">
        <f t="shared" si="5"/>
        <v>-4</v>
      </c>
      <c r="CQ13">
        <f t="shared" si="5"/>
        <v>-4</v>
      </c>
      <c r="CR13">
        <f t="shared" si="5"/>
        <v>-4</v>
      </c>
      <c r="CS13">
        <f t="shared" si="5"/>
        <v>-4</v>
      </c>
    </row>
    <row r="14" spans="2:99">
      <c r="B14" s="4" t="s">
        <v>365</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-15</v>
      </c>
      <c r="V14">
        <f xml:space="preserve"> - _xlfn.SINGLE(Simple.MaxY)</f>
        <v>-5</v>
      </c>
      <c r="X14">
        <f xml:space="preserve"> - _xlfn.SINGLE(Simple.MaxY)</f>
        <v>-3</v>
      </c>
      <c r="Z14">
        <f xml:space="preserve"> - _xlfn.SINGLE(Simple.MaxY)</f>
        <v>-80</v>
      </c>
      <c r="AB14">
        <f xml:space="preserve"> - _xlfn.SINGLE(Simple.MaxY)</f>
        <v>-8</v>
      </c>
      <c r="AD14">
        <f xml:space="preserve"> - _xlfn.SINGLE(Simple.MaxY)</f>
        <v>-530</v>
      </c>
      <c r="AF14">
        <f xml:space="preserve"> - _xlfn.SINGLE(Simple.MaxY)</f>
        <v>-56</v>
      </c>
      <c r="AH14">
        <f xml:space="preserve"> - _xlfn.SINGLE(Simple.MaxY)</f>
        <v>-6</v>
      </c>
      <c r="AJ14">
        <f xml:space="preserve"> - _xlfn.SINGLE(Simple.MaxY)</f>
        <v>-1</v>
      </c>
      <c r="AL14">
        <f xml:space="preserve"> - _xlfn.SINGLE(Simple.MaxY)</f>
        <v>-2</v>
      </c>
      <c r="AN14">
        <f xml:space="preserve"> - _xlfn.SINGLE(Simple.MaxY)</f>
        <v>-2</v>
      </c>
      <c r="AP14">
        <f xml:space="preserve"> - _xlfn.SINGLE(Simple.MaxY)</f>
        <v>-432</v>
      </c>
      <c r="AR14">
        <f xml:space="preserve"> - _xlfn.SINGLE(Simple.MaxY)</f>
        <v>-4</v>
      </c>
      <c r="AT14">
        <f xml:space="preserve"> - _xlfn.SINGLE(Simple.MaxY)</f>
        <v>-4</v>
      </c>
      <c r="AV14">
        <f xml:space="preserve"> - _xlfn.SINGLE(Simple.MaxY)</f>
        <v>-8</v>
      </c>
      <c r="AX14">
        <f xml:space="preserve"> - _xlfn.SINGLE(Simple.MaxY)</f>
        <v>-8</v>
      </c>
      <c r="AZ14">
        <f xml:space="preserve"> - _xlfn.SINGLE(Simple.MaxY)</f>
        <v>-6</v>
      </c>
      <c r="BB14">
        <f xml:space="preserve"> - _xlfn.SINGLE(Simple.MaxY)</f>
        <v>-6</v>
      </c>
      <c r="BD14">
        <f xml:space="preserve"> - _xlfn.SINGLE(Simple.MaxY)</f>
        <v>-27</v>
      </c>
      <c r="BF14">
        <f xml:space="preserve"> - _xlfn.SINGLE(Simple.MaxY)</f>
        <v>-3</v>
      </c>
      <c r="BH14">
        <f xml:space="preserve"> - _xlfn.SINGLE(Simple.MaxY)</f>
        <v>-54</v>
      </c>
      <c r="BJ14">
        <f xml:space="preserve"> - _xlfn.SINGLE(Simple.MaxY)</f>
        <v>-270</v>
      </c>
      <c r="BL14">
        <f xml:space="preserve"> - _xlfn.SINGLE(Simple.MaxY)</f>
        <v>-5</v>
      </c>
      <c r="BN14">
        <f xml:space="preserve"> - _xlfn.SINGLE(Simple.MaxY)</f>
        <v>-5</v>
      </c>
      <c r="BP14">
        <f xml:space="preserve"> - _xlfn.SINGLE(Simple.MaxY)</f>
        <v>-209</v>
      </c>
      <c r="BR14">
        <f xml:space="preserve"> - _xlfn.SINGLE(Simple.MaxY)</f>
        <v>-8</v>
      </c>
      <c r="BT14">
        <f xml:space="preserve"> - _xlfn.SINGLE(Simple.MaxY)</f>
        <v>-5</v>
      </c>
      <c r="BV14">
        <f xml:space="preserve"> - _xlfn.SINGLE(Simple.MaxY)</f>
        <v>-39.5</v>
      </c>
      <c r="BX14">
        <f xml:space="preserve"> - _xlfn.SINGLE(Simple.MaxY)</f>
        <v>-32</v>
      </c>
      <c r="BZ14">
        <f xml:space="preserve"> - _xlfn.SINGLE(Simple.MaxY)</f>
        <v>-4</v>
      </c>
      <c r="CB14">
        <f xml:space="preserve"> - _xlfn.SINGLE(Simple.MaxY)</f>
        <v>-1</v>
      </c>
      <c r="CD14">
        <f xml:space="preserve"> - _xlfn.SINGLE(Simple.MaxY)</f>
        <v>-15</v>
      </c>
      <c r="CF14">
        <f t="shared" ref="CF14:CS14" si="6" xml:space="preserve"> - _xlfn.SINGLE(Simple.MaxY)</f>
        <v>-4</v>
      </c>
      <c r="CG14">
        <f t="shared" si="6"/>
        <v>-4</v>
      </c>
      <c r="CH14">
        <f t="shared" si="6"/>
        <v>-4</v>
      </c>
      <c r="CI14">
        <f t="shared" si="6"/>
        <v>-4</v>
      </c>
      <c r="CJ14">
        <f t="shared" si="6"/>
        <v>-4</v>
      </c>
      <c r="CK14">
        <f t="shared" si="6"/>
        <v>-4</v>
      </c>
      <c r="CL14">
        <f t="shared" si="6"/>
        <v>-4</v>
      </c>
      <c r="CM14">
        <f t="shared" si="6"/>
        <v>-4</v>
      </c>
      <c r="CN14">
        <f t="shared" si="6"/>
        <v>-4</v>
      </c>
      <c r="CO14">
        <f t="shared" si="6"/>
        <v>-4</v>
      </c>
      <c r="CP14">
        <f t="shared" si="6"/>
        <v>-4</v>
      </c>
      <c r="CQ14">
        <f t="shared" si="6"/>
        <v>-4</v>
      </c>
      <c r="CR14">
        <f t="shared" si="6"/>
        <v>-4</v>
      </c>
      <c r="CS14">
        <f t="shared" si="6"/>
        <v>-4</v>
      </c>
    </row>
    <row r="17" spans="2:99">
      <c r="B17" s="4" t="s">
        <v>367</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0.88235294117647056</v>
      </c>
      <c r="V17">
        <f xml:space="preserve">  MAX( _xlfn.SINGLE(Simple.MaxY), - _xlfn.SINGLE(Simple.MinY ))   /   MAX( _xlfn.SINGLE(Simple.MaxX), - _xlfn.SINGLE(Simple.MinX ))</f>
        <v>0.7142857142857143</v>
      </c>
      <c r="X17">
        <f xml:space="preserve">  MAX( _xlfn.SINGLE(Simple.MaxY), - _xlfn.SINGLE(Simple.MinY ))   /   MAX( _xlfn.SINGLE(Simple.MaxX), - _xlfn.SINGLE(Simple.MinX ))</f>
        <v>0.75</v>
      </c>
      <c r="Z17">
        <f xml:space="preserve">  MAX( _xlfn.SINGLE(Simple.MaxY), - _xlfn.SINGLE(Simple.MinY ))   /   MAX( _xlfn.SINGLE(Simple.MaxX), - _xlfn.SINGLE(Simple.MinX ))</f>
        <v>1.1940298507462686</v>
      </c>
      <c r="AB17">
        <f xml:space="preserve">  MAX( _xlfn.SINGLE(Simple.MaxY), - _xlfn.SINGLE(Simple.MinY ))   /   MAX( _xlfn.SINGLE(Simple.MaxX), - _xlfn.SINGLE(Simple.MinX ))</f>
        <v>1</v>
      </c>
      <c r="AD17">
        <f xml:space="preserve">  MAX( _xlfn.SINGLE(Simple.MaxY), - _xlfn.SINGLE(Simple.MinY ))   /   MAX( _xlfn.SINGLE(Simple.MaxX), - _xlfn.SINGLE(Simple.MinX ))</f>
        <v>0.63855421686746983</v>
      </c>
      <c r="AF17">
        <f xml:space="preserve">  MAX( _xlfn.SINGLE(Simple.MaxY), - _xlfn.SINGLE(Simple.MinY ))   /   MAX( _xlfn.SINGLE(Simple.MaxX), - _xlfn.SINGLE(Simple.MinX ))</f>
        <v>0.57731958762886593</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1</v>
      </c>
      <c r="AP17">
        <f xml:space="preserve">  MAX( _xlfn.SINGLE(Simple.MaxY), - _xlfn.SINGLE(Simple.MinY ))   /   MAX( _xlfn.SINGLE(Simple.MaxX), - _xlfn.SINGLE(Simple.MinX ))</f>
        <v>2</v>
      </c>
      <c r="AR17">
        <f xml:space="preserve">  MAX( _xlfn.SINGLE(Simple.MaxY), - _xlfn.SINGLE(Simple.MinY ))   /   MAX( _xlfn.SINGLE(Simple.MaxX), - _xlfn.SINGLE(Simple.MinX ))</f>
        <v>1</v>
      </c>
      <c r="AT17">
        <f xml:space="preserve">  MAX( _xlfn.SINGLE(Simple.MaxY), - _xlfn.SINGLE(Simple.MinY ))   /   MAX( _xlfn.SINGLE(Simple.MaxX), - _xlfn.SINGLE(Simple.MinX ))</f>
        <v>1</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0.72727272727272729</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0.66666666666666663</v>
      </c>
      <c r="BD17">
        <f xml:space="preserve">  MAX( _xlfn.SINGLE(Simple.MaxY), - _xlfn.SINGLE(Simple.MinY ))   /   MAX( _xlfn.SINGLE(Simple.MaxX), - _xlfn.SINGLE(Simple.MinX ))</f>
        <v>0.5</v>
      </c>
      <c r="BF17">
        <f xml:space="preserve">  MAX( _xlfn.SINGLE(Simple.MaxY), - _xlfn.SINGLE(Simple.MinY ))   /   MAX( _xlfn.SINGLE(Simple.MaxX), - _xlfn.SINGLE(Simple.MinX ))</f>
        <v>1</v>
      </c>
      <c r="BH17">
        <f xml:space="preserve">  MAX( _xlfn.SINGLE(Simple.MaxY), - _xlfn.SINGLE(Simple.MinY ))   /   MAX( _xlfn.SINGLE(Simple.MaxX), - _xlfn.SINGLE(Simple.MinX ))</f>
        <v>0.66666666666666663</v>
      </c>
      <c r="BJ17">
        <f xml:space="preserve">  MAX( _xlfn.SINGLE(Simple.MaxY), - _xlfn.SINGLE(Simple.MinY ))   /   MAX( _xlfn.SINGLE(Simple.MaxX), - _xlfn.SINGLE(Simple.MinX ))</f>
        <v>0.75</v>
      </c>
      <c r="BL17">
        <f xml:space="preserve">  MAX( _xlfn.SINGLE(Simple.MaxY), - _xlfn.SINGLE(Simple.MinY ))   /   MAX( _xlfn.SINGLE(Simple.MaxX), - _xlfn.SINGLE(Simple.MinX ))</f>
        <v>1</v>
      </c>
      <c r="BN17">
        <f xml:space="preserve">  MAX( _xlfn.SINGLE(Simple.MaxY), - _xlfn.SINGLE(Simple.MinY ))   /   MAX( _xlfn.SINGLE(Simple.MaxX), - _xlfn.SINGLE(Simple.MinX ))</f>
        <v>1</v>
      </c>
      <c r="BP17">
        <f xml:space="preserve">  MAX( _xlfn.SINGLE(Simple.MaxY), - _xlfn.SINGLE(Simple.MinY ))   /   MAX( _xlfn.SINGLE(Simple.MaxX), - _xlfn.SINGLE(Simple.MinX ))</f>
        <v>1.3227848101265822</v>
      </c>
      <c r="BR17">
        <f xml:space="preserve">  MAX( _xlfn.SINGLE(Simple.MaxY), - _xlfn.SINGLE(Simple.MinY ))   /   MAX( _xlfn.SINGLE(Simple.MaxX), - _xlfn.SINGLE(Simple.MinX ))</f>
        <v>1</v>
      </c>
      <c r="BT17">
        <f xml:space="preserve">  MAX( _xlfn.SINGLE(Simple.MaxY), - _xlfn.SINGLE(Simple.MinY ))   /   MAX( _xlfn.SINGLE(Simple.MaxX), - _xlfn.SINGLE(Simple.MinX ))</f>
        <v>1</v>
      </c>
      <c r="BV17">
        <f xml:space="preserve">  MAX( _xlfn.SINGLE(Simple.MaxY), - _xlfn.SINGLE(Simple.MinY ))   /   MAX( _xlfn.SINGLE(Simple.MaxX), - _xlfn.SINGLE(Simple.MinX ))</f>
        <v>1.9750000000000001</v>
      </c>
      <c r="BX17">
        <f xml:space="preserve">  MAX( _xlfn.SINGLE(Simple.MaxY), - _xlfn.SINGLE(Simple.MinY ))   /   MAX( _xlfn.SINGLE(Simple.MaxX), - _xlfn.SINGLE(Simple.MinX ))</f>
        <v>0.8</v>
      </c>
      <c r="BZ17">
        <f xml:space="preserve">  MAX( _xlfn.SINGLE(Simple.MaxY), - _xlfn.SINGLE(Simple.MinY ))   /   MAX( _xlfn.SINGLE(Simple.MaxX), - _xlfn.SINGLE(Simple.MinX ))</f>
        <v>1</v>
      </c>
      <c r="CB17">
        <f xml:space="preserve">  MAX( _xlfn.SINGLE(Simple.MaxY), - _xlfn.SINGLE(Simple.MinY ))   /   MAX( _xlfn.SINGLE(Simple.MaxX), - _xlfn.SINGLE(Simple.MinX ))</f>
        <v>0.5</v>
      </c>
      <c r="CD17">
        <f xml:space="preserve">  MAX( _xlfn.SINGLE(Simple.MaxY), - _xlfn.SINGLE(Simple.MinY ))   /   MAX( _xlfn.SINGLE(Simple.MaxX), - _xlfn.SINGLE(Simple.MinX ))</f>
        <v>1.5</v>
      </c>
      <c r="CF17">
        <f t="shared" ref="CF17:CS17" si="7" xml:space="preserve">  MAX( _xlfn.SINGLE(Simple.MaxY), - _xlfn.SINGLE(Simple.MinY ))   /   MAX( _xlfn.SINGLE(Simple.MaxX), - _xlfn.SINGLE(Simple.MinX ))</f>
        <v>1</v>
      </c>
      <c r="CG17">
        <f t="shared" si="7"/>
        <v>1</v>
      </c>
      <c r="CH17">
        <f t="shared" si="7"/>
        <v>1</v>
      </c>
      <c r="CI17">
        <f t="shared" si="7"/>
        <v>1</v>
      </c>
      <c r="CJ17">
        <f t="shared" si="7"/>
        <v>1</v>
      </c>
      <c r="CK17">
        <f t="shared" si="7"/>
        <v>1</v>
      </c>
      <c r="CL17">
        <f t="shared" si="7"/>
        <v>1</v>
      </c>
      <c r="CM17">
        <f t="shared" si="7"/>
        <v>1</v>
      </c>
      <c r="CN17">
        <f t="shared" si="7"/>
        <v>1</v>
      </c>
      <c r="CO17">
        <f t="shared" si="7"/>
        <v>1</v>
      </c>
      <c r="CP17">
        <f t="shared" si="7"/>
        <v>1</v>
      </c>
      <c r="CQ17">
        <f t="shared" si="7"/>
        <v>1</v>
      </c>
      <c r="CR17">
        <f t="shared" si="7"/>
        <v>1</v>
      </c>
      <c r="CS17">
        <f t="shared" si="7"/>
        <v>1</v>
      </c>
    </row>
    <row r="18" spans="2:99">
      <c r="B18" s="4" t="s">
        <v>368</v>
      </c>
      <c r="D18">
        <f xml:space="preserve"> VALUE(TEXT(SQRT(_xlfn.SINGLE(Simple.AreaMultiplier) * BasicBBoxArea * _xlfn.SINGLE(Simple.Aspect)), SVG.NumberFormatHeight))</f>
        <v>10</v>
      </c>
      <c r="F18">
        <f xml:space="preserve"> VALUE(TEXT(SQRT(_xlfn.SINGLE(Simple.AreaMultiplier) * BasicBBoxArea * _xlfn.SINGLE(Simple.Aspect)), SVG.NumberFormatHeight))</f>
        <v>10</v>
      </c>
      <c r="H18">
        <f xml:space="preserve"> VALUE(TEXT(SQRT(_xlfn.SINGLE(Simple.AreaMultiplier) * BasicBBoxArea * _xlfn.SINGLE(Simple.Aspect)), SVG.NumberFormatHeight))</f>
        <v>10</v>
      </c>
      <c r="J18">
        <f xml:space="preserve"> VALUE(TEXT(SQRT(_xlfn.SINGLE(Simple.AreaMultiplier) * BasicBBoxArea * _xlfn.SINGLE(Simple.Aspect)), SVG.NumberFormatHeight))</f>
        <v>11.2</v>
      </c>
      <c r="L18">
        <f xml:space="preserve"> VALUE(TEXT(SQRT(_xlfn.SINGLE(Simple.AreaMultiplier) * BasicBBoxArea * _xlfn.SINGLE(Simple.Aspect)), SVG.NumberFormatHeight))</f>
        <v>11.2</v>
      </c>
      <c r="N18">
        <f xml:space="preserve"> VALUE(TEXT(SQRT(_xlfn.SINGLE(Simple.AreaMultiplier) * BasicBBoxArea * _xlfn.SINGLE(Simple.Aspect)), SVG.NumberFormatHeight))</f>
        <v>11.3</v>
      </c>
      <c r="P18">
        <f xml:space="preserve"> VALUE(TEXT(SQRT(_xlfn.SINGLE(Simple.AreaMultiplier) * BasicBBoxArea * _xlfn.SINGLE(Simple.Aspect)), SVG.NumberFormatHeight))</f>
        <v>14.7</v>
      </c>
      <c r="R18">
        <f xml:space="preserve"> VALUE(TEXT(SQRT(_xlfn.SINGLE(Simple.AreaMultiplier) * BasicBBoxArea * _xlfn.SINGLE(Simple.Aspect)), SVG.NumberFormatHeight))</f>
        <v>8.4</v>
      </c>
      <c r="T18">
        <f xml:space="preserve"> VALUE(TEXT(SQRT(_xlfn.SINGLE(Simple.AreaMultiplier) * BasicBBoxArea * _xlfn.SINGLE(Simple.Aspect)), SVG.NumberFormatHeight))</f>
        <v>8.6999999999999993</v>
      </c>
      <c r="V18">
        <f xml:space="preserve"> VALUE(TEXT(SQRT(_xlfn.SINGLE(Simple.AreaMultiplier) * BasicBBoxArea * _xlfn.SINGLE(Simple.Aspect)), SVG.NumberFormatHeight))</f>
        <v>7.8</v>
      </c>
      <c r="X18">
        <f xml:space="preserve"> VALUE(TEXT(SQRT(_xlfn.SINGLE(Simple.AreaMultiplier) * BasicBBoxArea * _xlfn.SINGLE(Simple.Aspect)), SVG.NumberFormatHeight))</f>
        <v>8</v>
      </c>
      <c r="Z18">
        <f xml:space="preserve"> VALUE(TEXT(SQRT(_xlfn.SINGLE(Simple.AreaMultiplier) * BasicBBoxArea * _xlfn.SINGLE(Simple.Aspect)), SVG.NumberFormatHeight))</f>
        <v>12</v>
      </c>
      <c r="AB18">
        <f xml:space="preserve"> VALUE(TEXT(SQRT(_xlfn.SINGLE(Simple.AreaMultiplier) * BasicBBoxArea * _xlfn.SINGLE(Simple.Aspect)), SVG.NumberFormatHeight))</f>
        <v>10</v>
      </c>
      <c r="AD18">
        <f xml:space="preserve"> VALUE(TEXT(SQRT(_xlfn.SINGLE(Simple.AreaMultiplier) * BasicBBoxArea * _xlfn.SINGLE(Simple.Aspect)), SVG.NumberFormatHeight))</f>
        <v>9.4</v>
      </c>
      <c r="AF18">
        <f xml:space="preserve"> VALUE(TEXT(SQRT(_xlfn.SINGLE(Simple.AreaMultiplier) * BasicBBoxArea * _xlfn.SINGLE(Simple.Aspect)), SVG.NumberFormatHeight))</f>
        <v>8.9</v>
      </c>
      <c r="AH18">
        <f xml:space="preserve"> VALUE(TEXT(SQRT(_xlfn.SINGLE(Simple.AreaMultiplier) * BasicBBoxArea * _xlfn.SINGLE(Simple.Aspect)), SVG.NumberFormatHeight))</f>
        <v>9.1999999999999993</v>
      </c>
      <c r="AJ18">
        <f xml:space="preserve"> VALUE(TEXT(SQRT(_xlfn.SINGLE(Simple.AreaMultiplier) * BasicBBoxArea * _xlfn.SINGLE(Simple.Aspect)), SVG.NumberFormatHeight))</f>
        <v>9.1999999999999993</v>
      </c>
      <c r="AL18">
        <f xml:space="preserve"> VALUE(TEXT(SQRT(_xlfn.SINGLE(Simple.AreaMultiplier) * BasicBBoxArea * _xlfn.SINGLE(Simple.Aspect)), SVG.NumberFormatHeight))</f>
        <v>9.1999999999999993</v>
      </c>
      <c r="AN18">
        <f xml:space="preserve"> VALUE(TEXT(SQRT(_xlfn.SINGLE(Simple.AreaMultiplier) * BasicBBoxArea * _xlfn.SINGLE(Simple.Aspect)), SVG.NumberFormatHeight))</f>
        <v>9.1999999999999993</v>
      </c>
      <c r="AP18">
        <f xml:space="preserve"> VALUE(TEXT(SQRT(_xlfn.SINGLE(Simple.AreaMultiplier) * BasicBBoxArea * _xlfn.SINGLE(Simple.Aspect)), SVG.NumberFormatHeight))</f>
        <v>14.1</v>
      </c>
      <c r="AR18">
        <f xml:space="preserve"> VALUE(TEXT(SQRT(_xlfn.SINGLE(Simple.AreaMultiplier) * BasicBBoxArea * _xlfn.SINGLE(Simple.Aspect)), SVG.NumberFormatHeight))</f>
        <v>9.1999999999999993</v>
      </c>
      <c r="AT18">
        <f xml:space="preserve"> VALUE(TEXT(SQRT(_xlfn.SINGLE(Simple.AreaMultiplier) * BasicBBoxArea * _xlfn.SINGLE(Simple.Aspect)), SVG.NumberFormatHeight))</f>
        <v>9.1999999999999993</v>
      </c>
      <c r="AV18">
        <f xml:space="preserve"> VALUE(TEXT(SQRT(_xlfn.SINGLE(Simple.AreaMultiplier) * BasicBBoxArea * _xlfn.SINGLE(Simple.Aspect)), SVG.NumberFormatHeight))</f>
        <v>8.5</v>
      </c>
      <c r="AX18">
        <f xml:space="preserve"> VALUE(TEXT(SQRT(_xlfn.SINGLE(Simple.AreaMultiplier) * BasicBBoxArea * _xlfn.SINGLE(Simple.Aspect)), SVG.NumberFormatHeight))</f>
        <v>8.5</v>
      </c>
      <c r="AZ18">
        <f xml:space="preserve"> VALUE(TEXT(SQRT(_xlfn.SINGLE(Simple.AreaMultiplier) * BasicBBoxArea * _xlfn.SINGLE(Simple.Aspect)), SVG.NumberFormatHeight))</f>
        <v>7.6</v>
      </c>
      <c r="BB18">
        <f xml:space="preserve"> VALUE(TEXT(SQRT(_xlfn.SINGLE(Simple.AreaMultiplier) * BasicBBoxArea * _xlfn.SINGLE(Simple.Aspect)), SVG.NumberFormatHeight))</f>
        <v>7.6</v>
      </c>
      <c r="BD18">
        <f xml:space="preserve"> VALUE(TEXT(SQRT(_xlfn.SINGLE(Simple.AreaMultiplier) * BasicBBoxArea * _xlfn.SINGLE(Simple.Aspect)), SVG.NumberFormatHeight))</f>
        <v>8.3000000000000007</v>
      </c>
      <c r="BF18">
        <f xml:space="preserve"> VALUE(TEXT(SQRT(_xlfn.SINGLE(Simple.AreaMultiplier) * BasicBBoxArea * _xlfn.SINGLE(Simple.Aspect)), SVG.NumberFormatHeight))</f>
        <v>9.1999999999999993</v>
      </c>
      <c r="BH18">
        <f xml:space="preserve"> VALUE(TEXT(SQRT(_xlfn.SINGLE(Simple.AreaMultiplier) * BasicBBoxArea * _xlfn.SINGLE(Simple.Aspect)), SVG.NumberFormatHeight))</f>
        <v>9.6</v>
      </c>
      <c r="BJ18">
        <f xml:space="preserve"> VALUE(TEXT(SQRT(_xlfn.SINGLE(Simple.AreaMultiplier) * BasicBBoxArea * _xlfn.SINGLE(Simple.Aspect)), SVG.NumberFormatHeight))</f>
        <v>10.199999999999999</v>
      </c>
      <c r="BL18">
        <f xml:space="preserve"> VALUE(TEXT(SQRT(_xlfn.SINGLE(Simple.AreaMultiplier) * BasicBBoxArea * _xlfn.SINGLE(Simple.Aspect)), SVG.NumberFormatHeight))</f>
        <v>9.1999999999999993</v>
      </c>
      <c r="BN18">
        <f xml:space="preserve"> VALUE(TEXT(SQRT(_xlfn.SINGLE(Simple.AreaMultiplier) * BasicBBoxArea * _xlfn.SINGLE(Simple.Aspect)), SVG.NumberFormatHeight))</f>
        <v>9.1999999999999993</v>
      </c>
      <c r="BP18">
        <f xml:space="preserve"> VALUE(TEXT(SQRT(_xlfn.SINGLE(Simple.AreaMultiplier) * BasicBBoxArea * _xlfn.SINGLE(Simple.Aspect)), SVG.NumberFormatHeight))</f>
        <v>13.5</v>
      </c>
      <c r="BR18">
        <f xml:space="preserve"> VALUE(TEXT(SQRT(_xlfn.SINGLE(Simple.AreaMultiplier) * BasicBBoxArea * _xlfn.SINGLE(Simple.Aspect)), SVG.NumberFormatHeight))</f>
        <v>9.1999999999999993</v>
      </c>
      <c r="BT18">
        <f xml:space="preserve"> VALUE(TEXT(SQRT(_xlfn.SINGLE(Simple.AreaMultiplier) * BasicBBoxArea * _xlfn.SINGLE(Simple.Aspect)), SVG.NumberFormatHeight))</f>
        <v>9.1999999999999993</v>
      </c>
      <c r="BV18">
        <f xml:space="preserve"> VALUE(TEXT(SQRT(_xlfn.SINGLE(Simple.AreaMultiplier) * BasicBBoxArea * _xlfn.SINGLE(Simple.Aspect)), SVG.NumberFormatHeight))</f>
        <v>13</v>
      </c>
      <c r="BX18">
        <f xml:space="preserve"> VALUE(TEXT(SQRT(_xlfn.SINGLE(Simple.AreaMultiplier) * BasicBBoxArea * _xlfn.SINGLE(Simple.Aspect)), SVG.NumberFormatHeight))</f>
        <v>8.9</v>
      </c>
      <c r="BZ18">
        <f xml:space="preserve"> VALUE(TEXT(SQRT(_xlfn.SINGLE(Simple.AreaMultiplier) * BasicBBoxArea * _xlfn.SINGLE(Simple.Aspect)), SVG.NumberFormatHeight))</f>
        <v>10</v>
      </c>
      <c r="CB18">
        <f xml:space="preserve"> VALUE(TEXT(SQRT(_xlfn.SINGLE(Simple.AreaMultiplier) * BasicBBoxArea * _xlfn.SINGLE(Simple.Aspect)), SVG.NumberFormatHeight))</f>
        <v>7.1</v>
      </c>
      <c r="CD18">
        <f xml:space="preserve"> VALUE(TEXT(SQRT(_xlfn.SINGLE(Simple.AreaMultiplier) * BasicBBoxArea * _xlfn.SINGLE(Simple.Aspect)), SVG.NumberFormatHeight))</f>
        <v>12.2</v>
      </c>
      <c r="CF18">
        <f t="shared" ref="CF18:CS18" si="8" xml:space="preserve"> VALUE(TEXT(SQRT(_xlfn.SINGLE(Simple.AreaMultiplier) * BasicBBoxArea * _xlfn.SINGLE(Simple.Aspect)), SVG.NumberFormatHeight))</f>
        <v>10</v>
      </c>
      <c r="CG18">
        <f t="shared" si="8"/>
        <v>10</v>
      </c>
      <c r="CH18">
        <f t="shared" si="8"/>
        <v>10</v>
      </c>
      <c r="CI18">
        <f t="shared" si="8"/>
        <v>10</v>
      </c>
      <c r="CJ18">
        <f t="shared" si="8"/>
        <v>10</v>
      </c>
      <c r="CK18">
        <f t="shared" si="8"/>
        <v>10</v>
      </c>
      <c r="CL18">
        <f t="shared" si="8"/>
        <v>10</v>
      </c>
      <c r="CM18">
        <f t="shared" si="8"/>
        <v>10</v>
      </c>
      <c r="CN18">
        <f t="shared" si="8"/>
        <v>10</v>
      </c>
      <c r="CO18">
        <f t="shared" si="8"/>
        <v>10</v>
      </c>
      <c r="CP18">
        <f t="shared" si="8"/>
        <v>10</v>
      </c>
      <c r="CQ18">
        <f t="shared" si="8"/>
        <v>10</v>
      </c>
      <c r="CR18">
        <f t="shared" si="8"/>
        <v>10</v>
      </c>
      <c r="CS18">
        <f t="shared" si="8"/>
        <v>10</v>
      </c>
    </row>
    <row r="19" spans="2:99">
      <c r="B19" s="4" t="s">
        <v>369</v>
      </c>
      <c r="D19">
        <f xml:space="preserve"> _xlfn.SINGLE(Simple.Height) / _xlfn.SINGLE(Simple.Aspect)</f>
        <v>10</v>
      </c>
      <c r="F19">
        <f xml:space="preserve"> _xlfn.SINGLE(Simple.Height) / _xlfn.SINGLE(Simple.Aspect)</f>
        <v>10</v>
      </c>
      <c r="H19">
        <f xml:space="preserve"> _xlfn.SINGLE(Simple.Height) / _xlfn.SINGLE(Simple.Aspect)</f>
        <v>10</v>
      </c>
      <c r="J19">
        <f xml:space="preserve"> _xlfn.SINGLE(Simple.Height) / _xlfn.SINGLE(Simple.Aspect)</f>
        <v>11.2</v>
      </c>
      <c r="L19">
        <f xml:space="preserve"> _xlfn.SINGLE(Simple.Height) / _xlfn.SINGLE(Simple.Aspect)</f>
        <v>11.2</v>
      </c>
      <c r="N19">
        <f xml:space="preserve"> _xlfn.SINGLE(Simple.Height) / _xlfn.SINGLE(Simple.Aspect)</f>
        <v>8.8785714285714299</v>
      </c>
      <c r="P19">
        <f xml:space="preserve"> _xlfn.SINGLE(Simple.Height) / _xlfn.SINGLE(Simple.Aspect)</f>
        <v>8.8199999999999985</v>
      </c>
      <c r="R19">
        <f xml:space="preserve"> _xlfn.SINGLE(Simple.Height) / _xlfn.SINGLE(Simple.Aspect)</f>
        <v>10.08</v>
      </c>
      <c r="T19">
        <f xml:space="preserve"> _xlfn.SINGLE(Simple.Height) / _xlfn.SINGLE(Simple.Aspect)</f>
        <v>9.86</v>
      </c>
      <c r="V19">
        <f xml:space="preserve"> _xlfn.SINGLE(Simple.Height) / _xlfn.SINGLE(Simple.Aspect)</f>
        <v>10.92</v>
      </c>
      <c r="X19">
        <f xml:space="preserve"> _xlfn.SINGLE(Simple.Height) / _xlfn.SINGLE(Simple.Aspect)</f>
        <v>10.666666666666666</v>
      </c>
      <c r="Z19">
        <f xml:space="preserve"> _xlfn.SINGLE(Simple.Height) / _xlfn.SINGLE(Simple.Aspect)</f>
        <v>10.050000000000001</v>
      </c>
      <c r="AB19">
        <f xml:space="preserve"> _xlfn.SINGLE(Simple.Height) / _xlfn.SINGLE(Simple.Aspect)</f>
        <v>10</v>
      </c>
      <c r="AD19">
        <f xml:space="preserve"> _xlfn.SINGLE(Simple.Height) / _xlfn.SINGLE(Simple.Aspect)</f>
        <v>14.720754716981133</v>
      </c>
      <c r="AF19">
        <f xml:space="preserve"> _xlfn.SINGLE(Simple.Height) / _xlfn.SINGLE(Simple.Aspect)</f>
        <v>15.416071428571431</v>
      </c>
      <c r="AH19">
        <f xml:space="preserve"> _xlfn.SINGLE(Simple.Height) / _xlfn.SINGLE(Simple.Aspect)</f>
        <v>9.1999999999999993</v>
      </c>
      <c r="AJ19">
        <f xml:space="preserve"> _xlfn.SINGLE(Simple.Height) / _xlfn.SINGLE(Simple.Aspect)</f>
        <v>9.1999999999999993</v>
      </c>
      <c r="AL19">
        <f xml:space="preserve"> _xlfn.SINGLE(Simple.Height) / _xlfn.SINGLE(Simple.Aspect)</f>
        <v>9.1999999999999993</v>
      </c>
      <c r="AN19">
        <f xml:space="preserve"> _xlfn.SINGLE(Simple.Height) / _xlfn.SINGLE(Simple.Aspect)</f>
        <v>9.1999999999999993</v>
      </c>
      <c r="AP19">
        <f xml:space="preserve"> _xlfn.SINGLE(Simple.Height) / _xlfn.SINGLE(Simple.Aspect)</f>
        <v>7.05</v>
      </c>
      <c r="AR19">
        <f xml:space="preserve"> _xlfn.SINGLE(Simple.Height) / _xlfn.SINGLE(Simple.Aspect)</f>
        <v>9.1999999999999993</v>
      </c>
      <c r="AT19">
        <f xml:space="preserve"> _xlfn.SINGLE(Simple.Height) / _xlfn.SINGLE(Simple.Aspect)</f>
        <v>9.1999999999999993</v>
      </c>
      <c r="AV19">
        <f xml:space="preserve"> _xlfn.SINGLE(Simple.Height) / _xlfn.SINGLE(Simple.Aspect)</f>
        <v>11.6875</v>
      </c>
      <c r="AX19">
        <f xml:space="preserve"> _xlfn.SINGLE(Simple.Height) / _xlfn.SINGLE(Simple.Aspect)</f>
        <v>11.6875</v>
      </c>
      <c r="AZ19">
        <f xml:space="preserve"> _xlfn.SINGLE(Simple.Height) / _xlfn.SINGLE(Simple.Aspect)</f>
        <v>11.4</v>
      </c>
      <c r="BB19">
        <f xml:space="preserve"> _xlfn.SINGLE(Simple.Height) / _xlfn.SINGLE(Simple.Aspect)</f>
        <v>11.4</v>
      </c>
      <c r="BD19">
        <f xml:space="preserve"> _xlfn.SINGLE(Simple.Height) / _xlfn.SINGLE(Simple.Aspect)</f>
        <v>16.600000000000001</v>
      </c>
      <c r="BF19">
        <f xml:space="preserve"> _xlfn.SINGLE(Simple.Height) / _xlfn.SINGLE(Simple.Aspect)</f>
        <v>9.1999999999999993</v>
      </c>
      <c r="BH19">
        <f xml:space="preserve"> _xlfn.SINGLE(Simple.Height) / _xlfn.SINGLE(Simple.Aspect)</f>
        <v>14.4</v>
      </c>
      <c r="BJ19">
        <f xml:space="preserve"> _xlfn.SINGLE(Simple.Height) / _xlfn.SINGLE(Simple.Aspect)</f>
        <v>13.6</v>
      </c>
      <c r="BL19">
        <f xml:space="preserve"> _xlfn.SINGLE(Simple.Height) / _xlfn.SINGLE(Simple.Aspect)</f>
        <v>9.1999999999999993</v>
      </c>
      <c r="BN19">
        <f xml:space="preserve"> _xlfn.SINGLE(Simple.Height) / _xlfn.SINGLE(Simple.Aspect)</f>
        <v>9.1999999999999993</v>
      </c>
      <c r="BP19">
        <f xml:space="preserve"> _xlfn.SINGLE(Simple.Height) / _xlfn.SINGLE(Simple.Aspect)</f>
        <v>10.205741626794259</v>
      </c>
      <c r="BR19">
        <f xml:space="preserve"> _xlfn.SINGLE(Simple.Height) / _xlfn.SINGLE(Simple.Aspect)</f>
        <v>9.1999999999999993</v>
      </c>
      <c r="BT19">
        <f xml:space="preserve"> _xlfn.SINGLE(Simple.Height) / _xlfn.SINGLE(Simple.Aspect)</f>
        <v>9.1999999999999993</v>
      </c>
      <c r="BV19">
        <f xml:space="preserve"> _xlfn.SINGLE(Simple.Height) / _xlfn.SINGLE(Simple.Aspect)</f>
        <v>6.5822784810126578</v>
      </c>
      <c r="BX19">
        <f xml:space="preserve"> _xlfn.SINGLE(Simple.Height) / _xlfn.SINGLE(Simple.Aspect)</f>
        <v>11.125</v>
      </c>
      <c r="BZ19">
        <f xml:space="preserve"> _xlfn.SINGLE(Simple.Height) / _xlfn.SINGLE(Simple.Aspect)</f>
        <v>10</v>
      </c>
      <c r="CB19">
        <f xml:space="preserve"> _xlfn.SINGLE(Simple.Height) / _xlfn.SINGLE(Simple.Aspect)</f>
        <v>14.2</v>
      </c>
      <c r="CD19">
        <f xml:space="preserve"> _xlfn.SINGLE(Simple.Height) / _xlfn.SINGLE(Simple.Aspect)</f>
        <v>8.1333333333333329</v>
      </c>
      <c r="CF19">
        <f t="shared" ref="CF19:CS19" si="9" xml:space="preserve"> _xlfn.SINGLE(Simple.Height) / _xlfn.SINGLE(Simple.Aspect)</f>
        <v>10</v>
      </c>
      <c r="CG19">
        <f t="shared" si="9"/>
        <v>10</v>
      </c>
      <c r="CH19">
        <f t="shared" si="9"/>
        <v>10</v>
      </c>
      <c r="CI19">
        <f t="shared" si="9"/>
        <v>10</v>
      </c>
      <c r="CJ19">
        <f t="shared" si="9"/>
        <v>10</v>
      </c>
      <c r="CK19">
        <f t="shared" si="9"/>
        <v>10</v>
      </c>
      <c r="CL19">
        <f t="shared" si="9"/>
        <v>10</v>
      </c>
      <c r="CM19">
        <f t="shared" si="9"/>
        <v>10</v>
      </c>
      <c r="CN19">
        <f t="shared" si="9"/>
        <v>10</v>
      </c>
      <c r="CO19">
        <f t="shared" si="9"/>
        <v>10</v>
      </c>
      <c r="CP19">
        <f t="shared" si="9"/>
        <v>10</v>
      </c>
      <c r="CQ19">
        <f t="shared" si="9"/>
        <v>10</v>
      </c>
      <c r="CR19">
        <f t="shared" si="9"/>
        <v>10</v>
      </c>
      <c r="CS19">
        <f t="shared" si="9"/>
        <v>10</v>
      </c>
    </row>
    <row r="22" spans="2:99">
      <c r="D22" cm="1">
        <f t="array" ref="D22" xml:space="preserve"> SVG_length(D$24:D$29)</f>
        <v>200</v>
      </c>
      <c r="F22" cm="1">
        <f t="array" ref="F22" xml:space="preserve"> SVG_length(F$24:F$29)</f>
        <v>200</v>
      </c>
      <c r="H22" cm="1">
        <f t="array" ref="H22" xml:space="preserve"> SVG_length(H$24:H$29)</f>
        <v>215</v>
      </c>
      <c r="J22" cm="1">
        <f t="array" ref="J22" xml:space="preserve"> SVG_length(J$24:J$29)</f>
        <v>228</v>
      </c>
      <c r="L22" cm="1">
        <f t="array" ref="L22" xml:space="preserve"> SVG_length(L$24:L$29)</f>
        <v>231</v>
      </c>
      <c r="N22" cm="1">
        <f t="array" ref="N22" xml:space="preserve"> SVG_length(N$24:N$29)</f>
        <v>216</v>
      </c>
      <c r="P22" cm="1">
        <f t="array" ref="P22" xml:space="preserve"> SVG_length(P$24:P$29)</f>
        <v>399</v>
      </c>
      <c r="R22" cm="1">
        <f t="array" ref="R22" xml:space="preserve"> SVG_length(R$24:R$29)</f>
        <v>202</v>
      </c>
      <c r="T22" cm="1">
        <f t="array" ref="T22" xml:space="preserve"> SVG_length(T$24:T$29)</f>
        <v>214</v>
      </c>
      <c r="V22" cm="1">
        <f t="array" ref="V22" xml:space="preserve"> SVG_length(V$24:V$29)</f>
        <v>172</v>
      </c>
      <c r="X22" cm="1">
        <f t="array" ref="X22" xml:space="preserve"> SVG_length(X$24:X$29)</f>
        <v>226</v>
      </c>
      <c r="Z22" cm="1">
        <f t="array" ref="Z22" xml:space="preserve"> SVG_length(Z$24:Z$29)</f>
        <v>325</v>
      </c>
      <c r="AB22" cm="1">
        <f t="array" ref="AB22" xml:space="preserve"> SVG_length(AB$24:AB$29)</f>
        <v>281</v>
      </c>
      <c r="AD22" cm="1">
        <f t="array" ref="AD22" xml:space="preserve"> SVG_length(AD$24:AD$29)</f>
        <v>229</v>
      </c>
      <c r="AF22" cm="1">
        <f t="array" ref="AF22" xml:space="preserve"> SVG_length(AF$24:AF$29)</f>
        <v>311</v>
      </c>
      <c r="AH22" cm="1">
        <f t="array" ref="AH22" xml:space="preserve"> SVG_length(AH$24:AH$29)</f>
        <v>185</v>
      </c>
      <c r="AJ22" cm="1">
        <f t="array" ref="AJ22" xml:space="preserve"> SVG_length(AJ$24:AJ$29)</f>
        <v>196</v>
      </c>
      <c r="AL22" cm="1">
        <f t="array" ref="AL22" xml:space="preserve"> SVG_length(AL$24:AL$29)</f>
        <v>185</v>
      </c>
      <c r="AN22" cm="1">
        <f t="array" ref="AN22" xml:space="preserve"> SVG_length(AN$24:AN$29)</f>
        <v>186</v>
      </c>
      <c r="AP22" cm="1">
        <f t="array" ref="AP22" xml:space="preserve"> SVG_length(AP$24:AP$29)</f>
        <v>433</v>
      </c>
      <c r="AR22" cm="1">
        <f t="array" ref="AR22" xml:space="preserve"> SVG_length(AR$24:AR$29)</f>
        <v>179</v>
      </c>
      <c r="AT22" cm="1">
        <f t="array" ref="AT22" xml:space="preserve"> SVG_length(AT$24:AT$29)</f>
        <v>189</v>
      </c>
      <c r="AV22" cm="1">
        <f t="array" ref="AV22" xml:space="preserve"> SVG_length(AV$24:AV$29)</f>
        <v>210</v>
      </c>
      <c r="AX22" cm="1">
        <f t="array" ref="AX22" xml:space="preserve"> SVG_length(AX$24:AX$29)</f>
        <v>210</v>
      </c>
      <c r="AZ22" cm="1">
        <f t="array" ref="AZ22" xml:space="preserve"> SVG_length(AZ$24:AZ$29)</f>
        <v>186</v>
      </c>
      <c r="BB22" cm="1">
        <f t="array" ref="BB22" xml:space="preserve"> SVG_length(BB$24:BB$29)</f>
        <v>174</v>
      </c>
      <c r="BD22" cm="1">
        <f t="array" ref="BD22" xml:space="preserve"> SVG_length(BD$24:BD$29)</f>
        <v>259</v>
      </c>
      <c r="BF22" cm="1">
        <f t="array" ref="BF22" xml:space="preserve"> SVG_length(BF$24:BF$29)</f>
        <v>215</v>
      </c>
      <c r="BH22" cm="1">
        <f t="array" ref="BH22" xml:space="preserve"> SVG_length(BH$24:BH$29)</f>
        <v>260</v>
      </c>
      <c r="BJ22" cm="1">
        <f t="array" ref="BJ22" xml:space="preserve"> SVG_length(BJ$24:BJ$29)</f>
        <v>310</v>
      </c>
      <c r="BL22" cm="1">
        <f t="array" ref="BL22" xml:space="preserve"> SVG_length(BL$24:BL$29)</f>
        <v>263</v>
      </c>
      <c r="BN22" cm="1">
        <f t="array" ref="BN22" xml:space="preserve"> SVG_length(BN$24:BN$29)</f>
        <v>263</v>
      </c>
      <c r="BP22" cm="1">
        <f t="array" ref="BP22" xml:space="preserve"> SVG_length(BP$24:BP$29)</f>
        <v>291</v>
      </c>
      <c r="BR22" cm="1">
        <f t="array" ref="BR22" xml:space="preserve"> SVG_length(BR$24:BR$29)</f>
        <v>285</v>
      </c>
      <c r="BT22" cm="1">
        <f t="array" ref="BT22" xml:space="preserve"> SVG_length(BT$24:BT$29)</f>
        <v>196</v>
      </c>
      <c r="BV22" cm="1">
        <f t="array" ref="BV22" xml:space="preserve"> SVG_length(BV$24:BV$29)</f>
        <v>255</v>
      </c>
      <c r="BX22" cm="1">
        <f t="array" ref="BX22" xml:space="preserve"> SVG_length(BX$24:BX$29)</f>
        <v>375</v>
      </c>
      <c r="BZ22" cm="1">
        <f t="array" ref="BZ22" xml:space="preserve"> SVG_length(BZ$24:BZ$29)</f>
        <v>236</v>
      </c>
      <c r="CB22" cm="1">
        <f t="array" ref="CB22" xml:space="preserve"> SVG_length(CB$24:CB$29)</f>
        <v>238</v>
      </c>
      <c r="CD22" cm="1">
        <f t="array" ref="CD22" xml:space="preserve"> SVG_length(CD$24:CD$29)</f>
        <v>266</v>
      </c>
    </row>
    <row r="23" spans="2:99">
      <c r="B23" s="4" t="s">
        <v>370</v>
      </c>
    </row>
    <row r="24" spans="2:99">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width='8.87857' height='11.3' viewBox='-11 -14 22 28'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width='8.82' height='14.7' viewBox='-27 -45 54 90'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width='10.08' height='8.4' viewBox='-6 -5 12 10'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width='9.86' height='8.7' viewBox='-17 -15 34 30'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width='10.92' height='7.8' viewBox='-7 -5 14 10'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width='10.66667' height='8' viewBox='-4 -3 8 6'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width='10.05' height='12' viewBox='-67 -80 134 160'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viewBox='-8 -8 16 16'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width='14.72075' height='9.4' viewBox='-830 -530 1660 1060'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width='15.41607' height='8.9' viewBox='-97 -56 194 112'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viewBox='-6 -6 12 12'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viewBox='-1 -1 2 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width='7.05' height='14.1' viewBox='-216 -432 432 864'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width='16.6' height='8.3' viewBox='-54 -27 108 54'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viewBox='-3 -3 6 6'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width='14.4' height='9.6' viewBox='-81 -54 162 108'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width='13.6' height='10.2' viewBox='-360 -270 720 540'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width='10.20574' height='13.5' viewBox='-158 -209 316 418'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width='6.58228' height='13' viewBox='-20 -39.5 40 79'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width='11.125' height='8.9' viewBox='-40 -32 80 64'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width='14.2' height='7.1' viewBox='-2 -1 4 2'  id='%thisID%' xmlns='http://www.w3.org/2000/svg'&gt;</v>
      </c>
      <c r="CC24" s="7" t="str">
        <f xml:space="preserve"> ""</f>
        <v/>
      </c>
      <c r="C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width='8.13333' height='12.2' viewBox='-10 -15 20 30'  id='%thisID%' xmlns='http://www.w3.org/2000/svg'&gt;</v>
      </c>
      <c r="CE24" s="7" t="str">
        <f t="shared" ref="CE24:CE29" si="10" xml:space="preserve"> ""</f>
        <v/>
      </c>
      <c r="CF24" s="16" t="str">
        <f t="shared" ref="CF24:CS24" si="11"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CG24" s="16" t="str">
        <f t="shared" si="11"/>
        <v>&lt;svg width='10' height='10' viewBox='-4 -4 8 8'  id='%thisID%' xmlns='http://www.w3.org/2000/svg'&gt;</v>
      </c>
      <c r="CH24" s="16" t="str">
        <f t="shared" si="11"/>
        <v>&lt;svg width='10' height='10' viewBox='-4 -4 8 8'  id='%thisID%' xmlns='http://www.w3.org/2000/svg'&gt;</v>
      </c>
      <c r="CI24" s="16" t="str">
        <f t="shared" si="11"/>
        <v>&lt;svg width='10' height='10' viewBox='-4 -4 8 8'  id='%thisID%' xmlns='http://www.w3.org/2000/svg'&gt;</v>
      </c>
      <c r="CJ24" s="16" t="str">
        <f t="shared" si="11"/>
        <v>&lt;svg width='10' height='10' viewBox='-4 -4 8 8'  id='%thisID%' xmlns='http://www.w3.org/2000/svg'&gt;</v>
      </c>
      <c r="CK24" s="16" t="str">
        <f t="shared" si="11"/>
        <v>&lt;svg width='10' height='10' viewBox='-4 -4 8 8'  id='%thisID%' xmlns='http://www.w3.org/2000/svg'&gt;</v>
      </c>
      <c r="CL24" s="16" t="str">
        <f t="shared" si="11"/>
        <v>&lt;svg width='10' height='10' viewBox='-4 -4 8 8'  id='%thisID%' xmlns='http://www.w3.org/2000/svg'&gt;</v>
      </c>
      <c r="CM24" s="16" t="str">
        <f t="shared" si="11"/>
        <v>&lt;svg width='10' height='10' viewBox='-4 -4 8 8'  id='%thisID%' xmlns='http://www.w3.org/2000/svg'&gt;</v>
      </c>
      <c r="CN24" s="16" t="str">
        <f t="shared" si="11"/>
        <v>&lt;svg width='10' height='10' viewBox='-4 -4 8 8'  id='%thisID%' xmlns='http://www.w3.org/2000/svg'&gt;</v>
      </c>
      <c r="CO24" s="16" t="str">
        <f t="shared" si="11"/>
        <v>&lt;svg width='10' height='10' viewBox='-4 -4 8 8'  id='%thisID%' xmlns='http://www.w3.org/2000/svg'&gt;</v>
      </c>
      <c r="CP24" s="16" t="str">
        <f t="shared" si="11"/>
        <v>&lt;svg width='10' height='10' viewBox='-4 -4 8 8'  id='%thisID%' xmlns='http://www.w3.org/2000/svg'&gt;</v>
      </c>
      <c r="CQ24" s="16" t="str">
        <f t="shared" si="11"/>
        <v>&lt;svg width='10' height='10' viewBox='-4 -4 8 8'  id='%thisID%' xmlns='http://www.w3.org/2000/svg'&gt;</v>
      </c>
      <c r="CR24" s="16" t="str">
        <f t="shared" si="11"/>
        <v>&lt;svg width='10' height='10' viewBox='-4 -4 8 8'  id='%thisID%' xmlns='http://www.w3.org/2000/svg'&gt;</v>
      </c>
      <c r="CS24" s="16" t="str">
        <f t="shared" si="11"/>
        <v>&lt;svg width='10' height='10' viewBox='-4 -4 8 8'  id='%thisID%' xmlns='http://www.w3.org/2000/svg'&gt;</v>
      </c>
      <c r="CT24" s="7" t="str">
        <f t="shared" ref="CT24:CT29" si="12" xml:space="preserve"> ""</f>
        <v/>
      </c>
      <c r="CU24" s="8" t="str">
        <f xml:space="preserve"> ""</f>
        <v/>
      </c>
    </row>
    <row r="25" spans="2:99">
      <c r="C25" t="str">
        <f t="shared" ref="C25:CU29" si="13" xml:space="preserve"> ""</f>
        <v/>
      </c>
      <c r="D25" s="21" t="str">
        <f xml:space="preserve"> IF(_xlfn.SINGLE(Simple.MaxX)&lt;&gt;0, "&lt;circle " &amp; _xlfn.SINGLE(Simple.SVG_painting_2) &amp; " r='" &amp; ROUND(_xlfn.SINGLE(Simple.MaxY), DecimalPlaces) &amp; "'/&gt;", "")</f>
        <v>&lt;circle  fill='#FF33FF'  r='10'/&gt;</v>
      </c>
      <c r="E25" t="str">
        <f t="shared" si="13"/>
        <v/>
      </c>
      <c r="F25" s="21" t="str">
        <f xml:space="preserve"> IF(_xlfn.SINGLE(Simple.MaxX)&lt;&gt;0, "&lt;circle " &amp; _xlfn.SINGLE(Simple.SVG_painting_2) &amp; " r='" &amp; ROUND(_xlfn.SINGLE(Simple.MaxY), DecimalPlaces) &amp; "'/&gt;", "")</f>
        <v>&lt;circle  fill='#039'  r='10'/&gt;</v>
      </c>
      <c r="G25" t="str">
        <f t="shared" si="13"/>
        <v/>
      </c>
      <c r="H25" s="21" t="str">
        <f xml:space="preserve"> IF(_xlfn.SINGLE(Simple.MaxX)&lt;&gt;0, "&lt;circle " &amp; _xlfn.SINGLE(Simple.SVG_painting_2) &amp; " r='" &amp; ROUND(_xlfn.SINGLE(Simple.MaxY), DecimalPlaces) &amp; "'/&gt;", "")</f>
        <v>&lt;circle  fill='#FF33FF' r='10'/&gt;</v>
      </c>
      <c r="I25" t="str">
        <f t="shared" si="13"/>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3"/>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3"/>
        <v/>
      </c>
      <c r="N25" s="5" t="str">
        <f xml:space="preserve"> "&lt;ellipse " &amp; _xlfn.SINGLE(Simple.SVG_painting_1) &amp; " ry='14' rx='11'/&gt;"</f>
        <v>&lt;ellipse fill='#C4272F' ry='14' rx='11'/&gt;</v>
      </c>
      <c r="O25" t="str">
        <f t="shared" si="13"/>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3"/>
        <v/>
      </c>
      <c r="R25" s="21" t="str" cm="1">
        <f t="array" ref="R25" xml:space="preserve"> svgPathRect(DecimalPlaces, _xlfn.SINGLE(Simple.SVG_painting_2), _xlfn.SINGLE(Simple.MaxX), _xlfn.SINGLE(Simple.MaxY))</f>
        <v>&lt;path fill='#009639' d='M6 5V-5H-6V5Z'/&gt;</v>
      </c>
      <c r="S25" t="str">
        <f t="shared" si="13"/>
        <v/>
      </c>
      <c r="T25" s="21" t="str" cm="1">
        <f t="array" ref="T25" xml:space="preserve"> svgPathRect(DecimalPlaces, _xlfn.SINGLE(Simple.SVG_painting_2), _xlfn.SINGLE(Simple.MaxX), _xlfn.SINGLE(Simple.MaxY))</f>
        <v>&lt;path fill='#002590' d='M17 15V-15H-17V15Z'/&gt;</v>
      </c>
      <c r="U25" t="str">
        <f t="shared" si="13"/>
        <v/>
      </c>
      <c r="V25" s="21" t="str" cm="1">
        <f t="array" ref="V25" xml:space="preserve"> svgPathRect(DecimalPlaces, _xlfn.SINGLE(Simple.SVG_painting_2), _xlfn.SINGLE(Simple.MaxX), _xlfn.SINGLE(Simple.MaxY))</f>
        <v>&lt;path fill='#000' d='M7 5V-5H-7V5Z'/&gt;</v>
      </c>
      <c r="W25" t="str">
        <f t="shared" si="13"/>
        <v/>
      </c>
      <c r="X25" s="21" t="str" cm="1">
        <f t="array" ref="X25" xml:space="preserve"> svgPathRect(DecimalPlaces, _xlfn.SINGLE(Simple.SVG_painting_2), _xlfn.SINGLE(Simple.MaxX), _xlfn.SINGLE(Simple.MaxY))</f>
        <v>&lt;path fill='#00843D' d='M4 3V-3H-4V3Z'/&gt;</v>
      </c>
      <c r="Y25" t="str">
        <f t="shared" si="13"/>
        <v/>
      </c>
      <c r="Z25" s="21" t="str">
        <f xml:space="preserve"> "&lt;defs&gt;&lt;path id='" &amp; _xlfn.SINGLE(Simple.ID) &amp; "-m' d='M56 -47L-67 -80 -56 47 67 80Z'/&gt;&lt;/defs&gt;"</f>
        <v>&lt;defs&gt;&lt;path id='IRR-m' d='M56 -47L-67 -80 -56 47 67 80Z'/&gt;&lt;/defs&gt;</v>
      </c>
      <c r="AA25" t="str">
        <f t="shared" si="13"/>
        <v/>
      </c>
      <c r="AB25" s="21" t="str">
        <f xml:space="preserve"> "&lt;circle " &amp; _xlfn.SINGLE(Simple.SVG_painting_2) &amp; " r='7'/&gt;"</f>
        <v>&lt;circle fill='#C8102E'  r='7'/&gt;</v>
      </c>
      <c r="AC25" t="str">
        <f t="shared" si="13"/>
        <v/>
      </c>
      <c r="AD25" s="5" t="str">
        <f xml:space="preserve"> "&lt;path " &amp; _xlfn.SINGLE(Simple.SVG_painting_2) &amp; " d='M" &amp; _xlfn.SINGLE(Simple.MaxX) &amp; " 0L0 " &amp; _xlfn.SINGLE(Simple.MaxY) &amp; "L" &amp; _xlfn.SINGLE(Simple.MinX) &amp; " 0L0 " &amp; _xlfn.SINGLE(Simple.MinY) &amp; "Z'/&gt;"</f>
        <v>&lt;path fill='#009639' d='M830 0L0 530L-830 0L0 -530Z'/&gt;</v>
      </c>
      <c r="AE25" t="str">
        <f t="shared" si="13"/>
        <v/>
      </c>
      <c r="AF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G25" t="str">
        <f t="shared" si="13"/>
        <v/>
      </c>
      <c r="AH25" s="21" t="str" cm="1">
        <f t="array" ref="AH25" xml:space="preserve"> svgPathRect(DecimalPlaces, _xlfn.SINGLE(Simple.SVG_painting_2), _xlfn.SINGLE(Simple.MaxX), _xlfn.SINGLE(Simple.MaxY))</f>
        <v>&lt;path fill='#009639' d='M6 6V-6H-6V6Z'/&gt;</v>
      </c>
      <c r="AI25" t="str">
        <f t="shared" si="13"/>
        <v/>
      </c>
      <c r="AJ25" s="21"/>
      <c r="AK25" t="str">
        <f t="shared" si="13"/>
        <v/>
      </c>
      <c r="AL25" s="21"/>
      <c r="AM25" t="str">
        <f t="shared" si="13"/>
        <v/>
      </c>
      <c r="AN25" s="21"/>
      <c r="AO25" t="str">
        <f t="shared" si="13"/>
        <v/>
      </c>
      <c r="AP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Q25" t="str">
        <f t="shared" si="13"/>
        <v/>
      </c>
      <c r="AR25" s="21"/>
      <c r="AS25" t="str">
        <f t="shared" si="13"/>
        <v/>
      </c>
      <c r="AT25" s="21"/>
      <c r="AU25" t="str">
        <f t="shared" si="13"/>
        <v/>
      </c>
      <c r="AV25" s="21" t="str" cm="1">
        <f t="array" ref="AV25" xml:space="preserve"> svgPathRect(DecimalPlaces, _xlfn.SINGLE(Simple.SVG_painting_2), _xlfn.SINGLE(Simple.MaxX), _xlfn.SINGLE(Simple.MaxY))</f>
        <v>&lt;path fill='black' d='M11 8V-8H-11V8Z'/&gt;</v>
      </c>
      <c r="AW25" t="str">
        <f t="shared" si="13"/>
        <v/>
      </c>
      <c r="AX25" s="21" t="str" cm="1">
        <f t="array" ref="AX25" xml:space="preserve"> svgPathRect(DecimalPlaces, _xlfn.SINGLE(Simple.SVG_painting_2), _xlfn.SINGLE(Simple.MaxX), _xlfn.SINGLE(Simple.MaxY))</f>
        <v>&lt;path fill='black' d='M11 8V-8H-11V8Z'/&gt;</v>
      </c>
      <c r="AY25" t="str">
        <f t="shared" si="13"/>
        <v/>
      </c>
      <c r="AZ25" s="21" t="str" cm="1">
        <f t="array" ref="AZ25" xml:space="preserve"> svgPathRect(DecimalPlaces, _xlfn.SINGLE(Simple.SVG_painting_2), _xlfn.SINGLE(Simple.MaxX), _xlfn.SINGLE(Simple.MaxY))</f>
        <v>&lt;path fill='#C8102E' d='M9 6V-6H-9V6Z'/&gt;</v>
      </c>
      <c r="BA25" t="str">
        <f t="shared" si="13"/>
        <v/>
      </c>
      <c r="BB25" s="21" t="str" cm="1">
        <f t="array" ref="BB25" xml:space="preserve"> svgPathRect(DecimalPlaces, _xlfn.SINGLE(Simple.SVG_painting_2), _xlfn.SINGLE(Simple.MaxX), _xlfn.SINGLE(Simple.MaxY))</f>
        <v>&lt;path fill='#C8102E' d='M9 6V-6H-9V6Z'/&gt;</v>
      </c>
      <c r="BC25" t="str">
        <f t="shared" si="13"/>
        <v/>
      </c>
      <c r="BD25" s="5" t="str">
        <f xml:space="preserve"> "&lt;path " &amp; _xlfn.SINGLE(Simple.SVG_painting_2) &amp; " d='M" &amp; (2*Thirds_O) &amp; " 0L0 " &amp; (Thirds_O) &amp; "L" &amp; (-2*Thirds_O) &amp; " 0L0 " &amp; (-Thirds_O) &amp; "Z'/&gt;"</f>
        <v>&lt;path fill='#EF3340' d='M54 0L0 27L-54 0L0 -27Z'/&gt;</v>
      </c>
      <c r="BE25" t="str">
        <f t="shared" si="13"/>
        <v/>
      </c>
      <c r="BF25" s="5" t="str">
        <f xml:space="preserve"> "&lt;path " &amp; _xlfn.SINGLE(Simple.SVG_painting_2) &amp; " d='M1 3H-1L-3 1V-1L-1 -3H1L3 -1V1Z'/&gt;"</f>
        <v>&lt;path fill='#FFF' d='M1 3H-1L-3 1V-1L-1 -3H1L3 -1V1Z'/&gt;</v>
      </c>
      <c r="BG25" t="str">
        <f t="shared" si="13"/>
        <v/>
      </c>
      <c r="BH25" s="5" t="str">
        <f xml:space="preserve"> "&lt;path " &amp; _xlfn.SINGLE(Simple.SVG_painting_2) &amp; " d='M" &amp; (3*Thirds_O) &amp; " 0L0 " &amp; (2*Thirds_O) &amp; "L" &amp; (-3*Thirds_O) &amp; " 0L0 " &amp; (-2*Thirds_O) &amp; "Z'/&gt;"</f>
        <v>&lt;path fill='#11457E' d='M81 0L0 54L-81 0L0 -54Z'/&gt;</v>
      </c>
      <c r="BI25" t="str">
        <f t="shared" si="13"/>
        <v/>
      </c>
      <c r="BJ25" s="5" t="str">
        <f xml:space="preserve"> _xlfn.LET(_xlpm.f,90,   "&lt;path " &amp; _xlfn.SINGLE(Simple.SVG_painting_3) &amp; " d='M" &amp; (4*_xlpm.f) &amp; " 0L0 " &amp; (3*_xlpm.f) &amp; "L" &amp; (-4*_xlpm.f) &amp; " 0L0 " &amp; (-3*_xlpm.f) &amp; "Z'/&gt;")</f>
        <v>&lt;path fill='#009736' d='M360 0L0 270L-360 0L0 -270Z'/&gt;</v>
      </c>
      <c r="BK25" t="str">
        <f t="shared" si="13"/>
        <v/>
      </c>
      <c r="BL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M25" t="str">
        <f t="shared" si="13"/>
        <v/>
      </c>
      <c r="BN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O25" t="str">
        <f t="shared" si="13"/>
        <v/>
      </c>
      <c r="BP25" s="5" t="str">
        <f xml:space="preserve"> "&lt;path " &amp; _xlfn.SINGLE(Simple.SVG_painting_2) &amp; " d='M0 -187L136 0 0 187 -136 0Z'/&gt;"</f>
        <v>&lt;path fill='#FFF' d='M0 -187L136 0 0 187 -136 0Z'/&gt;</v>
      </c>
      <c r="BQ25" t="str">
        <f t="shared" si="13"/>
        <v/>
      </c>
      <c r="BR25" s="21" t="str" cm="1">
        <f t="array" ref="BR25" xml:space="preserve"> svgPathRect(DecimalPlaces, _xlfn.SINGLE(Simple.SVG_painting_2), _xlfn.SINGLE(Simple.MaxX), _xlfn.SINGLE(Simple.MaxY))</f>
        <v>&lt;path fill='#2BCE75' d='M8 8V-8H-8V8Z'/&gt;</v>
      </c>
      <c r="BS25" t="str">
        <f t="shared" si="13"/>
        <v/>
      </c>
      <c r="BT25" s="21" t="str" cm="1">
        <f t="array" ref="BT25" xml:space="preserve"> svgPathRect(DecimalPlaces, _xlfn.SINGLE(Simple.SVG_painting_2), _xlfn.SINGLE(Simple.MaxX), _xlfn.SINGLE(Simple.MaxY))</f>
        <v>&lt;path fill='#244AA5' d='M5 5V-5H-5V5Z'/&gt;</v>
      </c>
      <c r="BU25" t="str">
        <f t="shared" si="13"/>
        <v/>
      </c>
      <c r="BV25" s="5" t="str">
        <f xml:space="preserve"> "&lt;rect " &amp; _xlfn.SINGLE(Simple.SVG_painting_2) &amp; " x='-20' y='-39.5' width='40' height='79' rx='6'/&gt;"</f>
        <v>&lt;rect fill='#D95B14' x='-20' y='-39.5' width='40' height='79' rx='6'/&gt;</v>
      </c>
      <c r="BW25" t="str">
        <f t="shared" si="13"/>
        <v/>
      </c>
      <c r="BX25" s="21" t="str">
        <f xml:space="preserve"> "&lt;ellipse rx='" &amp; _xlfn.SINGLE(Simple.MaxX) &amp; "' ry='" &amp; _xlfn.SINGLE(Simple.MaxY) &amp; "' " &amp; _xlfn.SINGLE(Simple.SVG_painting_2) &amp; "/&gt;"</f>
        <v>&lt;ellipse rx='40' ry='32' fill='#003399'/&gt;</v>
      </c>
      <c r="BY25" t="str">
        <f t="shared" si="13"/>
        <v/>
      </c>
      <c r="BZ25" s="21" t="str">
        <f xml:space="preserve"> "&lt;path " &amp; _xlfn.SINGLE(Simple.SVG_painting_2) &amp; " d='M-4 0A4 4 0 0 1 0 -4L4 0A4 4 0 0 1 0 4Z'/&gt;"</f>
        <v>&lt;path fill='#198D66' d='M-4 0A4 4 0 0 1 0 -4L4 0A4 4 0 0 1 0 4Z'/&gt;</v>
      </c>
      <c r="CA25" t="str">
        <f t="shared" si="13"/>
        <v/>
      </c>
      <c r="CB25" s="21" t="str">
        <f xml:space="preserve"> "&lt;ellipse rx='" &amp; _xlfn.SINGLE(Simple.MaxX) &amp; "' ry='" &amp; _xlfn.SINGLE(Simple.MaxY) &amp; "' " &amp; _xlfn.SINGLE(Simple.SVG_painting_2) &amp; "/&gt;"</f>
        <v>&lt;ellipse rx='2' ry='1' fill='#2A936A'/&gt;</v>
      </c>
      <c r="CC25" t="str">
        <f t="shared" si="13"/>
        <v/>
      </c>
      <c r="CD25" s="21" t="str">
        <f xml:space="preserve"> "&lt;ellipse " &amp; _xlfn.SINGLE(Simple.SVG_painting_2) &amp; " rx='" &amp; _xlfn.SINGLE(Simple.MaxX) &amp; "' ry='" &amp; _xlfn.SINGLE(Simple.MaxY) &amp; "'/&gt;"</f>
        <v>&lt;ellipse fill='#572600' rx='10' ry='15'/&gt;</v>
      </c>
      <c r="CE25" t="str">
        <f t="shared" si="13"/>
        <v/>
      </c>
      <c r="CF25" t="str">
        <f t="shared" ref="CF25:CS25" si="14" xml:space="preserve"> IF(LEN(_xlfn.SINGLE(Simple.SVG_painting_1))&gt;0, "&lt;g " &amp; _xlfn.SINGLE(Simple.SVG_painting_1) &amp; "&gt;", "")</f>
        <v/>
      </c>
      <c r="CG25" t="str">
        <f t="shared" si="14"/>
        <v/>
      </c>
      <c r="CH25" t="str">
        <f t="shared" si="14"/>
        <v/>
      </c>
      <c r="CI25" t="str">
        <f t="shared" si="14"/>
        <v/>
      </c>
      <c r="CJ25" t="str">
        <f t="shared" si="14"/>
        <v/>
      </c>
      <c r="CK25" t="str">
        <f t="shared" si="14"/>
        <v/>
      </c>
      <c r="CL25" t="str">
        <f t="shared" si="14"/>
        <v/>
      </c>
      <c r="CM25" t="str">
        <f t="shared" si="14"/>
        <v>&lt;g fill='#666'&gt;</v>
      </c>
      <c r="CN25" t="str">
        <f t="shared" si="14"/>
        <v>&lt;g fill='#666'&gt;</v>
      </c>
      <c r="CO25" t="str">
        <f t="shared" si="14"/>
        <v>&lt;g fill='#666'&gt;</v>
      </c>
      <c r="CP25" t="str">
        <f t="shared" si="14"/>
        <v>&lt;g fill='#666'&gt;</v>
      </c>
      <c r="CQ25" t="str">
        <f t="shared" si="14"/>
        <v>&lt;g fill='#666'&gt;</v>
      </c>
      <c r="CR25" t="str">
        <f t="shared" si="14"/>
        <v>&lt;g fill='#666'&gt;</v>
      </c>
      <c r="CS25" t="str">
        <f t="shared" si="14"/>
        <v>&lt;g fill='#666'&gt;</v>
      </c>
      <c r="CT25" t="str">
        <f t="shared" si="13"/>
        <v/>
      </c>
      <c r="CU25" s="9" t="str">
        <f t="shared" si="13"/>
        <v/>
      </c>
    </row>
    <row r="26" spans="2:99">
      <c r="C26" t="str">
        <f t="shared" si="13"/>
        <v/>
      </c>
      <c r="D26" s="21" t="str">
        <f xml:space="preserve"> IF(_xlfn.SINGLE(Simple.MaxX)&lt;&gt;0, "&lt;circle " &amp; _xlfn.SINGLE(Simple.SVG_painting_1) &amp; " r='" &amp; ROUND(_xlfn.SINGLE(Simple.MaxY) - 2, DecimalPlaces) &amp; "'/&gt;", "")</f>
        <v>&lt;circle  fill='#FFF'  r='8'/&gt;</v>
      </c>
      <c r="E26" t="str">
        <f t="shared" si="13"/>
        <v/>
      </c>
      <c r="F26" s="21" t="str">
        <f xml:space="preserve"> IF(_xlfn.SINGLE(Simple.MaxX)&lt;&gt;0, "&lt;circle " &amp; _xlfn.SINGLE(Simple.SVG_painting_1) &amp; " r='" &amp; ROUND(_xlfn.SINGLE(Simple.MaxY) - 2, DecimalPlaces) &amp; "'/&gt;", "")</f>
        <v>&lt;circle  fill='#FFF'  r='8'/&gt;</v>
      </c>
      <c r="G26" t="str">
        <f t="shared" si="13"/>
        <v/>
      </c>
      <c r="H26" s="21" t="str">
        <f xml:space="preserve"> IF(_xlfn.SINGLE(Simple.MaxX)&lt;&gt;0, "&lt;circle " &amp; _xlfn.SINGLE(Simple.SVG_painting_1) &amp; " r='" &amp; ROUND(_xlfn.SINGLE(Simple.MaxY) - 2, DecimalPlaces) &amp; "'/&gt;", "")</f>
        <v>&lt;circle  fill='#FFF'  r='8'/&gt;</v>
      </c>
      <c r="I26" t="str">
        <f t="shared" si="13"/>
        <v/>
      </c>
      <c r="J26" s="5" t="str">
        <f xml:space="preserve"> "&lt;circle " &amp; _xlfn.SINGLE(Simple.SVG_painting_1) &amp; " r='" &amp; (_xlfn.SINGLE(Simple.MaxX) / 2) &amp; "'/&gt;"</f>
        <v>&lt;circle fill='#FFF' r='2'/&gt;</v>
      </c>
      <c r="K26" t="str">
        <f t="shared" si="13"/>
        <v/>
      </c>
      <c r="L26" s="5" t="str">
        <f xml:space="preserve"> "&lt;circle " &amp; _xlfn.SINGLE(Simple.SVG_painting_1) &amp; " r='" &amp; (_xlfn.SINGLE(Simple.MaxX) / 2) &amp; "'/&gt;"</f>
        <v>&lt;circle fill='#0C4077' r='2'/&gt;</v>
      </c>
      <c r="M26" t="str">
        <f t="shared" si="13"/>
        <v/>
      </c>
      <c r="N26" s="5" t="str">
        <f xml:space="preserve"> "&lt;circle " &amp; _xlfn.SINGLE(Simple.SVG_painting_2) &amp; " r='8'/&gt;"</f>
        <v>&lt;circle fill='#F9CF02' r='8'/&gt;</v>
      </c>
      <c r="O26" t="str">
        <f t="shared" si="13"/>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3"/>
        <v/>
      </c>
      <c r="R26" s="21" t="str">
        <f xml:space="preserve"> "&lt;path " &amp; _xlfn.SINGLE(Simple.SVG_painting_1) &amp; " d='M -4 -3 H4 v2 H-4 Z   M -4 1 H4 v2 H-4 Z'/&gt;"</f>
        <v>&lt;path fill='#FFF' d='M -4 -3 H4 v2 H-4 Z   M -4 1 H4 v2 H-4 Z'/&gt;</v>
      </c>
      <c r="S26" t="str">
        <f t="shared" si="13"/>
        <v/>
      </c>
      <c r="T26" s="21" t="str">
        <f xml:space="preserve"> "&lt;path " &amp; _xlfn.SINGLE(Simple.SVG_painting_1) &amp; " d='M -11 -9 H11 v6 H-11 Z   M -11 3 H11 v6 H-11 Z'/&gt;"</f>
        <v>&lt;path fill='#FFF' d='M -11 -9 H11 v6 H-11 Z   M -11 3 H11 v6 H-11 Z'/&gt;</v>
      </c>
      <c r="U26" t="str">
        <f t="shared" si="13"/>
        <v/>
      </c>
      <c r="V26" s="21" t="str" cm="1">
        <f t="array" ref="V26" xml:space="preserve"> svgPathRect(DecimalPlaces, _xlfn.SINGLE(Simple.SVG_painting_1), _xlfn.SINGLE(Simple.MaxX) - 3, _xlfn.SINGLE(Simple.MaxY) - 3)</f>
        <v>&lt;path fill='#FFF' d='M4 2V-2H-4V2Z'/&gt;</v>
      </c>
      <c r="W26" t="str">
        <f t="shared" si="13"/>
        <v/>
      </c>
      <c r="X26" s="21" t="str" cm="1">
        <f t="array" ref="X26" xml:space="preserve"> svgPathRect(DecimalPlaces, _xlfn.SINGLE(Simple.SVG_painting_1), _xlfn.SINGLE(Simple.MaxX) - 1, _xlfn.SINGLE(Simple.MaxY) - 1)</f>
        <v>&lt;path fill='#F9423A' d='M3 2V-2H-3V2Z'/&gt;</v>
      </c>
      <c r="Y26" t="str">
        <f t="shared" si="13"/>
        <v/>
      </c>
      <c r="Z26" s="21" t="str">
        <f xml:space="preserve"> "&lt;use href='#" &amp; _xlfn.SINGLE(Simple.ID) &amp; "-m' " &amp; _xlfn.SINGLE(Simple.SVG_painting_2) &amp; "/&gt;"</f>
        <v>&lt;use href='#IRR-m' fill='#239F40'/&gt;</v>
      </c>
      <c r="AA26" t="str">
        <f t="shared" si="13"/>
        <v/>
      </c>
      <c r="AB26" s="21" t="str">
        <f xml:space="preserve"> "&lt;path " &amp; _xlfn.SINGLE(Simple.SVG_painting_1) &amp; " transform='rotate(36)' d='M7 1V-1H-7V1Z'/&gt;"</f>
        <v>&lt;path fill='#FFCD00'  transform='rotate(36)' d='M7 1V-1H-7V1Z'/&gt;</v>
      </c>
      <c r="AC26" t="str">
        <f t="shared" si="13"/>
        <v/>
      </c>
      <c r="AD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E26" t="str">
        <f t="shared" si="13"/>
        <v/>
      </c>
      <c r="AF26" s="5" t="str">
        <f xml:space="preserve"> "&lt;use href='#" &amp; _xlfn.SINGLE(Simple.ID) &amp; "-h' " &amp; _xlfn.SINGLE(Simple.SVG_painting_2) &amp; "/&gt;"</f>
        <v>&lt;use href='#BSD-h' fill='#00778B'/&gt;</v>
      </c>
      <c r="AG26" t="str">
        <f t="shared" si="13"/>
        <v/>
      </c>
      <c r="AH26" s="21" t="str" cm="1">
        <f t="array" ref="AH26" xml:space="preserve"> svgPathRect(DecimalPlaces, _xlfn.SINGLE(Simple.SVG_painting_1), _xlfn.SINGLE(Simple.MaxX) / 3, _xlfn.SINGLE(Simple.MaxY) - 1)</f>
        <v>&lt;path fill='#FFF' d='M2 5V-5H-2V5Z'/&gt;</v>
      </c>
      <c r="AI26" t="str">
        <f t="shared" si="13"/>
        <v/>
      </c>
      <c r="AJ26" s="5" t="str">
        <f xml:space="preserve"> "&lt;path " &amp; _xlfn.SINGLE(Simple.SVG_painting_1) &amp; " d='M1 0V1H0L-1 0V-1H0Z'/&gt;"</f>
        <v>&lt;path fill='#002D62' d='M1 0V1H0L-1 0V-1H0Z'/&gt;</v>
      </c>
      <c r="AK26" t="str">
        <f t="shared" si="13"/>
        <v/>
      </c>
      <c r="AL26" s="5" t="str">
        <f xml:space="preserve"> "&lt;path " &amp; _xlfn.SINGLE(Simple.SVG_painting_1) &amp; " d='M1 2H-2V-2L2 2V-2H-1 -2Z'/&gt;"</f>
        <v>&lt;path fill='#C8102E' d='M1 2H-2V-2L2 2V-2H-1 -2Z'/&gt;</v>
      </c>
      <c r="AM26" t="str">
        <f t="shared" si="13"/>
        <v/>
      </c>
      <c r="AN26" s="5" t="str">
        <f xml:space="preserve"> "&lt;path " &amp; _xlfn.SINGLE(Simple.SVG_painting_1) &amp; " d='M1 0L2 2H-2L-1 0L-2 -2H2Z'/&gt;"</f>
        <v>&lt;path fill='#009639' d='M1 0L2 2H-2L-1 0L-2 -2H2Z'/&gt;</v>
      </c>
      <c r="AO26" t="str">
        <f t="shared" si="13"/>
        <v/>
      </c>
      <c r="AP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Q26" t="str">
        <f t="shared" si="13"/>
        <v/>
      </c>
      <c r="AR26" s="5" t="str" cm="1">
        <f t="array" ref="AR26" xml:space="preserve"> svgPathRect(DecimalPlaces, _xlfn.SINGLE(Simple.SVG_painting_1), _xlfn.SINGLE(Simple.MaxX), _xlfn.SINGLE(Simple.MaxY))</f>
        <v>&lt;path fill='#FCD116' d='M4 4V-4H-4V4Z'/&gt;</v>
      </c>
      <c r="AS26" t="str">
        <f t="shared" si="13"/>
        <v/>
      </c>
      <c r="AT26" s="5" t="str" cm="1">
        <f t="array" ref="AT26" xml:space="preserve"> svgPathRect(DecimalPlaces, _xlfn.SINGLE(Simple.SVG_painting_1), _xlfn.SINGLE(Simple.MaxX), _xlfn.SINGLE(Simple.MaxY))</f>
        <v>&lt;path fill='#007FFF' d='M4 4V-4H-4V4Z'/&gt;</v>
      </c>
      <c r="AU26" t="str">
        <f t="shared" si="13"/>
        <v/>
      </c>
      <c r="AV26" s="21" t="str">
        <f xml:space="preserve"> "&lt;path " &amp; _xlfn.SINGLE(Simple.SVG_painting_1) &amp; " d='M -9 -7 h 4 v 14 h -4 Z   M 5 -7 h 4 v 14 h -4 Z   M -3 -7 h 6 v 14 h -6 Z'/&gt;"</f>
        <v>&lt;path fill='#FFF' d='M -9 -7 h 4 v 14 h -4 Z   M 5 -7 h 4 v 14 h -4 Z   M -3 -7 h 6 v 14 h -6 Z'/&gt;</v>
      </c>
      <c r="AW26" t="str">
        <f t="shared" si="13"/>
        <v/>
      </c>
      <c r="AX26" s="21" t="str">
        <f xml:space="preserve"> "&lt;path " &amp; _xlfn.SINGLE(Simple.SVG_painting_1) &amp; " d='M -9 -7 h 4 v 14 h -4 Z   M 5 -7 h 4 v 14 h -4 Z   M -3 -7 h 6 v 14 h -6 Z'/&gt;"</f>
        <v>&lt;path fill='#FF0000' d='M -9 -7 h 4 v 14 h -4 Z   M 5 -7 h 4 v 14 h -4 Z   M -3 -7 h 6 v 14 h -6 Z'/&gt;</v>
      </c>
      <c r="AY26" t="str">
        <f t="shared" si="13"/>
        <v/>
      </c>
      <c r="AZ26" s="21" t="str" cm="1">
        <f t="array" ref="AZ26" xml:space="preserve"> svgPathRect(DecimalPlaces, _xlfn.SINGLE(Simple.SVG_painting_1), 7, 2)</f>
        <v>&lt;path fill='#FFF' d='M7 2V-2H-7V2Z'/&gt;</v>
      </c>
      <c r="BA26" t="str">
        <f t="shared" si="13"/>
        <v/>
      </c>
      <c r="BB26" s="21" t="str" cm="1">
        <f t="array" ref="BB26" xml:space="preserve"> svgPathRect(DecimalPlaces, _xlfn.SINGLE(Simple.SVG_painting_1), 7, 2)</f>
        <v>&lt;path fill='#000' d='M7 2V-2H-7V2Z'/&gt;</v>
      </c>
      <c r="BC26" t="str">
        <f t="shared" si="13"/>
        <v/>
      </c>
      <c r="BD26" s="5" t="str">
        <f xml:space="preserve"> "&lt;path " &amp; _xlfn.SINGLE(Simple.SVG_painting_1) &amp; " d='M" &amp; (2*Thirds_M) &amp; " 0L0 " &amp; (Thirds_M) &amp; "L" &amp; (-2*Thirds_M) &amp; " 0L0 " &amp; (-Thirds_M) &amp; "Z'/&gt;"</f>
        <v>&lt;path fill='#FFF' d='M38 0L0 19L-38 0L0 -19Z'/&gt;</v>
      </c>
      <c r="BE26" t="str">
        <f t="shared" si="13"/>
        <v/>
      </c>
      <c r="BF26" s="5" t="str">
        <f xml:space="preserve"> "&lt;path " &amp; _xlfn.SINGLE(Simple.SVG_painting_1) &amp; " d='M3 1V3H1V-3H3v2H-3V-3h2V3H-3V1Z'/&gt;"</f>
        <v>&lt;path fill='red' d='M3 1V3H1V-3H3v2H-3V-3h2V3H-3V1Z'/&gt;</v>
      </c>
      <c r="BG26" t="str">
        <f t="shared" si="13"/>
        <v/>
      </c>
      <c r="BH26" s="5" t="str">
        <f xml:space="preserve"> "&lt;path " &amp; _xlfn.SINGLE(Simple.SVG_painting_1) &amp; " d='M" &amp; (3*Thirds_M) &amp; " 0L0 " &amp; (2*Thirds_M) &amp; "L" &amp; (-3*Thirds_M) &amp; " 0L0 " &amp; (-2*Thirds_M) &amp; "Z'/&gt;"</f>
        <v>&lt;path fill='#D7141A' d='M57 0L0 38L-57 0L0 -38Z'/&gt;</v>
      </c>
      <c r="BI26" t="str">
        <f t="shared" si="13"/>
        <v/>
      </c>
      <c r="BJ26" s="5" t="str">
        <f xml:space="preserve"> _xlfn.LET(_xlpm.f,69,   "&lt;path " &amp; _xlfn.SINGLE(Simple.SVG_painting_2) &amp; " d='M" &amp; (4*_xlpm.f) &amp; " 0L0 " &amp; (3*_xlpm.f) &amp; "L" &amp; (-4*_xlpm.f) &amp; " 0L0 " &amp; (-3*_xlpm.f) &amp; "Z'/&gt;")</f>
        <v>&lt;path fill='#FFF' d='M276 0L0 207L-276 0L0 -207Z'/&gt;</v>
      </c>
      <c r="BK26" t="str">
        <f t="shared" si="13"/>
        <v/>
      </c>
      <c r="BL26" s="5" t="str">
        <f xml:space="preserve"> "&lt;path " &amp; _xlfn.SINGLE(Simple.SVG_painting_1) &amp; " d='M3 1V3H-3V1L3 -1V-3H-3v2Z'/&gt;"</f>
        <v>&lt;path fill='#FFF' d='M3 1V3H-3V1L3 -1V-3H-3v2Z'/&gt;</v>
      </c>
      <c r="BM26" t="str">
        <f t="shared" si="13"/>
        <v/>
      </c>
      <c r="BN26" s="5" t="str">
        <f xml:space="preserve"> "&lt;path " &amp; _xlfn.SINGLE(Simple.SVG_painting_1) &amp; " d='M3 1V3H-3V1L3 -1V-3H-3v2Z'/&gt;"</f>
        <v>&lt;path fill='#FFF' d='M3 1V3H-3V1L3 -1V-3H-3v2Z'/&gt;</v>
      </c>
      <c r="BO26" t="str">
        <f t="shared" si="13"/>
        <v/>
      </c>
      <c r="BP26" s="5" t="str">
        <f xml:space="preserve"> "&lt;path " &amp; _xlfn.SINGLE(Simple.SVG_painting_1) &amp; " d='M0 -187L136 0L0 187L-136 0L0 -187V187'/&gt;"</f>
        <v>&lt;path stroke-width='44' stroke-linejoin='round' stroke='#1B618C' fill='none'  d='M0 -187L136 0L0 187L-136 0L0 -187V187'/&gt;</v>
      </c>
      <c r="BQ26" t="str">
        <f t="shared" si="13"/>
        <v/>
      </c>
      <c r="BR26" s="5" t="str">
        <f xml:space="preserve"> "&lt;circle " &amp; _xlfn.SINGLE(Simple.SVG_painting_1) &amp; " r='" &amp; (_xlfn.SINGLE(Simple.MaxX) - 1) &amp; "'/&gt;"</f>
        <v>&lt;circle fill='#FFF' r='7'/&gt;</v>
      </c>
      <c r="BS26" t="str">
        <f t="shared" si="13"/>
        <v/>
      </c>
      <c r="BT26" s="5" t="str">
        <f xml:space="preserve"> "&lt;path " &amp; _xlfn.SINGLE(Simple.SVG_painting_1) &amp; " d='M4 1L-1 4L-4 -1L1 -4Z'/&gt;"</f>
        <v>&lt;path fill='#D0A650' d='M4 1L-1 4L-4 -1L1 -4Z'/&gt;</v>
      </c>
      <c r="BU26" t="str">
        <f t="shared" si="13"/>
        <v/>
      </c>
      <c r="BV26" s="5" t="str">
        <f xml:space="preserve"> "&lt;rect " &amp; _xlfn.SINGLE(Simple.SVG_painting_1) &amp; " x='-16' y='-35.5' width='32' height='71' rx='2'/&gt;"</f>
        <v>&lt;rect fill='#C7C7C7' x='-16' y='-35.5' width='32' height='71' rx='2'/&gt;</v>
      </c>
      <c r="BW26" t="str">
        <f t="shared" si="13"/>
        <v/>
      </c>
      <c r="BX26" s="5" t="str">
        <f xml:space="preserve"> "&lt;path id='" &amp; _xlfn.SINGLE(Simple.ID) &amp; "-a' " &amp; _xlfn.SINGLE(Simple.SVG_painting_1) &amp; " d='M35.9073 2C34.5565 16.5521 18.8814 28 0 28S-34.5565 16.5521 -35.9073 2Z'/&gt;"</f>
        <v>&lt;path id='_EIB-a' fill='#9D9D9C' d='M35.9073 2C34.5565 16.5521 18.8814 28 0 28S-34.5565 16.5521 -35.9073 2Z'/&gt;</v>
      </c>
      <c r="BY26" t="str">
        <f t="shared" si="13"/>
        <v/>
      </c>
      <c r="BZ26" s="21" t="str">
        <f xml:space="preserve"> "&lt;path " &amp; _xlfn.SINGLE(Simple.SVG_painting_1) &amp; " d='M0 -4A4 4 0 0 1 4 0L-4 0A4 4 0 0 0 0 4Z'/&gt;"</f>
        <v>&lt;path fill='#FCB90E' d='M0 -4A4 4 0 0 1 4 0L-4 0A4 4 0 0 0 0 4Z'/&gt;</v>
      </c>
      <c r="CA26" t="str">
        <f t="shared" si="13"/>
        <v/>
      </c>
      <c r="CB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C26" t="str">
        <f t="shared" si="13"/>
        <v/>
      </c>
      <c r="CD26" s="21" t="str">
        <f xml:space="preserve"> "&lt;g " &amp; _xlfn.SINGLE(Simple.SVG_painting_1) &amp; "&gt;&lt;ellipse ry='" &amp; _xlfn.SINGLE(Simple.MaxY) &amp; "' rx='2'/&gt;&lt;ellipse ry='2' rx='4' cx='6'/&gt;&lt;ellipse ry='2' rx='4' cx='-6'/&gt;&lt;/g&gt;"</f>
        <v>&lt;g fill='#FDB813'&gt;&lt;ellipse ry='15' rx='2'/&gt;&lt;ellipse ry='2' rx='4' cx='6'/&gt;&lt;ellipse ry='2' rx='4' cx='-6'/&gt;&lt;/g&gt;</v>
      </c>
      <c r="CE26" t="str">
        <f t="shared" si="10"/>
        <v/>
      </c>
      <c r="CF26" t="str">
        <f xml:space="preserve"> "&lt;path d='" &amp; $CG$40 &amp; $CG$47 &amp; "'/&gt;&lt;circle r='3.18198'/&gt;"</f>
        <v>&lt;path d='M-3 -4l-1 1L3 4L4 3ZM4 -3L3 -4L-4 3l1 1Z'/&gt;&lt;circle r='3.18198'/&gt;</v>
      </c>
      <c r="CG26" t="str">
        <f xml:space="preserve"> $CF26</f>
        <v>&lt;path d='M-3 -4l-1 1L3 4L4 3ZM4 -3L3 -4L-4 3l1 1Z'/&gt;&lt;circle r='3.18198'/&gt;</v>
      </c>
      <c r="CH26" t="str">
        <f t="shared" ref="CH26:CS26" si="15" xml:space="preserve"> $CF26</f>
        <v>&lt;path d='M-3 -4l-1 1L3 4L4 3ZM4 -3L3 -4L-4 3l1 1Z'/&gt;&lt;circle r='3.18198'/&gt;</v>
      </c>
      <c r="CI26" t="str">
        <f t="shared" si="15"/>
        <v>&lt;path d='M-3 -4l-1 1L3 4L4 3ZM4 -3L3 -4L-4 3l1 1Z'/&gt;&lt;circle r='3.18198'/&gt;</v>
      </c>
      <c r="CJ26" t="str">
        <f t="shared" si="15"/>
        <v>&lt;path d='M-3 -4l-1 1L3 4L4 3ZM4 -3L3 -4L-4 3l1 1Z'/&gt;&lt;circle r='3.18198'/&gt;</v>
      </c>
      <c r="CK26" t="str">
        <f t="shared" si="15"/>
        <v>&lt;path d='M-3 -4l-1 1L3 4L4 3ZM4 -3L3 -4L-4 3l1 1Z'/&gt;&lt;circle r='3.18198'/&gt;</v>
      </c>
      <c r="CL26" t="str">
        <f t="shared" si="15"/>
        <v>&lt;path d='M-3 -4l-1 1L3 4L4 3ZM4 -3L3 -4L-4 3l1 1Z'/&gt;&lt;circle r='3.18198'/&gt;</v>
      </c>
      <c r="CM26" t="str">
        <f t="shared" si="15"/>
        <v>&lt;path d='M-3 -4l-1 1L3 4L4 3ZM4 -3L3 -4L-4 3l1 1Z'/&gt;&lt;circle r='3.18198'/&gt;</v>
      </c>
      <c r="CN26" t="str">
        <f t="shared" si="15"/>
        <v>&lt;path d='M-3 -4l-1 1L3 4L4 3ZM4 -3L3 -4L-4 3l1 1Z'/&gt;&lt;circle r='3.18198'/&gt;</v>
      </c>
      <c r="CO26" t="str">
        <f t="shared" si="15"/>
        <v>&lt;path d='M-3 -4l-1 1L3 4L4 3ZM4 -3L3 -4L-4 3l1 1Z'/&gt;&lt;circle r='3.18198'/&gt;</v>
      </c>
      <c r="CP26" t="str">
        <f t="shared" si="15"/>
        <v>&lt;path d='M-3 -4l-1 1L3 4L4 3ZM4 -3L3 -4L-4 3l1 1Z'/&gt;&lt;circle r='3.18198'/&gt;</v>
      </c>
      <c r="CQ26" t="str">
        <f t="shared" si="15"/>
        <v>&lt;path d='M-3 -4l-1 1L3 4L4 3ZM4 -3L3 -4L-4 3l1 1Z'/&gt;&lt;circle r='3.18198'/&gt;</v>
      </c>
      <c r="CR26" t="str">
        <f t="shared" si="15"/>
        <v>&lt;path d='M-3 -4l-1 1L3 4L4 3ZM4 -3L3 -4L-4 3l1 1Z'/&gt;&lt;circle r='3.18198'/&gt;</v>
      </c>
      <c r="CS26" t="str">
        <f t="shared" si="15"/>
        <v>&lt;path d='M-3 -4l-1 1L3 4L4 3ZM4 -3L3 -4L-4 3l1 1Z'/&gt;&lt;circle r='3.18198'/&gt;</v>
      </c>
      <c r="CT26" t="str">
        <f t="shared" si="12"/>
        <v/>
      </c>
      <c r="CU26" s="9" t="str">
        <f t="shared" si="13"/>
        <v/>
      </c>
    </row>
    <row r="27" spans="2:99">
      <c r="C27" t="str">
        <f t="shared" si="13"/>
        <v/>
      </c>
      <c r="D27" s="21" t="str" cm="1">
        <f t="array" ref="D27" xml:space="preserve"> svgPathRect(DecimalPlaces, _xlfn.SINGLE(Simple.SVG_painting_2), D$36, 1)</f>
        <v>&lt;path fill='#FF33FF' d='M9 1V-1H-9V1Z'/&gt;</v>
      </c>
      <c r="E27" t="str">
        <f t="shared" si="13"/>
        <v/>
      </c>
      <c r="F27" s="21" t="str" cm="1">
        <f t="array" ref="F27" xml:space="preserve"> svgPathRect(DecimalPlaces, _xlfn.SINGLE(Simple.SVG_painting_2), F$36, 1)</f>
        <v>&lt;path fill='#039' d='M9 1V-1H-9V1Z'/&gt;</v>
      </c>
      <c r="G27" t="str">
        <f t="shared" si="13"/>
        <v/>
      </c>
      <c r="H27" s="21" t="str">
        <f xml:space="preserve"> "&lt;path " &amp; _xlfn.SINGLE(Simple.SVG_painting_2) &amp; " d='M" &amp; H$39 &amp; " 1V3H" &amp; (-H$39) &amp; "V1Z M" &amp; H$39 &amp; " -1V-3H" &amp; (-H$39) &amp; "V-1Z'/&gt;"</f>
        <v>&lt;path  fill='#FF33FF' d='M9 1V3H-9V1Z M9 -1V-3H-9V-1Z'/&gt;</v>
      </c>
      <c r="I27" t="str">
        <f t="shared" si="13"/>
        <v/>
      </c>
      <c r="J27" s="5"/>
      <c r="K27" t="str">
        <f t="shared" si="13"/>
        <v/>
      </c>
      <c r="L27" s="5"/>
      <c r="M27" t="str">
        <f t="shared" si="13"/>
        <v/>
      </c>
      <c r="N27" s="5" t="str">
        <f xml:space="preserve"> "&lt;circle " &amp; _xlfn.SINGLE(Simple.SVG_painting_1) &amp; " r='5'/&gt;"</f>
        <v>&lt;circle fill='#C4272F' r='5'/&gt;</v>
      </c>
      <c r="O27" t="str">
        <f t="shared" si="13"/>
        <v/>
      </c>
      <c r="P27" s="21" t="str" cm="1">
        <f t="array" ref="P27" xml:space="preserve"> svgPathRect(DecimalPlaces, _xlfn.SINGLE(Simple.SVG_painting_0), 3, 5)</f>
        <v>&lt;path fill='#CF101A' d='M3 5V-5H-3V5Z'/&gt;</v>
      </c>
      <c r="Q27" t="str">
        <f t="shared" si="13"/>
        <v/>
      </c>
      <c r="R27" s="21"/>
      <c r="S27" t="str">
        <f t="shared" si="13"/>
        <v/>
      </c>
      <c r="T27" s="21"/>
      <c r="U27" t="str">
        <f t="shared" si="13"/>
        <v/>
      </c>
      <c r="V27" s="21"/>
      <c r="W27" t="str">
        <f t="shared" si="13"/>
        <v/>
      </c>
      <c r="X27" s="21" t="str" cm="1">
        <f t="array" ref="X27" xml:space="preserve"> svgPathRect(DecimalPlaces, _xlfn.SINGLE(Simple.SVG_painting_0), _xlfn.SINGLE(Simple.MaxX) - 2, _xlfn.SINGLE(Simple.MaxY) - 2)</f>
        <v>&lt;path fill='#FFF' d='M2 1V-1H-2V1Z'/&gt;</v>
      </c>
      <c r="Y27" t="str">
        <f t="shared" si="13"/>
        <v/>
      </c>
      <c r="Z27" s="21" t="str">
        <f xml:space="preserve"> "&lt;use href='#" &amp; _xlfn.SINGLE(Simple.ID) &amp; "-m' " &amp; _xlfn.SINGLE(Simple.SVG_painting_1) &amp; " transform='scale(" &amp; ROUND(Thirds_M/Thirds_O,2) &amp; ")'/&gt;"</f>
        <v>&lt;use href='#IRR-m' fill='#FFF' transform='scale(0.7)'/&gt;</v>
      </c>
      <c r="AA27" t="str">
        <f t="shared" si="13"/>
        <v/>
      </c>
      <c r="AB27" s="21" t="str">
        <f xml:space="preserve"> "&lt;path " &amp; _xlfn.SINGLE(Simple.SVG_painting_0) &amp; " d='M0 -8A8 8 0 0 0 0 8 8 8 0 0 0 0 -8ZM0 -6A6 6 0 0 1 0 6 6 6 0 0 1 0 -6Z'/&gt;"</f>
        <v>&lt;path fill='black' d='M0 -8A8 8 0 0 0 0 8 8 8 0 0 0 0 -8ZM0 -6A6 6 0 0 1 0 6 6 6 0 0 1 0 -6Z'/&gt;</v>
      </c>
      <c r="AC27" t="str">
        <f t="shared" si="13"/>
        <v/>
      </c>
      <c r="AD27" s="5"/>
      <c r="AE27" t="str">
        <f t="shared" si="13"/>
        <v/>
      </c>
      <c r="AF27" s="5" t="str">
        <f xml:space="preserve"> "&lt;use href='#" &amp; _xlfn.SINGLE(Simple.ID) &amp; "-h' " &amp; _xlfn.SINGLE(Simple.SVG_painting_1) &amp; " transform='scale(" &amp; ROUND(Thirds_M / Thirds_O, 2) &amp; ")'/&gt;"</f>
        <v>&lt;use href='#BSD-h' fill='#FFC72C' transform='scale(0.7)'/&gt;</v>
      </c>
      <c r="AG27" t="str">
        <f t="shared" si="13"/>
        <v/>
      </c>
      <c r="AI27" t="str">
        <f t="shared" si="13"/>
        <v/>
      </c>
      <c r="AJ27" s="5" t="str">
        <f xml:space="preserve"> "&lt;path " &amp; _xlfn.SINGLE(Simple.SVG_painting_0) &amp; " d='M1 0V-1H0V1H-1V0Z'/&gt;"</f>
        <v>&lt;path fill='#CE1126' d='M1 0V-1H0V1H-1V0Z'/&gt;</v>
      </c>
      <c r="AK27" t="str">
        <f t="shared" si="13"/>
        <v/>
      </c>
      <c r="AL27" s="5" t="str">
        <f xml:space="preserve"> "&lt;path " &amp; _xlfn.SINGLE(Simple.SVG_painting_0) &amp; " d='M-2 -2H-1L2 2H1Z'/&gt;"</f>
        <v>&lt;path fill='black' d='M-2 -2H-1L2 2H1Z'/&gt;</v>
      </c>
      <c r="AM27" t="str">
        <f t="shared" si="13"/>
        <v/>
      </c>
      <c r="AN27" s="5" t="str">
        <f xml:space="preserve"> "&lt;path " &amp; _xlfn.SINGLE(Simple.SVG_painting_0) &amp; " d='M2 2V-2L-2 2V-2Z'/&gt;"</f>
        <v>&lt;path fill='black' d='M2 2V-2L-2 2V-2Z'/&gt;</v>
      </c>
      <c r="AO27" t="str">
        <f t="shared" si="13"/>
        <v/>
      </c>
      <c r="AP27" s="5" t="str">
        <f xml:space="preserve"> "&lt;use href='#" &amp; _xlfn.SINGLE(Simple.ID) &amp; "-m' transform='translate(-288,0)'/&gt;"</f>
        <v>&lt;use href='#KYS-m' transform='translate(-288,0)'/&gt;</v>
      </c>
      <c r="AQ27" t="str">
        <f t="shared" si="13"/>
        <v/>
      </c>
      <c r="AR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S27" t="str">
        <f t="shared" si="13"/>
        <v/>
      </c>
      <c r="AT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U27" t="str">
        <f t="shared" si="13"/>
        <v/>
      </c>
      <c r="AV27" s="21"/>
      <c r="AW27" t="str">
        <f t="shared" si="13"/>
        <v/>
      </c>
      <c r="AX27" s="21"/>
      <c r="AY27" t="str">
        <f t="shared" si="13"/>
        <v/>
      </c>
      <c r="BA27" t="str">
        <f t="shared" si="13"/>
        <v/>
      </c>
      <c r="BC27" t="str">
        <f t="shared" si="13"/>
        <v/>
      </c>
      <c r="BD27" s="5" t="str">
        <f xml:space="preserve"> "&lt;path " &amp; _xlfn.SINGLE(Simple.SVG_painting_0) &amp; " d='M" &amp; (2*Thirds_I) &amp; " 0L0 " &amp; (Thirds_I) &amp; "L" &amp; (-2*Thirds_I) &amp; " 0L0 " &amp; (-Thirds_I) &amp; "Z'/&gt;"</f>
        <v>&lt;path fill='#00A3E0' d='M20 0L0 10L-20 0L0 -10Z'/&gt;</v>
      </c>
      <c r="BE27" t="str">
        <f t="shared" si="13"/>
        <v/>
      </c>
      <c r="BF27" s="5"/>
      <c r="BG27" t="str">
        <f t="shared" si="13"/>
        <v/>
      </c>
      <c r="BH27" s="5" t="str">
        <f xml:space="preserve"> "&lt;path " &amp; _xlfn.SINGLE(Simple.SVG_painting_0) &amp; " d='M" &amp; (3*Thirds_I) &amp; " 0L0 " &amp; (2*Thirds_I) &amp; "L" &amp; (-3*Thirds_I) &amp; " 0L0 " &amp; (-2*Thirds_I) &amp; "Z'/&gt;"</f>
        <v>&lt;path fill='#FFF' d='M30 0L0 20L-30 0L0 -20Z'/&gt;</v>
      </c>
      <c r="BI27" t="str">
        <f t="shared" si="13"/>
        <v/>
      </c>
      <c r="BJ27" s="5" t="str">
        <f xml:space="preserve"> _xlfn.LET(_xlpm.f,47,   "&lt;path " &amp; _xlfn.SINGLE(Simple.SVG_painting_1) &amp; " d='M" &amp; (4*_xlpm.f) &amp; " 0L0 " &amp; (3*_xlpm.f) &amp; "L" &amp; (-4*_xlpm.f) &amp; " 0L0 " &amp; (-3*_xlpm.f) &amp; "Z'/&gt;")</f>
        <v>&lt;path fill='#000' d='M188 0L0 141L-188 0L0 -141Z'/&gt;</v>
      </c>
      <c r="BK27" t="str">
        <f t="shared" si="13"/>
        <v/>
      </c>
      <c r="BL27" s="21" t="str" cm="1">
        <f t="array" ref="BL27" xml:space="preserve"> svgPathRect(DecimalPlaces, _xlfn.SINGLE(Simple.SVG_painting_0), 3, 1)</f>
        <v>&lt;path fill='#FFD500' d='M3 1V-1H-3V1Z'/&gt;</v>
      </c>
      <c r="BM27" t="str">
        <f t="shared" si="13"/>
        <v/>
      </c>
      <c r="BN27" s="21" t="str" cm="1">
        <f t="array" ref="BN27" xml:space="preserve"> svgPathRect(DecimalPlaces, _xlfn.SINGLE(Simple.SVG_painting_0), 3, 1)</f>
        <v>&lt;path fill='#EF3340' d='M3 1V-1H-3V1Z'/&gt;</v>
      </c>
      <c r="BO27" t="str">
        <f t="shared" si="13"/>
        <v/>
      </c>
      <c r="BP27" s="5"/>
      <c r="BQ27" t="str">
        <f t="shared" si="13"/>
        <v/>
      </c>
      <c r="BR27" s="5" t="str">
        <f xml:space="preserve"> "&lt;circle " &amp; _xlfn.SINGLE(Simple.SVG_painting_0) &amp; " r='" &amp; (_xlfn.SINGLE(Simple.MaxX) - 3) &amp; "'/&gt;"</f>
        <v>&lt;circle fill='#0046C2' r='5'/&gt;</v>
      </c>
      <c r="BS27" t="str">
        <f t="shared" si="13"/>
        <v/>
      </c>
      <c r="BT27" s="5"/>
      <c r="BU27" t="str">
        <f t="shared" si="13"/>
        <v/>
      </c>
      <c r="BW27" t="str">
        <f t="shared" si="13"/>
        <v/>
      </c>
      <c r="BX27" s="5" t="str">
        <f xml:space="preserve"> "&lt;use href='#" &amp; _xlfn.SINGLE(Simple.ID) &amp; "-a' transform='rotate(180)'/&gt;"</f>
        <v>&lt;use href='#_EIB-a' transform='rotate(180)'/&gt;</v>
      </c>
      <c r="BY27" t="str">
        <f t="shared" si="13"/>
        <v/>
      </c>
      <c r="BZ27" s="62" t="str" cm="1">
        <f t="array" ref="BZ27" xml:space="preserve"> IF(FALSE, svgPathRect(DecimalPlaces, _xlfn.SINGLE(Simple.SVG_painting_0),  2,  1), "")</f>
        <v/>
      </c>
      <c r="CA27" t="str">
        <f t="shared" si="13"/>
        <v/>
      </c>
      <c r="CB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C27" t="str">
        <f t="shared" si="13"/>
        <v/>
      </c>
      <c r="CD27" s="21"/>
      <c r="CE27" t="str">
        <f t="shared" si="10"/>
        <v/>
      </c>
      <c r="CF27" t="str">
        <f t="shared" ref="CF27:CS27" si="16" xml:space="preserve"> IF(LEN(Simple.SVG_painting_1)&gt;0, "&lt;/g&gt;", "")</f>
        <v/>
      </c>
      <c r="CG27" t="str">
        <f t="shared" si="16"/>
        <v/>
      </c>
      <c r="CH27" t="str">
        <f t="shared" si="16"/>
        <v/>
      </c>
      <c r="CI27" t="str">
        <f t="shared" si="16"/>
        <v/>
      </c>
      <c r="CJ27" t="str">
        <f t="shared" si="16"/>
        <v/>
      </c>
      <c r="CK27" t="str">
        <f t="shared" si="16"/>
        <v/>
      </c>
      <c r="CL27" t="str">
        <f t="shared" si="16"/>
        <v/>
      </c>
      <c r="CM27" t="str">
        <f t="shared" si="16"/>
        <v>&lt;/g&gt;</v>
      </c>
      <c r="CN27" t="str">
        <f t="shared" si="16"/>
        <v>&lt;/g&gt;</v>
      </c>
      <c r="CO27" t="str">
        <f t="shared" si="16"/>
        <v>&lt;/g&gt;</v>
      </c>
      <c r="CP27" t="str">
        <f t="shared" si="16"/>
        <v>&lt;/g&gt;</v>
      </c>
      <c r="CQ27" t="str">
        <f t="shared" si="16"/>
        <v>&lt;/g&gt;</v>
      </c>
      <c r="CR27" t="str">
        <f t="shared" si="16"/>
        <v>&lt;/g&gt;</v>
      </c>
      <c r="CS27" t="str">
        <f t="shared" si="16"/>
        <v>&lt;/g&gt;</v>
      </c>
      <c r="CT27" t="str">
        <f t="shared" si="12"/>
        <v/>
      </c>
      <c r="CU27" s="9" t="str">
        <f t="shared" si="13"/>
        <v/>
      </c>
    </row>
    <row r="28" spans="2:99">
      <c r="C28" t="str">
        <f t="shared" si="13"/>
        <v/>
      </c>
      <c r="D28" s="21"/>
      <c r="E28" t="str">
        <f t="shared" si="13"/>
        <v/>
      </c>
      <c r="F28" s="21"/>
      <c r="G28" t="str">
        <f t="shared" si="13"/>
        <v/>
      </c>
      <c r="H28" s="21"/>
      <c r="I28" t="str">
        <f t="shared" si="13"/>
        <v/>
      </c>
      <c r="J28" s="5"/>
      <c r="K28" t="str">
        <f t="shared" si="13"/>
        <v/>
      </c>
      <c r="L28" s="5"/>
      <c r="M28" t="str">
        <f t="shared" si="13"/>
        <v/>
      </c>
      <c r="N28" s="5"/>
      <c r="O28" t="str">
        <f t="shared" si="13"/>
        <v/>
      </c>
      <c r="P28" s="21"/>
      <c r="Q28" t="str">
        <f t="shared" si="13"/>
        <v/>
      </c>
      <c r="R28" s="21"/>
      <c r="S28" t="str">
        <f t="shared" si="13"/>
        <v/>
      </c>
      <c r="T28" s="21"/>
      <c r="U28" t="str">
        <f t="shared" si="13"/>
        <v/>
      </c>
      <c r="V28" s="21"/>
      <c r="W28" t="str">
        <f t="shared" si="13"/>
        <v/>
      </c>
      <c r="X28" s="21"/>
      <c r="Y28" t="str">
        <f t="shared" si="13"/>
        <v/>
      </c>
      <c r="Z28" s="21" t="str">
        <f xml:space="preserve"> "&lt;use href='#" &amp; _xlfn.SINGLE(Simple.ID) &amp; "-m' " &amp; _xlfn.SINGLE(Simple.SVG_painting_0) &amp; " transform='scale(" &amp; ROUND(Thirds_I/Thirds_O,2) &amp; ")'/&gt;"</f>
        <v>&lt;use href='#IRR-m' fill='#DA0000' transform='scale(0.37)'/&gt;</v>
      </c>
      <c r="AA28" t="str">
        <f t="shared" si="13"/>
        <v/>
      </c>
      <c r="AB28" s="21"/>
      <c r="AC28" t="str">
        <f t="shared" si="13"/>
        <v/>
      </c>
      <c r="AD28" s="5"/>
      <c r="AE28" t="str">
        <f t="shared" si="13"/>
        <v/>
      </c>
      <c r="AF28" s="5" t="str">
        <f xml:space="preserve"> "&lt;use href='#" &amp; _xlfn.SINGLE(Simple.ID) &amp; "-h' " &amp; _xlfn.SINGLE(Simple.SVG_painting_0) &amp; " transform='scale(" &amp; ROUND(Thirds_I / Thirds_O, 2) &amp; ")'/&gt;"</f>
        <v>&lt;use href='#BSD-h' fill='black' transform='scale(0.37)'/&gt;</v>
      </c>
      <c r="AG28" t="str">
        <f t="shared" si="13"/>
        <v/>
      </c>
      <c r="AI28" t="str">
        <f t="shared" si="13"/>
        <v/>
      </c>
      <c r="AJ28" s="5"/>
      <c r="AK28" t="str">
        <f t="shared" si="13"/>
        <v/>
      </c>
      <c r="AL28" s="5"/>
      <c r="AM28" t="str">
        <f t="shared" si="13"/>
        <v/>
      </c>
      <c r="AN28" s="5"/>
      <c r="AO28" t="str">
        <f t="shared" si="13"/>
        <v/>
      </c>
      <c r="AP28" s="5" t="str">
        <f xml:space="preserve"> "&lt;ellipse " &amp; _xlfn.SINGLE(Simple.SVG_painting_0) &amp; " rx='48' ry='72'/&gt;"</f>
        <v>&lt;ellipse fill='#FFF' rx='48' ry='72'/&gt;</v>
      </c>
      <c r="AQ28" t="str">
        <f t="shared" si="13"/>
        <v/>
      </c>
      <c r="AR28" s="5"/>
      <c r="AS28" t="str">
        <f t="shared" si="13"/>
        <v/>
      </c>
      <c r="AT28" s="5"/>
      <c r="AU28" t="str">
        <f t="shared" si="13"/>
        <v/>
      </c>
      <c r="AV28" s="21"/>
      <c r="AW28" t="str">
        <f t="shared" si="13"/>
        <v/>
      </c>
      <c r="AX28" s="21"/>
      <c r="AY28" t="str">
        <f t="shared" si="13"/>
        <v/>
      </c>
      <c r="BA28" t="str">
        <f t="shared" si="13"/>
        <v/>
      </c>
      <c r="BC28" t="str">
        <f t="shared" si="13"/>
        <v/>
      </c>
      <c r="BD28" s="5"/>
      <c r="BE28" t="str">
        <f t="shared" si="13"/>
        <v/>
      </c>
      <c r="BF28" s="5"/>
      <c r="BG28" t="str">
        <f t="shared" si="13"/>
        <v/>
      </c>
      <c r="BH28" s="5"/>
      <c r="BI28" t="str">
        <f t="shared" si="13"/>
        <v/>
      </c>
      <c r="BJ28" s="5" t="str">
        <f xml:space="preserve"> _xlfn.LET(_xlpm.f,24,   "&lt;path " &amp; _xlfn.SINGLE(Simple.SVG_painting_0) &amp; " d='M" &amp; (4*_xlpm.f) &amp; " 0L0 " &amp; (3*_xlpm.f) &amp; "L" &amp; (-4*_xlpm.f) &amp; " 0L0 " &amp; (-3*_xlpm.f) &amp; "Z'/&gt;")</f>
        <v>&lt;path fill='#EE2A35' d='M96 0L0 72L-96 0L0 -72Z'/&gt;</v>
      </c>
      <c r="BK28" t="str">
        <f t="shared" si="13"/>
        <v/>
      </c>
      <c r="BL28" s="21"/>
      <c r="BM28" t="str">
        <f t="shared" si="13"/>
        <v/>
      </c>
      <c r="BN28" s="21"/>
      <c r="BO28" t="str">
        <f t="shared" si="13"/>
        <v/>
      </c>
      <c r="BP28" s="5"/>
      <c r="BQ28" t="str">
        <f t="shared" si="13"/>
        <v/>
      </c>
      <c r="BR28" s="5" t="str">
        <f xml:space="preserve"> "&lt;path transform='rotate(45)' " &amp; _xlfn.SINGLE(Simple.SVG_painting_1) &amp; " d='M1 6V-6L3 -5V5Z M-1 -6V6L-3 5V-5Z'/&gt;"</f>
        <v>&lt;path transform='rotate(45)' fill='#FFF' d='M1 6V-6L3 -5V5Z M-1 -6V6L-3 5V-5Z'/&gt;</v>
      </c>
      <c r="BS28" t="str">
        <f t="shared" si="13"/>
        <v/>
      </c>
      <c r="BT28" s="5"/>
      <c r="BU28" t="str">
        <f t="shared" si="13"/>
        <v/>
      </c>
      <c r="BW28" t="str">
        <f t="shared" si="13"/>
        <v/>
      </c>
      <c r="BX28" s="5" t="str">
        <f xml:space="preserve"> "&lt;path " &amp; _xlfn.SINGLE(Simple.SVG_painting_2) &amp; " d='M31 17H-31L-34 13H34Z M-31 -17H31L34 -13H-34Z'/&gt;"</f>
        <v>&lt;path fill='#003399' d='M31 17H-31L-34 13H34Z M-31 -17H31L34 -13H-34Z'/&gt;</v>
      </c>
      <c r="BY28" t="str">
        <f t="shared" si="13"/>
        <v/>
      </c>
      <c r="BZ28" s="5"/>
      <c r="CA28" t="str">
        <f t="shared" si="13"/>
        <v/>
      </c>
      <c r="CB28" s="5"/>
      <c r="CC28" t="str">
        <f t="shared" si="13"/>
        <v/>
      </c>
      <c r="CD28" s="5"/>
      <c r="CE28" t="str">
        <f t="shared" si="10"/>
        <v/>
      </c>
      <c r="CF28" t="str">
        <f t="shared" ref="CF28:CS28" si="17" xml:space="preserve"> "&lt;circle " &amp; _xlfn.SINGLE(Simple.SVG_painting_2) &amp; " r='1.76777'/&gt;"</f>
        <v>&lt;circle fill='#FFF' r='1.76777'/&gt;</v>
      </c>
      <c r="CG28" t="str">
        <f t="shared" si="17"/>
        <v>&lt;circle fill='#0F0' r='1.76777'/&gt;</v>
      </c>
      <c r="CH28" t="str">
        <f t="shared" si="17"/>
        <v>&lt;circle fill='#F00' r='1.76777'/&gt;</v>
      </c>
      <c r="CI28" t="str">
        <f t="shared" si="17"/>
        <v>&lt;circle fill='#00F' r='1.76777'/&gt;</v>
      </c>
      <c r="CJ28" t="str">
        <f t="shared" si="17"/>
        <v>&lt;circle fill='#F0F' r='1.76777'/&gt;</v>
      </c>
      <c r="CK28" t="str">
        <f t="shared" si="17"/>
        <v>&lt;circle fill='#0FF' r='1.76777'/&gt;</v>
      </c>
      <c r="CL28" t="str">
        <f t="shared" si="17"/>
        <v>&lt;circle fill='#FF0' r='1.76777'/&gt;</v>
      </c>
      <c r="CM28" t="str">
        <f t="shared" si="17"/>
        <v>&lt;circle fill='#FFF' r='1.76777'/&gt;</v>
      </c>
      <c r="CN28" t="str">
        <f t="shared" si="17"/>
        <v>&lt;circle fill='#0F0' r='1.76777'/&gt;</v>
      </c>
      <c r="CO28" t="str">
        <f t="shared" si="17"/>
        <v>&lt;circle fill='#F00' r='1.76777'/&gt;</v>
      </c>
      <c r="CP28" t="str">
        <f t="shared" si="17"/>
        <v>&lt;circle fill='#00F' r='1.76777'/&gt;</v>
      </c>
      <c r="CQ28" t="str">
        <f t="shared" si="17"/>
        <v>&lt;circle fill='#F0F' r='1.76777'/&gt;</v>
      </c>
      <c r="CR28" t="str">
        <f t="shared" si="17"/>
        <v>&lt;circle fill='#0FF' r='1.76777'/&gt;</v>
      </c>
      <c r="CS28" t="str">
        <f t="shared" si="17"/>
        <v>&lt;circle fill='#FF0' r='1.76777'/&gt;</v>
      </c>
      <c r="CT28" t="str">
        <f t="shared" si="12"/>
        <v/>
      </c>
      <c r="CU28" s="9" t="str">
        <f t="shared" si="13"/>
        <v/>
      </c>
    </row>
    <row r="29" spans="2:99">
      <c r="C29" s="10" t="str">
        <f t="shared" si="13"/>
        <v/>
      </c>
      <c r="D29" s="15" t="s">
        <v>15</v>
      </c>
      <c r="E29" s="10" t="str">
        <f t="shared" si="13"/>
        <v/>
      </c>
      <c r="F29" s="15" t="s">
        <v>15</v>
      </c>
      <c r="G29" s="10" t="str">
        <f t="shared" si="13"/>
        <v/>
      </c>
      <c r="H29" s="15" t="s">
        <v>15</v>
      </c>
      <c r="I29" s="10" t="str">
        <f t="shared" si="13"/>
        <v/>
      </c>
      <c r="J29" s="15" t="s">
        <v>15</v>
      </c>
      <c r="K29" s="10" t="str">
        <f t="shared" si="13"/>
        <v/>
      </c>
      <c r="L29" s="15" t="s">
        <v>15</v>
      </c>
      <c r="M29" s="10" t="str">
        <f t="shared" si="13"/>
        <v/>
      </c>
      <c r="N29" s="15" t="s">
        <v>15</v>
      </c>
      <c r="O29" s="10" t="str">
        <f t="shared" si="13"/>
        <v/>
      </c>
      <c r="P29" s="15" t="s">
        <v>15</v>
      </c>
      <c r="Q29" s="10" t="str">
        <f t="shared" si="13"/>
        <v/>
      </c>
      <c r="R29" s="15" t="s">
        <v>15</v>
      </c>
      <c r="S29" s="10" t="str">
        <f t="shared" si="13"/>
        <v/>
      </c>
      <c r="T29" s="15" t="s">
        <v>15</v>
      </c>
      <c r="U29" s="10" t="str">
        <f t="shared" si="13"/>
        <v/>
      </c>
      <c r="V29" s="15" t="s">
        <v>15</v>
      </c>
      <c r="W29" s="10" t="str">
        <f t="shared" si="13"/>
        <v/>
      </c>
      <c r="X29" s="15" t="s">
        <v>15</v>
      </c>
      <c r="Y29" s="10" t="str">
        <f t="shared" si="13"/>
        <v/>
      </c>
      <c r="Z29" s="24" t="s">
        <v>15</v>
      </c>
      <c r="AA29" s="10" t="str">
        <f t="shared" si="13"/>
        <v/>
      </c>
      <c r="AB29" s="24" t="s">
        <v>15</v>
      </c>
      <c r="AC29" s="10" t="str">
        <f t="shared" si="13"/>
        <v/>
      </c>
      <c r="AD29" s="15" t="s">
        <v>15</v>
      </c>
      <c r="AE29" s="10" t="str">
        <f t="shared" si="13"/>
        <v/>
      </c>
      <c r="AF29" s="15" t="s">
        <v>15</v>
      </c>
      <c r="AG29" s="10" t="str">
        <f t="shared" si="13"/>
        <v/>
      </c>
      <c r="AH29" s="15" t="s">
        <v>15</v>
      </c>
      <c r="AI29" s="10" t="str">
        <f t="shared" si="13"/>
        <v/>
      </c>
      <c r="AJ29" s="15" t="s">
        <v>15</v>
      </c>
      <c r="AK29" s="10" t="str">
        <f t="shared" si="13"/>
        <v/>
      </c>
      <c r="AL29" s="15" t="s">
        <v>15</v>
      </c>
      <c r="AM29" s="10" t="str">
        <f t="shared" si="13"/>
        <v/>
      </c>
      <c r="AN29" s="15" t="s">
        <v>15</v>
      </c>
      <c r="AO29" s="10" t="str">
        <f t="shared" si="13"/>
        <v/>
      </c>
      <c r="AP29" s="15" t="s">
        <v>15</v>
      </c>
      <c r="AQ29" s="10" t="str">
        <f t="shared" si="13"/>
        <v/>
      </c>
      <c r="AR29" s="15" t="s">
        <v>15</v>
      </c>
      <c r="AS29" s="10" t="str">
        <f t="shared" si="13"/>
        <v/>
      </c>
      <c r="AT29" s="15" t="s">
        <v>15</v>
      </c>
      <c r="AU29" s="10" t="str">
        <f t="shared" si="13"/>
        <v/>
      </c>
      <c r="AV29" s="15" t="s">
        <v>15</v>
      </c>
      <c r="AW29" s="10" t="str">
        <f t="shared" si="13"/>
        <v/>
      </c>
      <c r="AX29" s="15" t="s">
        <v>15</v>
      </c>
      <c r="AY29" s="10" t="str">
        <f t="shared" si="13"/>
        <v/>
      </c>
      <c r="AZ29" s="15" t="s">
        <v>15</v>
      </c>
      <c r="BA29" s="10" t="str">
        <f t="shared" si="13"/>
        <v/>
      </c>
      <c r="BB29" s="15" t="s">
        <v>15</v>
      </c>
      <c r="BC29" s="10" t="str">
        <f t="shared" si="13"/>
        <v/>
      </c>
      <c r="BD29" s="15" t="s">
        <v>15</v>
      </c>
      <c r="BE29" s="10" t="str">
        <f t="shared" si="13"/>
        <v/>
      </c>
      <c r="BF29" s="15" t="s">
        <v>15</v>
      </c>
      <c r="BG29" s="10" t="str">
        <f t="shared" si="13"/>
        <v/>
      </c>
      <c r="BH29" s="15" t="s">
        <v>15</v>
      </c>
      <c r="BI29" s="10" t="str">
        <f t="shared" si="13"/>
        <v/>
      </c>
      <c r="BJ29" s="15" t="s">
        <v>15</v>
      </c>
      <c r="BK29" s="10" t="str">
        <f t="shared" si="13"/>
        <v/>
      </c>
      <c r="BL29" s="15" t="s">
        <v>15</v>
      </c>
      <c r="BM29" s="10" t="str">
        <f t="shared" si="13"/>
        <v/>
      </c>
      <c r="BN29" s="15" t="s">
        <v>15</v>
      </c>
      <c r="BO29" s="10" t="str">
        <f t="shared" si="13"/>
        <v/>
      </c>
      <c r="BP29" s="15" t="s">
        <v>15</v>
      </c>
      <c r="BQ29" s="10" t="str">
        <f t="shared" si="13"/>
        <v/>
      </c>
      <c r="BR29" s="15" t="s">
        <v>15</v>
      </c>
      <c r="BS29" s="10" t="str">
        <f t="shared" si="13"/>
        <v/>
      </c>
      <c r="BT29" s="15" t="s">
        <v>15</v>
      </c>
      <c r="BU29" s="10" t="str">
        <f t="shared" si="13"/>
        <v/>
      </c>
      <c r="BV29" s="15" t="s">
        <v>15</v>
      </c>
      <c r="BW29" s="10" t="str">
        <f t="shared" si="13"/>
        <v/>
      </c>
      <c r="BX29" s="15" t="s">
        <v>15</v>
      </c>
      <c r="BY29" s="10" t="str">
        <f t="shared" si="13"/>
        <v/>
      </c>
      <c r="BZ29" s="15" t="s">
        <v>15</v>
      </c>
      <c r="CA29" s="10" t="str">
        <f t="shared" si="13"/>
        <v/>
      </c>
      <c r="CB29" s="15" t="s">
        <v>15</v>
      </c>
      <c r="CC29" s="10" t="str">
        <f t="shared" si="13"/>
        <v/>
      </c>
      <c r="CD29" s="15" t="s">
        <v>15</v>
      </c>
      <c r="CE29" s="10" t="str">
        <f t="shared" si="10"/>
        <v/>
      </c>
      <c r="CF29" s="15" t="s">
        <v>15</v>
      </c>
      <c r="CG29" s="15" t="str">
        <f xml:space="preserve"> $CF29</f>
        <v>&lt;/svg&gt;</v>
      </c>
      <c r="CH29" s="15" t="str">
        <f t="shared" ref="CH29:CS29" si="18" xml:space="preserve"> $CF29</f>
        <v>&lt;/svg&gt;</v>
      </c>
      <c r="CI29" s="15" t="str">
        <f t="shared" si="18"/>
        <v>&lt;/svg&gt;</v>
      </c>
      <c r="CJ29" s="15" t="str">
        <f t="shared" si="18"/>
        <v>&lt;/svg&gt;</v>
      </c>
      <c r="CK29" s="15" t="str">
        <f t="shared" si="18"/>
        <v>&lt;/svg&gt;</v>
      </c>
      <c r="CL29" s="15" t="str">
        <f t="shared" si="18"/>
        <v>&lt;/svg&gt;</v>
      </c>
      <c r="CM29" s="15" t="str">
        <f t="shared" si="18"/>
        <v>&lt;/svg&gt;</v>
      </c>
      <c r="CN29" s="15" t="str">
        <f t="shared" si="18"/>
        <v>&lt;/svg&gt;</v>
      </c>
      <c r="CO29" s="15" t="str">
        <f t="shared" si="18"/>
        <v>&lt;/svg&gt;</v>
      </c>
      <c r="CP29" s="15" t="str">
        <f t="shared" si="18"/>
        <v>&lt;/svg&gt;</v>
      </c>
      <c r="CQ29" s="15" t="str">
        <f t="shared" si="18"/>
        <v>&lt;/svg&gt;</v>
      </c>
      <c r="CR29" s="15" t="str">
        <f t="shared" si="18"/>
        <v>&lt;/svg&gt;</v>
      </c>
      <c r="CS29" s="15" t="str">
        <f t="shared" si="18"/>
        <v>&lt;/svg&gt;</v>
      </c>
      <c r="CT29" s="10" t="str">
        <f t="shared" si="12"/>
        <v/>
      </c>
      <c r="CU29" s="11" t="str">
        <f t="shared" si="13"/>
        <v/>
      </c>
    </row>
    <row r="32" spans="2:99">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CUP</v>
      </c>
      <c r="V32" t="str">
        <f xml:space="preserve"> _xlfn.SINGLE(Simple.ID)</f>
        <v>AFN</v>
      </c>
      <c r="X32" t="str">
        <f xml:space="preserve"> _xlfn.SINGLE(Simple.ID)</f>
        <v>MGA</v>
      </c>
      <c r="Z32" t="str">
        <f xml:space="preserve"> _xlfn.SINGLE(Simple.ID)</f>
        <v>IRR</v>
      </c>
      <c r="AB32" t="str">
        <f xml:space="preserve"> _xlfn.SINGLE(Simple.ID)</f>
        <v>AOA</v>
      </c>
      <c r="AD32" t="str">
        <f xml:space="preserve"> _xlfn.SINGLE(Simple.ID)</f>
        <v>BRL</v>
      </c>
      <c r="AF32" t="str">
        <f xml:space="preserve"> _xlfn.SINGLE(Simple.ID)</f>
        <v>BSD</v>
      </c>
      <c r="AH32" t="str">
        <f xml:space="preserve"> _xlfn.SINGLE(Simple.ID)</f>
        <v>NGN</v>
      </c>
      <c r="AJ32" t="str">
        <f xml:space="preserve"> _xlfn.SINGLE(Simple.ID)</f>
        <v>DOP</v>
      </c>
      <c r="AL32" t="str">
        <f xml:space="preserve"> _xlfn.SINGLE(Simple.ID)</f>
        <v>TTD</v>
      </c>
      <c r="AN32" t="str">
        <f xml:space="preserve"> _xlfn.SINGLE(Simple.ID)</f>
        <v>JMD</v>
      </c>
      <c r="AP32" t="str">
        <f xml:space="preserve"> _xlfn.SINGLE(Simple.ID)</f>
        <v>KYS</v>
      </c>
      <c r="AR32" t="str">
        <f xml:space="preserve"> _xlfn.SINGLE(Simple.ID)</f>
        <v>TZS</v>
      </c>
      <c r="AT32" t="str">
        <f xml:space="preserve"> _xlfn.SINGLE(Simple.ID)</f>
        <v>CDF</v>
      </c>
      <c r="AV32" t="str">
        <f xml:space="preserve"> _xlfn.SINGLE(Simple.ID)</f>
        <v>DE</v>
      </c>
      <c r="AX32" t="str">
        <f xml:space="preserve"> _xlfn.SINGLE(Simple.ID)</f>
        <v>DE_2</v>
      </c>
      <c r="AZ32" t="str">
        <f xml:space="preserve"> _xlfn.SINGLE(Simple.ID)</f>
        <v>AT</v>
      </c>
      <c r="BB32" t="str">
        <f xml:space="preserve"> _xlfn.SINGLE(Simple.ID)</f>
        <v>AT_2</v>
      </c>
      <c r="BD32" t="str">
        <f xml:space="preserve"> _xlfn.SINGLE(Simple.ID)</f>
        <v>LU</v>
      </c>
      <c r="BF32" t="str">
        <f xml:space="preserve"> _xlfn.SINGLE(Simple.ID)</f>
        <v>HR</v>
      </c>
      <c r="BH32" t="str">
        <f xml:space="preserve"> _xlfn.SINGLE(Simple.ID)</f>
        <v>CZK</v>
      </c>
      <c r="BJ32" t="str">
        <f xml:space="preserve"> _xlfn.SINGLE(Simple.ID)</f>
        <v>PS</v>
      </c>
      <c r="BL32" t="str">
        <f xml:space="preserve"> _xlfn.SINGLE(Simple.ID)</f>
        <v>_ESM</v>
      </c>
      <c r="BN32" t="str">
        <f xml:space="preserve"> _xlfn.SINGLE(Simple.ID)</f>
        <v>_EFSF</v>
      </c>
      <c r="BP32" t="str">
        <f xml:space="preserve"> _xlfn.SINGLE(Simple.ID)</f>
        <v>_KfW</v>
      </c>
      <c r="BR32" t="str">
        <f xml:space="preserve"> _xlfn.SINGLE(Simple.ID)</f>
        <v>_BCIE</v>
      </c>
      <c r="BT32" t="str">
        <f xml:space="preserve"> _xlfn.SINGLE(Simple.ID)</f>
        <v>XK</v>
      </c>
      <c r="BV32" t="str">
        <f xml:space="preserve"> _xlfn.SINGLE(Simple.ID)</f>
        <v>XPT</v>
      </c>
      <c r="BX32" t="str">
        <f xml:space="preserve"> _xlfn.SINGLE(Simple.ID)</f>
        <v>_EIB</v>
      </c>
      <c r="BZ32" t="str">
        <f xml:space="preserve"> _xlfn.SINGLE(Simple.ID)</f>
        <v>_AfExIm</v>
      </c>
      <c r="CB32" t="str">
        <f xml:space="preserve"> _xlfn.SINGLE(Simple.ID)</f>
        <v>GYD</v>
      </c>
      <c r="CD32" t="str">
        <f xml:space="preserve"> _xlfn.SINGLE(Simple.ID)</f>
        <v>XOF</v>
      </c>
      <c r="CF32" t="str">
        <f t="shared" ref="CF32:CS32" si="19" xml:space="preserve"> _xlfn.SINGLE(Simple.ID)</f>
        <v>XXX_0_FFF</v>
      </c>
      <c r="CG32" t="str">
        <f t="shared" si="19"/>
        <v>XXX_0_0F0</v>
      </c>
      <c r="CH32" t="str">
        <f t="shared" si="19"/>
        <v>XXX_0_F00</v>
      </c>
      <c r="CI32" t="str">
        <f t="shared" si="19"/>
        <v>XXX_0_00F</v>
      </c>
      <c r="CJ32" t="str">
        <f t="shared" si="19"/>
        <v>XXX_0_F0F</v>
      </c>
      <c r="CK32" t="str">
        <f t="shared" si="19"/>
        <v>XXX_0_0FF</v>
      </c>
      <c r="CL32" t="str">
        <f t="shared" si="19"/>
        <v>XXX_0_FF0</v>
      </c>
      <c r="CM32" t="str">
        <f t="shared" si="19"/>
        <v>XXX_6_FFF</v>
      </c>
      <c r="CN32" t="str">
        <f t="shared" si="19"/>
        <v>XXX_6_0F0</v>
      </c>
      <c r="CO32" t="str">
        <f t="shared" si="19"/>
        <v>XXX_6_F00</v>
      </c>
      <c r="CP32" t="str">
        <f t="shared" si="19"/>
        <v>XXX_6_00F</v>
      </c>
      <c r="CQ32" t="str">
        <f t="shared" si="19"/>
        <v>XXX_6_F0F</v>
      </c>
      <c r="CR32" t="str">
        <f t="shared" si="19"/>
        <v>XXX_6_0FF</v>
      </c>
      <c r="CS32" t="str">
        <f t="shared" si="19"/>
        <v>XXX_6_FF0</v>
      </c>
    </row>
    <row r="34" spans="3:85">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85">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c r="CF35">
        <v>-3</v>
      </c>
      <c r="CG35">
        <v>-4</v>
      </c>
    </row>
    <row r="36" spans="3:85">
      <c r="C36" t="str" cm="1">
        <f t="array" aca="1" ref="C36" ca="1" xml:space="preserve"> "Used in " &amp; CELL("address", $D$27) &amp; ": do not delete:"</f>
        <v>Used in $D$27: do not delete:</v>
      </c>
      <c r="D36">
        <f xml:space="preserve"> MROUND(AVERAGE(D34:D35), 0.2)</f>
        <v>9</v>
      </c>
      <c r="F36">
        <f xml:space="preserve"> MROUND(AVERAGE(F34:F35), 0.2)</f>
        <v>9</v>
      </c>
      <c r="CF36">
        <v>-4</v>
      </c>
      <c r="CG36">
        <v>-3</v>
      </c>
    </row>
    <row r="37" spans="3:85">
      <c r="G37" t="str" cm="1">
        <f t="array" aca="1" ref="G37" ca="1" xml:space="preserve"> "Used in " &amp; CELL("address", $H$39) &amp; ": do not delete:"</f>
        <v>Used in $H$39: do not delete:</v>
      </c>
      <c r="H37">
        <f xml:space="preserve"> SQRT((Simple.MaxX - 2)^2 - 3^2)</f>
        <v>7.416198487095663</v>
      </c>
      <c r="CF37">
        <v>3</v>
      </c>
      <c r="CG37">
        <v>4</v>
      </c>
    </row>
    <row r="38" spans="3:85">
      <c r="G38" t="str" cm="1">
        <f t="array" aca="1" ref="G38" ca="1" xml:space="preserve"> "Used in " &amp; CELL("address", $H$39) &amp; ": do not delete:"</f>
        <v>Used in $H$39: do not delete:</v>
      </c>
      <c r="H38">
        <f xml:space="preserve"> SQRT((Simple.MaxX - 0)^2 - 3^2)</f>
        <v>9.5393920141694561</v>
      </c>
      <c r="CF38">
        <v>4</v>
      </c>
      <c r="CG38">
        <v>3</v>
      </c>
    </row>
    <row r="39" spans="3:85">
      <c r="G39" t="str" cm="1">
        <f t="array" aca="1" ref="G39" ca="1" xml:space="preserve"> "Used in " &amp; CELL("address", $H$27) &amp; ": do not delete:"</f>
        <v>Used in $H$27: do not delete:</v>
      </c>
      <c r="H39">
        <f xml:space="preserve"> MROUND(AVERAGE(MAX(H$34, H$37), MIN(H$35, H$38)), 1)</f>
        <v>9</v>
      </c>
    </row>
    <row r="40" spans="3:85">
      <c r="T40">
        <f xml:space="preserve"> 15 * SQRT(3)/2</f>
        <v>12.990381056766578</v>
      </c>
      <c r="BF40" s="5"/>
      <c r="CG40" t="str">
        <f xml:space="preserve"> _xlfn.TEXTJOIN("", TRUE, svgpath($CF35:$CF38, $CG35:$CG38, 5))</f>
        <v>M-3 -4l-1 1L3 4L4 3Z</v>
      </c>
    </row>
    <row r="41" spans="3:85">
      <c r="T41">
        <f xml:space="preserve"> 15 * 2 - T40</f>
        <v>17.00961894323342</v>
      </c>
      <c r="BF41" s="5"/>
    </row>
    <row r="42" spans="3:85">
      <c r="T42">
        <f xml:space="preserve"> _xlfn.LET(_xlpm.actual,SQRT(3),   _xlpm.approx,26/15,   1 / LN(_xlpm.approx/_xlpm.actual) )</f>
        <v>1350.9997532689561</v>
      </c>
      <c r="CF42">
        <v>4</v>
      </c>
      <c r="CG42">
        <v>-3</v>
      </c>
    </row>
    <row r="43" spans="3:85">
      <c r="T43">
        <f xml:space="preserve"> 26^2   -   3 * 15^2</f>
        <v>1</v>
      </c>
      <c r="CF43">
        <v>3</v>
      </c>
      <c r="CG43">
        <v>-4</v>
      </c>
    </row>
    <row r="44" spans="3:85">
      <c r="T44" t="str">
        <f>"In the [flag of Cuba](https://en.wikipedia.org/wiki/Flag_of_Cuba#Specifications), from the tip of the red triangle to the edge of the fly has the ratio (4&amp;minus;&amp;radic;3)&amp;ratio;2 &amp;equiv; &amp;asymp;" &amp; ROUND(15*(4 - SQRT(3))/2,4) &amp; "&amp;ratio;15, here rounded to 17:&amp;ratio;15."</f>
        <v>In the [flag of Cuba](https://en.wikipedia.org/wiki/Flag_of_Cuba#Specifications), from the tip of the red triangle to the edge of the fly has the ratio (4&amp;minus;&amp;radic;3)&amp;ratio;2 &amp;equiv; &amp;asymp;17.0096&amp;ratio;15, here rounded to 17:&amp;ratio;15.</v>
      </c>
      <c r="CF44">
        <v>-4</v>
      </c>
      <c r="CG44">
        <v>3</v>
      </c>
    </row>
    <row r="45" spans="3:85">
      <c r="CF45">
        <v>-3</v>
      </c>
      <c r="CG45">
        <v>4</v>
      </c>
    </row>
    <row r="46" spans="3:85">
      <c r="T46">
        <f xml:space="preserve"> 15*(4 - SQRT(3)) / 2</f>
        <v>17.00961894323342</v>
      </c>
    </row>
    <row r="47" spans="3:85">
      <c r="CG47" t="str">
        <f xml:space="preserve"> _xlfn.TEXTJOIN("", TRUE, svgpath($CF42:$CF45, $CG42:$CG45, 5))</f>
        <v>M4 -3L3 -4L-4 3l1 1Z</v>
      </c>
    </row>
    <row r="48" spans="3:85">
      <c r="BF48" s="5"/>
    </row>
    <row r="49" spans="58:58">
      <c r="BF49" s="5"/>
    </row>
  </sheetData>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8"/>
  <sheetViews>
    <sheetView workbookViewId="0">
      <selection activeCell="B2" sqref="B2"/>
    </sheetView>
  </sheetViews>
  <sheetFormatPr baseColWidth="10" defaultRowHeight="16"/>
  <sheetData>
    <row r="2" spans="2:19" ht="17" thickBot="1">
      <c r="F2" t="s">
        <v>1669</v>
      </c>
      <c r="G2" t="s">
        <v>1670</v>
      </c>
      <c r="I2" t="s">
        <v>326</v>
      </c>
      <c r="P2" t="s">
        <v>1671</v>
      </c>
      <c r="Q2" t="s">
        <v>1672</v>
      </c>
      <c r="S2" t="s">
        <v>617</v>
      </c>
    </row>
    <row r="3" spans="2:19">
      <c r="E3">
        <f xml:space="preserve"> I$40</f>
        <v>441</v>
      </c>
      <c r="F3" s="34">
        <v>1</v>
      </c>
      <c r="G3" s="34">
        <f xml:space="preserve"> AUD.SizeOuter * 0.65</f>
        <v>0.65</v>
      </c>
      <c r="I3" s="34">
        <f xml:space="preserve"> DecimalPlaces - INT(LOG(MIN(  MAX(AUD.RawX) - MIN(AUD.RawX),  MAX(AUD.RawY) - MIN(AUD.RawY)  )/2, 10) + 0.2)</f>
        <v>5</v>
      </c>
      <c r="O3">
        <f xml:space="preserve"> S$40</f>
        <v>435</v>
      </c>
      <c r="P3" s="34">
        <v>1</v>
      </c>
      <c r="Q3" s="34">
        <f xml:space="preserve"> JOD.SizeOuter * 0.65</f>
        <v>0.65</v>
      </c>
      <c r="S3" s="34">
        <f xml:space="preserve"> DecimalPlaces - INT(LOG(MIN(  MAX(JOD.RawX) - MIN(JOD.RawX),  MAX(JOD.RawY) - MIN(JOD.RawY)  )/2, 10) + 0.2)</f>
        <v>5</v>
      </c>
    </row>
    <row r="5" spans="2:19" ht="17" thickBot="1">
      <c r="B5" s="3" t="s">
        <v>616</v>
      </c>
      <c r="C5" s="3" t="s">
        <v>615</v>
      </c>
      <c r="F5" s="3" t="s">
        <v>327</v>
      </c>
      <c r="G5" s="3" t="s">
        <v>328</v>
      </c>
      <c r="I5" s="3" t="s">
        <v>1749</v>
      </c>
      <c r="P5" s="3" t="s">
        <v>476</v>
      </c>
      <c r="Q5" s="3" t="s">
        <v>477</v>
      </c>
      <c r="S5" s="3" t="s">
        <v>1750</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-1.2246467991473532E-16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-1.2246467991473532E-16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335</v>
      </c>
      <c r="I22">
        <f xml:space="preserve"> ROUND( MIN(AUD.RawX), AUD.DecimalPlaces)</f>
        <v>-0.97492999999999996</v>
      </c>
      <c r="R22" s="4" t="s">
        <v>484</v>
      </c>
      <c r="S22">
        <f xml:space="preserve"> ROUND( MIN(JOD.RawX), JOD.DecimalPlaces)</f>
        <v>-0.97492999999999996</v>
      </c>
    </row>
    <row r="23" spans="2:19">
      <c r="H23" s="4" t="s">
        <v>336</v>
      </c>
      <c r="I23">
        <f xml:space="preserve"> ROUND(MAX(AUD.RawX), AUD.DecimalPlaces)</f>
        <v>0.97492999999999996</v>
      </c>
      <c r="R23" s="4" t="s">
        <v>485</v>
      </c>
      <c r="S23">
        <f xml:space="preserve"> ROUND(MAX(JOD.RawX), JOD.DecimalPlaces)</f>
        <v>0.97492999999999996</v>
      </c>
    </row>
    <row r="24" spans="2:19">
      <c r="H24" s="4" t="s">
        <v>337</v>
      </c>
      <c r="I24">
        <f xml:space="preserve"> ROUND( MIN(AUD.RawY), AUD.DecimalPlaces)</f>
        <v>-1</v>
      </c>
      <c r="R24" s="4" t="s">
        <v>486</v>
      </c>
      <c r="S24">
        <f xml:space="preserve"> ROUND( MIN(JOD.RawY), JOD.DecimalPlaces)</f>
        <v>-1</v>
      </c>
    </row>
    <row r="25" spans="2:19">
      <c r="H25" s="4" t="s">
        <v>338</v>
      </c>
      <c r="I25">
        <f xml:space="preserve"> ROUND(MAX(AUD.RawY), AUD.DecimalPlaces)</f>
        <v>0.90097000000000005</v>
      </c>
      <c r="R25" s="4" t="s">
        <v>487</v>
      </c>
      <c r="S25">
        <f xml:space="preserve"> ROUND(MAX(JOD.RawY), JOD.DecimalPlaces)</f>
        <v>0.90097000000000005</v>
      </c>
    </row>
    <row r="27" spans="2:19">
      <c r="H27" s="4" t="s">
        <v>329</v>
      </c>
      <c r="I27" s="26">
        <v>1.75</v>
      </c>
      <c r="R27" s="4" t="s">
        <v>478</v>
      </c>
      <c r="S27" s="26">
        <f xml:space="preserve"> AUD.AreaMultiplier</f>
        <v>1.75</v>
      </c>
    </row>
    <row r="28" spans="2:19">
      <c r="H28" s="4" t="s">
        <v>330</v>
      </c>
      <c r="I28">
        <f xml:space="preserve">  MAX(AUD.MaxY, - AUD.MinY)   /   MAX(AUD.MaxX, - AUD.MinX)</f>
        <v>1.0257146666940191</v>
      </c>
      <c r="R28" s="4" t="s">
        <v>479</v>
      </c>
      <c r="S28">
        <f xml:space="preserve">  MAX(JOD.MaxY, - JOD.MinY)   /   MAX(JOD.MaxX, - JOD.MinX)</f>
        <v>1.0257146666940191</v>
      </c>
    </row>
    <row r="29" spans="2:19">
      <c r="H29" s="4" t="s">
        <v>331</v>
      </c>
      <c r="I29">
        <f xml:space="preserve"> VALUE(TEXT(SQRT(AUD.AreaMultiplier * BasicBBoxArea * AUD.Aspect), SVG.NumberFormatHeight))</f>
        <v>13.4</v>
      </c>
      <c r="R29" s="4" t="s">
        <v>480</v>
      </c>
      <c r="S29">
        <f xml:space="preserve"> VALUE(TEXT(SQRT(JOD.AreaMultiplier * BasicBBoxArea * JOD.Aspect), SVG.NumberFormatHeight))</f>
        <v>13.4</v>
      </c>
    </row>
    <row r="30" spans="2:19">
      <c r="H30" s="4" t="s">
        <v>332</v>
      </c>
      <c r="I30">
        <f xml:space="preserve"> AUD.Height / AUD.Aspect</f>
        <v>13.064062</v>
      </c>
      <c r="R30" s="4" t="s">
        <v>481</v>
      </c>
      <c r="S30" cm="1">
        <f t="array" ref="S30" xml:space="preserve"> JOD.Height / JOD.Aspect</f>
        <v>13.064062</v>
      </c>
    </row>
    <row r="32" spans="2:19">
      <c r="H32" s="4" t="s">
        <v>333</v>
      </c>
      <c r="I32" t="s">
        <v>1058</v>
      </c>
      <c r="R32" s="4" t="s">
        <v>482</v>
      </c>
      <c r="S32" t="s">
        <v>745</v>
      </c>
    </row>
    <row r="33" spans="7:19">
      <c r="H33" s="4" t="s">
        <v>334</v>
      </c>
      <c r="I33" t="s">
        <v>724</v>
      </c>
      <c r="R33" s="4" t="s">
        <v>483</v>
      </c>
      <c r="S33" t="s">
        <v>2073</v>
      </c>
    </row>
    <row r="36" spans="7:19">
      <c r="H36" s="4" t="s">
        <v>2726</v>
      </c>
      <c r="I36" t="str">
        <f xml:space="preserve"> _xlfn.LET(_xlpm.multLinear,IF(SizeConstant, SQRT(AreaMultiplier_Max / _xlfn.SINGLE(AUD.AreaMultiplier)), 1),   _xlpm.dp,_xlfn.SINGLE(AUD.DecimalPlaces),
_xlpm.minX,ROUND(_xlpm.multLinear * _xlfn.SINGLE(AUD.MinX), _xlpm.dp),
_xlpm.minY,ROUND(_xlpm.multLinear * _xlfn.SINGLE(AUD.MinY), _xlpm.dp),
_xlpm.maxX,ROUND(_xlpm.multLinear * _xlfn.SINGLE(AUD.MaxX), _xlpm.dp),
_xlpm.maxY,ROUND(_xlpm.multLinear * _xlfn.SINGLE(AUD.MaxY), _xlpm.dp),  _xlpm.ans,_xlpm.minX &amp; " " &amp; _xlpm.minY &amp; " " &amp; ROUND(_xlpm.maxX - _xlpm.minX, _xlpm.dp) &amp; " " &amp; ROUND(_xlpm.maxY - _xlpm.minY, _xlpm.dp),   _xlpm.ans)</f>
        <v>-0.97493 -1 1.94986 1.90097</v>
      </c>
      <c r="R36" s="4" t="s">
        <v>2725</v>
      </c>
      <c r="S36" t="str">
        <f xml:space="preserve"> _xlfn.LET(_xlpm.multLinear,IF(SizeConstant, SQRT(AreaMultiplier_Max / _xlfn.SINGLE(JOD.AreaMultiplier)), 1),   _xlpm.dp,_xlfn.SINGLE(JOD.DecimalPlaces),
_xlpm.minX,ROUND(_xlpm.multLinear * _xlfn.SINGLE(JOD.MinX), _xlpm.dp),
_xlpm.minY,ROUND(_xlpm.multLinear * _xlfn.SINGLE(JOD.MinY), _xlpm.dp),
_xlpm.maxX,ROUND(_xlpm.multLinear * _xlfn.SINGLE(JOD.MaxX), _xlpm.dp),
_xlpm.maxY,ROUND(_xlpm.multLinear * _xlfn.SINGLE(JOD.MaxY), _xlpm.dp),  _xlpm.ans,_xlpm.minX &amp; " " &amp; _xlpm.minY &amp; " " &amp; ROUND(_xlpm.maxX - _xlpm.minX, _xlpm.dp) &amp; " " &amp; ROUND(_xlpm.maxY - _xlpm.minY, _xlpm.dp),   _xlpm.ans)</f>
        <v>-0.97493 -1 1.94986 1.90097</v>
      </c>
    </row>
    <row r="37" spans="7:19">
      <c r="H37" s="4" t="s">
        <v>2744</v>
      </c>
      <c r="I37">
        <f xml:space="preserve"> ROUND(_xlfn.SINGLE(AUD.Width) * (_xlfn.SINGLE(AUD.MaxX) - _xlfn.SINGLE(AUD.MinX)) / MAX(_xlfn.SINGLE(AUD.MaxX),  -_xlfn.SINGLE(AUD.MinX)) / 2, svgSizeDecimalPlaces)</f>
        <v>13.06406</v>
      </c>
      <c r="R37" s="4" t="s">
        <v>2746</v>
      </c>
      <c r="S37">
        <f xml:space="preserve"> ROUND(_xlfn.SINGLE(JOD.Width) * (_xlfn.SINGLE(JOD.MaxX) - _xlfn.SINGLE(JOD.MinX)) / MAX(_xlfn.SINGLE(JOD.MaxX),  -_xlfn.SINGLE(JOD.MinX)) / 2, svgSizeDecimalPlaces)</f>
        <v>13.06406</v>
      </c>
    </row>
    <row r="38" spans="7:19">
      <c r="H38" s="4" t="s">
        <v>2745</v>
      </c>
      <c r="I38">
        <f xml:space="preserve"> ROUND(_xlfn.SINGLE(AUD.Height) * (_xlfn.SINGLE(AUD.MaxY) - _xlfn.SINGLE(AUD.MinY)) / MAX(_xlfn.SINGLE(AUD.MaxY),  -_xlfn.SINGLE(AUD.MinY)) / 2, svgSizeDecimalPlaces)</f>
        <v>12.736499999999999</v>
      </c>
      <c r="R38" s="4" t="s">
        <v>2747</v>
      </c>
      <c r="S38">
        <f xml:space="preserve"> ROUND(_xlfn.SINGLE(JOD.Height) * (_xlfn.SINGLE(JOD.MaxY) - _xlfn.SINGLE(JOD.MinY)) / MAX(_xlfn.SINGLE(JOD.MaxY),  -_xlfn.SINGLE(JOD.MinY)) / 2, svgSizeDecimalPlaces)</f>
        <v>12.736499999999999</v>
      </c>
    </row>
    <row r="40" spans="7:19">
      <c r="I40" cm="1">
        <f t="array" ref="I40" xml:space="preserve"> SVG_length(AUD.svg)</f>
        <v>441</v>
      </c>
      <c r="S40" cm="1">
        <f t="array" ref="S40" xml:space="preserve"> SVG_length(JOD.svg)</f>
        <v>435</v>
      </c>
    </row>
    <row r="42" spans="7:19" ht="17" thickBot="1">
      <c r="I42" s="3" t="s">
        <v>339</v>
      </c>
      <c r="S42" s="3" t="s">
        <v>488</v>
      </c>
    </row>
    <row r="43" spans="7:19">
      <c r="G43" s="5"/>
      <c r="I43"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width='13.06406' height='13.4' viewBox='-0.97493 -1 1.94986 2'  id='%thisID%' xmlns='http://www.w3.org/2000/svg'&gt;</v>
      </c>
      <c r="S43"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width='13.06406' height='13.4' viewBox='-0.97493 -1 1.94986 2'  id='%thisID%' xmlns='http://www.w3.org/2000/svg'&gt;</v>
      </c>
    </row>
    <row r="44" spans="7:19">
      <c r="G44" s="5"/>
      <c r="I44"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44"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5" spans="7:19">
      <c r="G45" s="5"/>
      <c r="I45" s="5" t="str">
        <f xml:space="preserve"> "&lt;use href='#AUD-s' " &amp; IF(LEN(_xlfn.SINGLE(AUD.SVG_painting_Outer))&gt;0, TRIM(_xlfn.SINGLE(AUD.SVG_painting_Outer)), "") &amp; "/&gt;"</f>
        <v>&lt;use href='#AUD-s' fill='#00843D'/&gt;</v>
      </c>
      <c r="S45" s="5" t="str">
        <f xml:space="preserve"> "&lt;use href='#JOD-s' " &amp; IF(LEN(_xlfn.SINGLE(JOD.SVG_painting_Outer))&gt;0, TRIM(_xlfn.SINGLE(JOD.SVG_painting_Outer)), "") &amp; "/&gt;"</f>
        <v>&lt;use href='#JOD-s' fill='#CE1126'/&gt;</v>
      </c>
    </row>
    <row r="46" spans="7:19">
      <c r="G46" s="5"/>
      <c r="I46" s="5" t="str">
        <f xml:space="preserve"> "&lt;use href='#AUD-s' " &amp; IF(LEN(_xlfn.SINGLE(AUD.SVG_painting_Inner))&gt;0, TRIM(_xlfn.SINGLE(AUD.SVG_painting_Inner)), "") &amp; " transform='scale(" &amp; ROUND(AUD.SizeInner/AUD.SizeOuter, DecimalPlaces) &amp; ")'/&gt;"</f>
        <v>&lt;use href='#AUD-s' fill='#FFCD00' transform='scale(0.65)'/&gt;</v>
      </c>
      <c r="S46" s="5" t="str">
        <f xml:space="preserve"> "&lt;use href='#JOD-s' " &amp; IF(LEN(_xlfn.SINGLE(JOD.SVG_painting_Inner))&gt;0, TRIM(_xlfn.SINGLE(JOD.SVG_painting_Inner)), "") &amp; " transform='scale(" &amp; ROUND(JOD.SizeInner/JOD.SizeOuter, DecimalPlaces) &amp; ")'/&gt;"</f>
        <v>&lt;use href='#JOD-s' fill='#FFF' transform='scale(0.65)'/&gt;</v>
      </c>
    </row>
    <row r="47" spans="7:19">
      <c r="G47" s="5"/>
      <c r="I47" s="5" t="s">
        <v>15</v>
      </c>
      <c r="S47" s="5" t="s">
        <v>15</v>
      </c>
    </row>
    <row r="48" spans="7:19">
      <c r="G48" s="5"/>
    </row>
  </sheetData>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1448</v>
      </c>
      <c r="F2" s="3" t="s">
        <v>119</v>
      </c>
    </row>
    <row r="3" spans="2:16">
      <c r="B3">
        <v>5</v>
      </c>
      <c r="C3" s="5" t="s">
        <v>1461</v>
      </c>
      <c r="F3">
        <f xml:space="preserve"> DecimalPlaces - INT(LOG(MIN(  MAX(GBP.RawX) - MIN(GBP.RawX),  MAX(GBP.RawY) - MIN(GBP.RawY)  )/2, 10) + 0.2)</f>
        <v>4</v>
      </c>
    </row>
    <row r="5" spans="2:16" ht="17" thickBot="1">
      <c r="B5" s="3" t="s">
        <v>1449</v>
      </c>
      <c r="C5" s="3" t="s">
        <v>5</v>
      </c>
      <c r="D5" s="3" t="s">
        <v>6</v>
      </c>
      <c r="F5" s="3" t="s">
        <v>22</v>
      </c>
      <c r="K5" s="3" t="s">
        <v>1450</v>
      </c>
      <c r="L5" s="3" t="s">
        <v>1451</v>
      </c>
      <c r="M5" s="3" t="s">
        <v>1452</v>
      </c>
      <c r="N5" s="3" t="s">
        <v>1453</v>
      </c>
      <c r="O5" s="3" t="s">
        <v>1454</v>
      </c>
      <c r="P5" s="3" t="s">
        <v>1455</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1456</v>
      </c>
      <c r="I19">
        <f xml:space="preserve"> GBP.ArmHalfWidthOuter / -2.5</f>
        <v>-2</v>
      </c>
    </row>
    <row r="20" spans="2:16">
      <c r="B20" t="s">
        <v>23</v>
      </c>
      <c r="C20">
        <v>0</v>
      </c>
      <c r="D20" cm="1">
        <f t="array" ref="D20" xml:space="preserve"> GBP.ArmHalfWidthOuter * Sqrt5 / 2</f>
        <v>5.5901699437494745</v>
      </c>
      <c r="F20" t="str">
        <v>L0 5.5902</v>
      </c>
      <c r="H20" s="4" t="s">
        <v>1457</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2237</v>
      </c>
      <c r="K41" t="s">
        <v>0</v>
      </c>
      <c r="L41" t="s">
        <v>2240</v>
      </c>
      <c r="M41" t="s">
        <v>2241</v>
      </c>
      <c r="N41" t="s">
        <v>2242</v>
      </c>
      <c r="O41" t="s">
        <v>2243</v>
      </c>
      <c r="P41" t="s">
        <v>2244</v>
      </c>
    </row>
    <row r="42" spans="2:16">
      <c r="E42" s="4" t="s">
        <v>19</v>
      </c>
      <c r="F42">
        <f xml:space="preserve"> ROUND(MAX(GBP.RawX), GBP.DecimalPlaces)</f>
        <v>30</v>
      </c>
    </row>
    <row r="43" spans="2:16">
      <c r="E43" s="4" t="s">
        <v>20</v>
      </c>
      <c r="F43">
        <f xml:space="preserve"> ROUND( MIN(GBP.RawY), GBP.DecimalPlaces)</f>
        <v>-15</v>
      </c>
      <c r="J43" s="4" t="s">
        <v>1458</v>
      </c>
      <c r="K43" t="s">
        <v>1460</v>
      </c>
      <c r="L43" t="s">
        <v>1460</v>
      </c>
      <c r="M43" t="s">
        <v>713</v>
      </c>
      <c r="N43" t="s">
        <v>721</v>
      </c>
      <c r="O43" t="s">
        <v>2238</v>
      </c>
      <c r="P43" t="s">
        <v>721</v>
      </c>
    </row>
    <row r="44" spans="2:16">
      <c r="E44" s="4" t="s">
        <v>21</v>
      </c>
      <c r="F44">
        <f xml:space="preserve"> ROUND(MAX(GBP.RawY), GBP.DecimalPlaces)</f>
        <v>15</v>
      </c>
      <c r="J44" s="4" t="s">
        <v>1459</v>
      </c>
      <c r="K44" t="s">
        <v>721</v>
      </c>
      <c r="L44" t="s">
        <v>2073</v>
      </c>
      <c r="M44" t="s">
        <v>1764</v>
      </c>
      <c r="N44" t="s">
        <v>2073</v>
      </c>
      <c r="O44" t="s">
        <v>721</v>
      </c>
      <c r="P44" t="s">
        <v>2238</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7.2</v>
      </c>
      <c r="L48">
        <v>7.2</v>
      </c>
      <c r="M48">
        <v>7.2</v>
      </c>
      <c r="N48">
        <v>7.2</v>
      </c>
      <c r="O48">
        <v>7.2</v>
      </c>
      <c r="P48">
        <v>7.2</v>
      </c>
    </row>
    <row r="49" spans="10:16">
      <c r="J49" s="4" t="s">
        <v>83</v>
      </c>
      <c r="K49" cm="1">
        <f t="array" ref="K49:P49" xml:space="preserve"> GBP.Height / GBP.Aspect</f>
        <v>14.4</v>
      </c>
      <c r="L49">
        <v>14.4</v>
      </c>
      <c r="M49">
        <v>14.4</v>
      </c>
      <c r="N49">
        <v>14.4</v>
      </c>
      <c r="O49">
        <v>14.4</v>
      </c>
      <c r="P49">
        <v>14.4</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width='14.4' height='7.2' viewBox='-30 -15 60 30'  id='%thisID%' xmlns='http://www.w3.org/2000/svg'&gt;</v>
      </c>
      <c r="L53" s="5" t="str">
        <f xml:space="preserve"> $K53</f>
        <v>&lt;svg width='14.4' height='7.2' viewBox='-30 -15 60 30'  id='%thisID%' xmlns='http://www.w3.org/2000/svg'&gt;</v>
      </c>
      <c r="M53" s="5" t="str">
        <f t="shared" ref="M53:P53" si="2" xml:space="preserve"> $K53</f>
        <v>&lt;svg width='14.4' height='7.2' viewBox='-30 -15 60 30'  id='%thisID%' xmlns='http://www.w3.org/2000/svg'&gt;</v>
      </c>
      <c r="N53" s="5" t="str">
        <f t="shared" si="2"/>
        <v>&lt;svg width='14.4' height='7.2' viewBox='-30 -15 60 30'  id='%thisID%' xmlns='http://www.w3.org/2000/svg'&gt;</v>
      </c>
      <c r="O53" s="5" t="str">
        <f t="shared" si="2"/>
        <v>&lt;svg width='14.4' height='7.2' viewBox='-30 -15 60 30'  id='%thisID%' xmlns='http://www.w3.org/2000/svg'&gt;</v>
      </c>
      <c r="P53" s="5" t="str">
        <f t="shared" si="2"/>
        <v>&lt;svg width='14.4' height='7.2' viewBox='-30 -15 60 30'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62"/>
  <sheetViews>
    <sheetView workbookViewId="0">
      <selection activeCell="B2" sqref="B2"/>
    </sheetView>
  </sheetViews>
  <sheetFormatPr baseColWidth="10" defaultRowHeight="16"/>
  <sheetData>
    <row r="2" spans="2:16" ht="17" thickBot="1">
      <c r="C2" s="3" t="s">
        <v>1766</v>
      </c>
      <c r="D2" s="3" t="s">
        <v>1765</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1737</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-MAX(CAD.RawY), CAD.DecimalPlaces)</f>
        <v>-0.78868000000000005</v>
      </c>
    </row>
    <row r="39" spans="2:16">
      <c r="E39" s="4" t="s">
        <v>67</v>
      </c>
      <c r="F39">
        <f xml:space="preserve"> ROUND( -MIN(CAD.RawY), CAD.DecimalPlaces)</f>
        <v>1</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13</v>
      </c>
    </row>
    <row r="44" spans="2:16">
      <c r="E44" s="4" t="s">
        <v>87</v>
      </c>
      <c r="F44" cm="1">
        <f t="array" ref="F44" xml:space="preserve"> CAD.Height / CAD.Aspect</f>
        <v>13.42497</v>
      </c>
    </row>
    <row r="46" spans="2:16">
      <c r="E46" s="4" t="s">
        <v>77</v>
      </c>
      <c r="F46" t="s">
        <v>731</v>
      </c>
    </row>
    <row r="47" spans="2:16">
      <c r="E47" s="4" t="s">
        <v>78</v>
      </c>
      <c r="F47" t="s">
        <v>2073</v>
      </c>
    </row>
    <row r="49" spans="4:7" ht="17" thickBot="1">
      <c r="F49" s="3" t="s">
        <v>2748</v>
      </c>
      <c r="G49" s="3" t="s">
        <v>2750</v>
      </c>
    </row>
    <row r="50" spans="4:7">
      <c r="F50">
        <f xml:space="preserve"> ROUND(_xlfn.SINGLE(CAD.Width) * (_xlfn.SINGLE(CAD.MaxX) - _xlfn.SINGLE(CAD.MinX)) / MAX(_xlfn.SINGLE(CAD.MaxX),  -_xlfn.SINGLE(CAD.MinX)) / 2, svgSizeDecimalPlaces)</f>
        <v>13.42497</v>
      </c>
      <c r="G50">
        <f xml:space="preserve"> CAD.TightWidth</f>
        <v>13.42497</v>
      </c>
    </row>
    <row r="52" spans="4:7" ht="17" thickBot="1">
      <c r="F52" s="3" t="s">
        <v>2749</v>
      </c>
      <c r="G52" s="3" t="s">
        <v>2751</v>
      </c>
    </row>
    <row r="53" spans="4:7">
      <c r="F53">
        <f xml:space="preserve"> ROUND(_xlfn.SINGLE(CAD.Width) * (_xlfn.SINGLE(CAD.MaxY) - _xlfn.SINGLE(CAD.MinY)) / MAX(_xlfn.SINGLE(CAD.MaxY),  -_xlfn.SINGLE(CAD.MinY)) / 2, svgSizeDecimalPlaces)</f>
        <v>12.006489999999999</v>
      </c>
      <c r="G53">
        <f xml:space="preserve"> CAD.TightHeight</f>
        <v>12.006489999999999</v>
      </c>
    </row>
    <row r="55" spans="4:7" ht="17" thickBot="1">
      <c r="F55" s="3" t="s">
        <v>2732</v>
      </c>
      <c r="G55" s="3" t="s">
        <v>2733</v>
      </c>
    </row>
    <row r="56" spans="4:7">
      <c r="F56" s="5" t="str">
        <f xml:space="preserve"> _xlfn.LET(_xlpm.multLinear,IF(SizeConstant, SQRT(AreaMultiplier_Max / _xlfn.SINGLE(CAD.AreaMultiplier)), 1),   _xlpm.dp,_xlfn.SINGLE(CAD.DecimalPlaces),
_xlpm.minX,ROUND(_xlpm.multLinear * _xlfn.SINGLE(CAD.MinX), _xlpm.dp),
_xlpm.minY,ROUND(_xlpm.multLinear * _xlfn.SINGLE(CAD.MinY), _xlpm.dp),
_xlpm.maxX,ROUND(_xlpm.multLinear * _xlfn.SINGLE(CAD.MaxX), _xlpm.dp),
_xlpm.maxY,ROUND(_xlpm.multLinear * _xlfn.SINGLE(CAD.MaxY), _xlpm.dp),  _xlpm.minX &amp; " " &amp; _xlpm.minY &amp; " " &amp; ROUND(_xlpm.maxX - _xlpm.minX, _xlpm.dp) &amp; " " &amp; ROUND(_xlpm.maxY - _xlpm.minY, _xlpm.dp) )</f>
        <v>-1.03269 -0.78868 2.06538 1.78868</v>
      </c>
      <c r="G56" t="str">
        <f xml:space="preserve"> CAD.viewBoxTight</f>
        <v>-1.03269 -0.78868 2.06538 1.78868</v>
      </c>
    </row>
    <row r="58" spans="4:7" ht="17" thickBot="1">
      <c r="F58" s="3" t="s">
        <v>92</v>
      </c>
      <c r="G58" s="3" t="s">
        <v>2262</v>
      </c>
    </row>
    <row r="59" spans="4:7">
      <c r="D59" cm="1">
        <f t="array" ref="D59" xml:space="preserve"> SVG_length(CAD.svg)</f>
        <v>417</v>
      </c>
      <c r="F59"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width='13.42497' height='13' viewBox='-1.03269 -1 2.06538 2'  id='%thisID%' xmlns='http://www.w3.org/2000/svg'&gt;</v>
      </c>
      <c r="G59" s="16" t="str" cm="1">
        <f t="array" ref="G59:G62" xml:space="preserve"> SUBSTITUTE(CAD.svg, "fill='#FFF'", "fill='#666'")</f>
        <v>&lt;svg width='13.42497' height='13' viewBox='-1.03269 -1 2.06538 2'  id='%thisID%' xmlns='http://www.w3.org/2000/svg'&gt;</v>
      </c>
    </row>
    <row r="60" spans="4:7">
      <c r="F60" s="5" t="str" cm="1">
        <f t="array" ref="F60"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60" s="5" t="str">
        <v>&lt;path fill='red' d='M1.03269 -.21132 L.69936 -.40377 V-.78868 L0 -.3849 L-.69936 -.78868 v.38491 l-.33333 .19245 l.69936 .40377 V1 L0 .80755 L.33333 1 V.19245Z'/&gt;</v>
      </c>
    </row>
    <row r="61" spans="4:7">
      <c r="F61" s="5" t="str" cm="1">
        <f t="array" ref="F61"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61" s="5" t="str">
        <v>&lt;path fill='#666' d='M.73322 -.21132 l-.1836 -.106 v-.212 L0 -.212 L-.54962 -.52932 v.212 l-.1836 .106 L-.1836 .106 V.74065 L0 .63465 l.1836 .106 V.106Z'/&gt;</v>
      </c>
    </row>
    <row r="62" spans="4:7">
      <c r="F62" s="5" t="s">
        <v>15</v>
      </c>
      <c r="G62" s="5" t="str">
        <v>&lt;/svg&gt;</v>
      </c>
    </row>
  </sheetData>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8"/>
  <sheetViews>
    <sheetView workbookViewId="0">
      <selection activeCell="B2" sqref="B2"/>
    </sheetView>
  </sheetViews>
  <sheetFormatPr baseColWidth="10" defaultRowHeight="16"/>
  <sheetData>
    <row r="2" spans="2:5" ht="17" thickBot="1">
      <c r="B2" s="3" t="s">
        <v>1767</v>
      </c>
      <c r="C2" s="3" t="s">
        <v>1768</v>
      </c>
      <c r="D2" s="3" t="s">
        <v>1675</v>
      </c>
      <c r="E2" s="3" t="s">
        <v>189</v>
      </c>
    </row>
    <row r="3" spans="2:5">
      <c r="B3" t="b">
        <v>0</v>
      </c>
      <c r="C3" t="b">
        <v>1</v>
      </c>
      <c r="D3">
        <v>1</v>
      </c>
      <c r="E3">
        <f xml:space="preserve"> DecimalPlaces - INT(LOG(HKD.Size, 10) + 0.2)</f>
        <v>5</v>
      </c>
    </row>
    <row r="5" spans="2:5" ht="17" thickBot="1">
      <c r="B5" s="3" t="s">
        <v>190</v>
      </c>
      <c r="C5" s="3" t="s">
        <v>191</v>
      </c>
      <c r="E5" s="3" t="s">
        <v>1736</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-MAX(HKD.RawY), HKD.DecimalPlaces)</f>
        <v>-1</v>
      </c>
    </row>
    <row r="17" spans="4:5">
      <c r="D17" s="4" t="s">
        <v>199</v>
      </c>
      <c r="E17">
        <f xml:space="preserve"> ROUND( -MIN(HKD.RawY), HKD.DecimalPlaces)</f>
        <v>0.80901999999999996</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11.5</v>
      </c>
    </row>
    <row r="22" spans="4:5">
      <c r="D22" s="4" t="s">
        <v>195</v>
      </c>
      <c r="E22" cm="1">
        <f t="array" ref="E22" xml:space="preserve"> HKD.Height / HKD.Aspect</f>
        <v>10.937190000000001</v>
      </c>
    </row>
    <row r="23" spans="4:5">
      <c r="D23" s="4"/>
      <c r="E23" s="5"/>
    </row>
    <row r="24" spans="4:5">
      <c r="D24" s="4" t="s">
        <v>201</v>
      </c>
      <c r="E24" s="5" t="s">
        <v>731</v>
      </c>
    </row>
    <row r="25" spans="4:5">
      <c r="D25" s="4" t="s">
        <v>202</v>
      </c>
      <c r="E25" s="5" t="s">
        <v>2073</v>
      </c>
    </row>
    <row r="27" spans="4:5">
      <c r="D27" s="4" t="s">
        <v>2752</v>
      </c>
      <c r="E27">
        <f xml:space="preserve"> ROUND(_xlfn.SINGLE(HKD.Width) * (_xlfn.SINGLE(HKD.MaxX) - _xlfn.SINGLE(HKD.MinX)) / MAX(_xlfn.SINGLE(HKD.MaxX),  -_xlfn.SINGLE(HKD.MinX)) / 2, svgSizeDecimalPlaces)</f>
        <v>10.937189999999999</v>
      </c>
    </row>
    <row r="28" spans="4:5">
      <c r="D28" s="4" t="s">
        <v>2753</v>
      </c>
      <c r="E28">
        <f xml:space="preserve"> ROUND(_xlfn.SINGLE(HKD.Height) * (_xlfn.SINGLE(HKD.MaxY) - _xlfn.SINGLE(HKD.MinY)) / MAX(_xlfn.SINGLE(HKD.MaxY),  -_xlfn.SINGLE(HKD.MinY)) / 2, svgSizeDecimalPlaces)</f>
        <v>10.401870000000001</v>
      </c>
    </row>
    <row r="29" spans="4:5">
      <c r="D29" s="4" t="s">
        <v>2727</v>
      </c>
      <c r="E29" s="5" t="str">
        <f xml:space="preserve"> _xlfn.LET(_xlpm.multLinear,IF(SizeConstant, SQRT(AreaMultiplier_Max / _xlfn.SINGLE(HKD.AreaMultiplier)), 1),   _xlpm.dp,_xlfn.SINGLE(HKD.DecimalPlaces),
_xlpm.minX,ROUND(_xlpm.multLinear * _xlfn.SINGLE(HKD.MinX), _xlpm.dp),
_xlpm.minY,ROUND(_xlpm.multLinear * _xlfn.SINGLE(HKD.MinY), _xlpm.dp),
_xlpm.maxX,ROUND(_xlpm.multLinear * _xlfn.SINGLE(HKD.MaxX), _xlpm.dp),
_xlpm.maxY,ROUND(_xlpm.multLinear * _xlfn.SINGLE(HKD.MaxY), _xlpm.dp),  _xlpm.minX &amp; " " &amp; _xlpm.minY &amp; " " &amp; ROUND(_xlpm.maxX - _xlpm.minX, _xlpm.dp) &amp; " " &amp; ROUND(_xlpm.maxY - _xlpm.minY, _xlpm.dp) )</f>
        <v>-0.95106 -1 1.90212 1.80902</v>
      </c>
    </row>
    <row r="32" spans="4:5">
      <c r="E32" cm="1">
        <f t="array" ref="E32" xml:space="preserve"> SVG_length(HKD.svg)</f>
        <v>411</v>
      </c>
    </row>
    <row r="34" spans="5:5" ht="17" thickBot="1">
      <c r="E34" s="3" t="s">
        <v>200</v>
      </c>
    </row>
    <row r="35" spans="5:5">
      <c r="E35"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width='10.93719' height='11.5' viewBox='-0.95106 -1 1.90212 2'  id='%thisID%' xmlns='http://www.w3.org/2000/svg'&gt;</v>
      </c>
    </row>
    <row r="36" spans="5:5">
      <c r="E36" s="5" t="str">
        <f xml:space="preserve"> "&lt;defs&gt;&lt;path id='HKD-p' d='" &amp; _xlfn.TEXTJOIN(" ", TRUE, HKD.svgWorking) &amp; "'/&gt;&lt;/defs&gt;"</f>
        <v>&lt;defs&gt;&lt;path id='HKD-p' d='M0 -1 l.95106 .69098 L.58779 .80902 H-.58779 L-.95106 -.30902'/&gt;&lt;/defs&gt;</v>
      </c>
    </row>
    <row r="37" spans="5:5">
      <c r="E37"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8" spans="5:5">
      <c r="E38" s="5" t="s">
        <v>15</v>
      </c>
    </row>
  </sheetData>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10</v>
      </c>
    </row>
    <row r="12" spans="5:6">
      <c r="E12" s="4" t="s">
        <v>208</v>
      </c>
      <c r="F12" cm="1">
        <f t="array" ref="F12" xml:space="preserve"> KRW.Height / KRW.Aspect</f>
        <v>10</v>
      </c>
    </row>
    <row r="14" spans="5:6">
      <c r="E14" s="4" t="s">
        <v>216</v>
      </c>
      <c r="F14">
        <v>1</v>
      </c>
    </row>
    <row r="15" spans="5:6">
      <c r="E15" s="4" t="s">
        <v>217</v>
      </c>
      <c r="F15" s="5" t="s">
        <v>748</v>
      </c>
    </row>
    <row r="16" spans="5:6">
      <c r="E16" s="4" t="s">
        <v>218</v>
      </c>
      <c r="F16" s="5" t="s">
        <v>749</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width='10' height='10' viewBox='-1 -1 2 2'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928</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-1.2246467991473532E-16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9.3000000000000007</v>
      </c>
    </row>
    <row r="44" spans="2:8">
      <c r="G44" s="4" t="s">
        <v>229</v>
      </c>
      <c r="H44" cm="1">
        <f t="array" ref="H44" xml:space="preserve"> MYR.Height / MYR.Aspect</f>
        <v>9.0668489999999995</v>
      </c>
    </row>
    <row r="46" spans="2:8">
      <c r="G46" s="4" t="s">
        <v>925</v>
      </c>
      <c r="H46" t="s">
        <v>926</v>
      </c>
    </row>
    <row r="47" spans="2:8">
      <c r="G47" s="4" t="s">
        <v>924</v>
      </c>
      <c r="H47" t="s">
        <v>927</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width='9.06685' height='9.3' viewBox='-0.97493 -1 1.94986 2'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1566</v>
      </c>
      <c r="E2" t="s">
        <v>236</v>
      </c>
    </row>
    <row r="3" spans="2:5">
      <c r="B3" s="34" cm="1">
        <f t="array" ref="B3" xml:space="preserve"> Sqrt2</f>
        <v>1.4142135623730951</v>
      </c>
      <c r="C3" cm="1">
        <f t="array" ref="C3" xml:space="preserve"> SVG_length(PHP.svg)</f>
        <v>472</v>
      </c>
      <c r="E3" s="34">
        <f xml:space="preserve"> DecimalPlaces - INT(LOG(PHP.Radius, 10) + 0.2)</f>
        <v>5</v>
      </c>
    </row>
    <row r="5" spans="2:5" ht="17" thickBot="1">
      <c r="B5" s="3" t="s">
        <v>237</v>
      </c>
      <c r="C5" s="3" t="s">
        <v>238</v>
      </c>
      <c r="E5" s="3" t="s">
        <v>1735</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11.2</v>
      </c>
    </row>
    <row r="48" spans="2:5">
      <c r="D48" s="4" t="s">
        <v>242</v>
      </c>
      <c r="E48" cm="1">
        <f t="array" ref="E48" xml:space="preserve"> PHP.Height / PHP.Aspect</f>
        <v>11.2</v>
      </c>
    </row>
    <row r="50" spans="4:5">
      <c r="D50" s="4" t="s">
        <v>249</v>
      </c>
      <c r="E50" s="5" t="s">
        <v>1052</v>
      </c>
    </row>
    <row r="51" spans="4:5">
      <c r="D51" s="4" t="s">
        <v>1567</v>
      </c>
      <c r="E51" s="5" t="s">
        <v>750</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width='11.2' height='11.2' viewBox='-1.41421 -1.41421 2.82842 2.82842'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284</v>
      </c>
      <c r="H2">
        <f xml:space="preserve"> DecimalPlaces - INT(LOG(MIN(  INR.MaxX - INR.MinX,  INR.MaxY - INR.MinY  )/2, 10) + 0.2)</f>
        <v>4</v>
      </c>
    </row>
    <row r="3" spans="5:8">
      <c r="H3"/>
    </row>
    <row r="4" spans="5:8">
      <c r="G4" s="4" t="s">
        <v>290</v>
      </c>
      <c r="H4">
        <f xml:space="preserve"> INR.Radius</f>
        <v>16</v>
      </c>
    </row>
    <row r="5" spans="5:8">
      <c r="G5" s="4" t="s">
        <v>292</v>
      </c>
      <c r="H5">
        <f xml:space="preserve"> INR.MaxX</f>
        <v>16</v>
      </c>
    </row>
    <row r="6" spans="5:8">
      <c r="G6" s="4" t="s">
        <v>289</v>
      </c>
      <c r="H6">
        <f xml:space="preserve"> - INR.MaxX</f>
        <v>-16</v>
      </c>
    </row>
    <row r="7" spans="5:8">
      <c r="G7" s="4" t="s">
        <v>291</v>
      </c>
      <c r="H7">
        <f xml:space="preserve"> - INR.MaxY</f>
        <v>-16</v>
      </c>
    </row>
    <row r="9" spans="5:8">
      <c r="G9" s="4" t="s">
        <v>285</v>
      </c>
      <c r="H9" s="26">
        <f xml:space="preserve"> MODE(Circles.AreaMultiplier)</f>
        <v>1</v>
      </c>
    </row>
    <row r="10" spans="5:8">
      <c r="G10" s="4" t="s">
        <v>286</v>
      </c>
      <c r="H10">
        <f xml:space="preserve">  MAX(INR.MaxY, - INR.MinY)   /   MAX(INR.MaxX, - INR.MinX)</f>
        <v>1</v>
      </c>
    </row>
    <row r="11" spans="5:8">
      <c r="G11" s="4" t="s">
        <v>287</v>
      </c>
      <c r="H11">
        <f xml:space="preserve"> VALUE(TEXT(SQRT(INR.AreaMultiplier * BasicBBoxArea * INR.Aspect), SVG.NumberFormatHeight))</f>
        <v>10</v>
      </c>
    </row>
    <row r="12" spans="5:8">
      <c r="G12" s="4" t="s">
        <v>288</v>
      </c>
      <c r="H12" cm="1">
        <f t="array" ref="H12" xml:space="preserve"> INR.Height / INR.Aspect</f>
        <v>10</v>
      </c>
    </row>
    <row r="13" spans="5:8">
      <c r="E13" cm="1">
        <f t="array" ref="E13" xml:space="preserve"> SVG_length(INR.svg)</f>
        <v>568</v>
      </c>
      <c r="H13"/>
    </row>
    <row r="14" spans="5:8">
      <c r="G14" s="4" t="s">
        <v>298</v>
      </c>
      <c r="H14">
        <v>16</v>
      </c>
    </row>
    <row r="15" spans="5:8">
      <c r="G15" s="4" t="s">
        <v>1694</v>
      </c>
      <c r="H15">
        <f xml:space="preserve"> 17/48</f>
        <v>0.35416666666666669</v>
      </c>
    </row>
    <row r="16" spans="5:8">
      <c r="G16" s="4" t="s">
        <v>1695</v>
      </c>
      <c r="H16">
        <v>8.1500000000000003E-2</v>
      </c>
    </row>
    <row r="17" spans="2:8">
      <c r="G17" s="4" t="s">
        <v>296</v>
      </c>
      <c r="H17" s="5" t="s">
        <v>753</v>
      </c>
    </row>
    <row r="18" spans="2:8">
      <c r="G18" s="4" t="s">
        <v>297</v>
      </c>
      <c r="H18" s="5" t="s">
        <v>2073</v>
      </c>
    </row>
    <row r="20" spans="2:8" ht="17" thickBot="1">
      <c r="B20" s="3" t="s">
        <v>294</v>
      </c>
      <c r="C20" s="3" t="s">
        <v>299</v>
      </c>
      <c r="D20" s="3" t="s">
        <v>300</v>
      </c>
      <c r="E20" s="3" t="s">
        <v>1751</v>
      </c>
      <c r="F20" s="3" t="s">
        <v>1752</v>
      </c>
      <c r="H20" s="35" t="s">
        <v>1499</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293</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width='10' height='10' viewBox='-16 -16 32 32'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266</v>
      </c>
      <c r="I2">
        <v>1</v>
      </c>
    </row>
    <row r="3" spans="6:9">
      <c r="F3" cm="1">
        <f t="array" ref="F3" xml:space="preserve"> SVG_length(KZT.svg)</f>
        <v>368</v>
      </c>
      <c r="H3" s="4" t="s">
        <v>261</v>
      </c>
      <c r="I3">
        <f xml:space="preserve"> DecimalPlaces - INT(LOG(KZT.Radius, 10) + 0.2)</f>
        <v>5</v>
      </c>
    </row>
    <row r="5" spans="6:9">
      <c r="H5" s="4" t="s">
        <v>267</v>
      </c>
      <c r="I5" s="21" t="s">
        <v>751</v>
      </c>
    </row>
    <row r="6" spans="6:9">
      <c r="H6" s="4" t="s">
        <v>273</v>
      </c>
      <c r="I6" s="21" t="s">
        <v>752</v>
      </c>
    </row>
    <row r="8" spans="6:9">
      <c r="H8" s="4" t="s">
        <v>268</v>
      </c>
      <c r="I8">
        <f xml:space="preserve"> - KZT.Radius</f>
        <v>-1</v>
      </c>
    </row>
    <row r="9" spans="6:9">
      <c r="H9" s="4" t="s">
        <v>269</v>
      </c>
      <c r="I9">
        <f xml:space="preserve"> KZT.Radius</f>
        <v>1</v>
      </c>
    </row>
    <row r="10" spans="6:9">
      <c r="H10" s="4" t="s">
        <v>270</v>
      </c>
      <c r="I10">
        <f xml:space="preserve"> - KZT.Radius</f>
        <v>-1</v>
      </c>
    </row>
    <row r="11" spans="6:9">
      <c r="H11" s="4" t="s">
        <v>271</v>
      </c>
      <c r="I11">
        <f xml:space="preserve"> KZT.Radius</f>
        <v>1</v>
      </c>
    </row>
    <row r="13" spans="6:9">
      <c r="H13" s="4" t="s">
        <v>262</v>
      </c>
      <c r="I13" s="26">
        <f xml:space="preserve"> MODE(Circles.AreaMultiplier) * KZT.Radius^2</f>
        <v>1</v>
      </c>
    </row>
    <row r="14" spans="6:9">
      <c r="H14" s="4" t="s">
        <v>263</v>
      </c>
      <c r="I14" cm="1">
        <f t="array" ref="I14" xml:space="preserve">  MAX(KZT.MaxY, - KZT.MinY)   /   MAX(KZT.MaxX, - KZT.MinX)</f>
        <v>1</v>
      </c>
    </row>
    <row r="15" spans="6:9">
      <c r="H15" s="4" t="s">
        <v>264</v>
      </c>
      <c r="I15">
        <f xml:space="preserve"> VALUE(TEXT(SQRT(KZT.AreaMultiplier * BasicBBoxArea * KZT.Aspect), SVG.NumberFormatHeight))</f>
        <v>10</v>
      </c>
    </row>
    <row r="16" spans="6:9">
      <c r="H16" s="4" t="s">
        <v>265</v>
      </c>
      <c r="I16">
        <f xml:space="preserve"> KZT.Height / KZT.Aspect</f>
        <v>10</v>
      </c>
    </row>
    <row r="18" spans="2:9" ht="17" thickBot="1">
      <c r="D18" s="3" t="s">
        <v>281</v>
      </c>
      <c r="E18" s="3" t="s">
        <v>280</v>
      </c>
      <c r="H18" s="4" t="s">
        <v>282</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283</v>
      </c>
      <c r="I19" cm="1">
        <f t="array" ref="I19" xml:space="preserve"> (SQRT(2+Sqrt2) - Sqrt2)^2 * 5/8  + (5*Sqrt2 - 2*SQRT(20+14*Sqrt2) + 6) / PI()</f>
        <v>0.26191862649111891</v>
      </c>
    </row>
    <row r="21" spans="2:9" ht="17" thickBot="1">
      <c r="B21" s="3" t="s">
        <v>274</v>
      </c>
      <c r="C21" s="3" t="s">
        <v>275</v>
      </c>
      <c r="D21" s="3" t="s">
        <v>276</v>
      </c>
      <c r="E21" s="3" t="s">
        <v>277</v>
      </c>
      <c r="F21" s="3" t="s">
        <v>278</v>
      </c>
      <c r="G21" s="3" t="s">
        <v>279</v>
      </c>
      <c r="I21" s="3" t="s">
        <v>272</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width='10' height='10' viewBox='-1 -1 2 2'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2245</v>
      </c>
    </row>
    <row r="26" spans="2:9">
      <c r="I26" s="21" t="s">
        <v>2246</v>
      </c>
    </row>
    <row r="27" spans="2:9">
      <c r="I27" s="21" t="s">
        <v>2247</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301</v>
      </c>
      <c r="F3" s="33">
        <f xml:space="preserve"> DecimalPlaces - INT(LOG(MIN(  MAX(PLN.RawX) - MIN(PLN.RawX),  MAX(PLN.RawY) - MIN(PLN.RawY)  )/2, 10) + 0.2)</f>
        <v>4</v>
      </c>
    </row>
    <row r="5" spans="2:16">
      <c r="E5" s="4" t="s">
        <v>324</v>
      </c>
      <c r="F5">
        <v>18</v>
      </c>
    </row>
    <row r="7" spans="2:16" ht="17" thickBot="1">
      <c r="B7" s="3" t="s">
        <v>302</v>
      </c>
      <c r="C7" s="3" t="s">
        <v>303</v>
      </c>
      <c r="D7" s="3" t="s">
        <v>304</v>
      </c>
      <c r="F7" s="3" t="s">
        <v>1734</v>
      </c>
      <c r="K7" s="3" t="s">
        <v>307</v>
      </c>
      <c r="L7" s="3" t="s">
        <v>308</v>
      </c>
      <c r="M7" s="3" t="s">
        <v>309</v>
      </c>
      <c r="N7" s="3" t="s">
        <v>310</v>
      </c>
      <c r="O7" s="3" t="s">
        <v>311</v>
      </c>
      <c r="P7" s="3" t="s">
        <v>312</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305</v>
      </c>
      <c r="F22">
        <f xml:space="preserve"> PLN.HalfSize / 9</f>
        <v>2</v>
      </c>
    </row>
    <row r="23" spans="2:16">
      <c r="E23" s="4" t="s">
        <v>306</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317</v>
      </c>
      <c r="F46">
        <f xml:space="preserve"> ROUND( MIN(PLN.RawX), PLN.DecimalPlaces)</f>
        <v>-18</v>
      </c>
    </row>
    <row r="47" spans="2:16">
      <c r="E47" s="4" t="s">
        <v>318</v>
      </c>
      <c r="F47">
        <f xml:space="preserve"> ROUND(MAX(PLN.RawX), PLN.DecimalPlaces)</f>
        <v>18</v>
      </c>
    </row>
    <row r="48" spans="2:16">
      <c r="E48" s="4" t="s">
        <v>319</v>
      </c>
      <c r="F48">
        <f xml:space="preserve"> ROUND( MIN(PLN.RawY), PLN.DecimalPlaces)</f>
        <v>-18</v>
      </c>
    </row>
    <row r="49" spans="3:6">
      <c r="E49" s="4" t="s">
        <v>320</v>
      </c>
      <c r="F49">
        <f xml:space="preserve"> ROUND(MAX(PLN.RawY), PLN.DecimalPlaces)</f>
        <v>18</v>
      </c>
    </row>
    <row r="51" spans="3:6">
      <c r="E51" s="4" t="s">
        <v>313</v>
      </c>
      <c r="F51" s="26">
        <v>1.25</v>
      </c>
    </row>
    <row r="52" spans="3:6">
      <c r="E52" s="4" t="s">
        <v>314</v>
      </c>
      <c r="F52">
        <f xml:space="preserve">  MAX(PLN.MaxY, - PLN.MinY)   /   MAX(PLN.MaxX, - PLN.MinX)</f>
        <v>1</v>
      </c>
    </row>
    <row r="53" spans="3:6">
      <c r="E53" s="4" t="s">
        <v>315</v>
      </c>
      <c r="F53">
        <f xml:space="preserve"> VALUE(TEXT(SQRT(PLN.AreaMultiplier* BasicBBoxArea * PLN.Aspect), SVG.NumberFormatHeight))</f>
        <v>11.2</v>
      </c>
    </row>
    <row r="54" spans="3:6">
      <c r="E54" s="4" t="s">
        <v>316</v>
      </c>
      <c r="F54" cm="1">
        <f t="array" ref="F54" xml:space="preserve"> PLN.Height / PLN.Aspect</f>
        <v>11.2</v>
      </c>
    </row>
    <row r="56" spans="3:6">
      <c r="E56" s="4" t="s">
        <v>322</v>
      </c>
      <c r="F56" s="5" t="s">
        <v>754</v>
      </c>
    </row>
    <row r="57" spans="3:6">
      <c r="E57" s="4" t="s">
        <v>323</v>
      </c>
      <c r="F57" s="5" t="s">
        <v>2073</v>
      </c>
    </row>
    <row r="61" spans="3:6" ht="17" thickBot="1">
      <c r="F61" s="36" t="s">
        <v>321</v>
      </c>
    </row>
    <row r="62" spans="3:6">
      <c r="C62" cm="1">
        <f t="array" ref="C62" xml:space="preserve"> SVG_length(PLN.svg)</f>
        <v>360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width='11.2' height='11.2' viewBox='-18 -18 36 36'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376</v>
      </c>
      <c r="F2">
        <f xml:space="preserve"> DecimalPlaces - INT(LOG(MIN(  MAX( RON.RawX) - MIN( RON.RawX),  MAX( RON.RawY) - MIN( RON.RawY)  )/2, 10) + 0.2)</f>
        <v>4</v>
      </c>
    </row>
    <row r="4" spans="2:6" ht="17" thickBot="1">
      <c r="B4" s="3" t="s">
        <v>391</v>
      </c>
      <c r="C4" s="3" t="s">
        <v>377</v>
      </c>
      <c r="D4" s="3" t="s">
        <v>378</v>
      </c>
      <c r="F4" s="3" t="s">
        <v>1733</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383</v>
      </c>
      <c r="F37">
        <f xml:space="preserve"> ROUND( MIN(RON.RawX), RON.DecimalPlaces)</f>
        <v>-8</v>
      </c>
    </row>
    <row r="38" spans="3:6">
      <c r="E38" s="4" t="s">
        <v>384</v>
      </c>
      <c r="F38">
        <f xml:space="preserve"> ROUND(MAX(RON.RawX), RON.DecimalPlaces)</f>
        <v>8</v>
      </c>
    </row>
    <row r="39" spans="3:6">
      <c r="E39" s="4" t="s">
        <v>385</v>
      </c>
      <c r="F39">
        <f xml:space="preserve"> ROUND( MIN(RON.RawY), RON.DecimalPlaces)</f>
        <v>-9</v>
      </c>
    </row>
    <row r="40" spans="3:6">
      <c r="E40" s="4" t="s">
        <v>386</v>
      </c>
      <c r="F40">
        <f xml:space="preserve"> ROUND(MAX(RON.RawY), RON.DecimalPlaces)</f>
        <v>9</v>
      </c>
    </row>
    <row r="42" spans="3:6">
      <c r="E42" s="4" t="s">
        <v>389</v>
      </c>
      <c r="F42" s="5" t="s">
        <v>1496</v>
      </c>
    </row>
    <row r="43" spans="3:6">
      <c r="E43" s="4" t="s">
        <v>390</v>
      </c>
      <c r="F43" s="5" t="s">
        <v>755</v>
      </c>
    </row>
    <row r="44" spans="3:6">
      <c r="E44" s="4" t="s">
        <v>388</v>
      </c>
      <c r="F44" s="5" t="s">
        <v>756</v>
      </c>
    </row>
    <row r="46" spans="3:6">
      <c r="E46" s="4" t="s">
        <v>379</v>
      </c>
      <c r="F46">
        <f xml:space="preserve"> MODE(Squares.AreaMultiplier) * (9*8) / ( 3 + (9 - 1) * (8 - 1) )</f>
        <v>1.0372881355932202</v>
      </c>
    </row>
    <row r="47" spans="3:6">
      <c r="E47" s="4" t="s">
        <v>380</v>
      </c>
      <c r="F47">
        <f xml:space="preserve">  MAX(RON.MaxY, - RON.MinY)   /   MAX(RON.MaxX, - RON.MinX)</f>
        <v>1.125</v>
      </c>
    </row>
    <row r="48" spans="3:6">
      <c r="E48" s="4" t="s">
        <v>381</v>
      </c>
      <c r="F48">
        <f xml:space="preserve"> VALUE(TEXT(SQRT( RON.AreaMultiplier * BasicBBoxArea *  RON.Aspect), SVG.NumberFormatHeight))</f>
        <v>10.8</v>
      </c>
    </row>
    <row r="49" spans="5:6">
      <c r="E49" s="4" t="s">
        <v>382</v>
      </c>
      <c r="F49" cm="1">
        <f t="array" ref="F49" xml:space="preserve">  RON.Height /  RON.Aspect</f>
        <v>9.6000000000000014</v>
      </c>
    </row>
    <row r="52" spans="5:6" ht="17" thickBot="1">
      <c r="F52" s="3" t="s">
        <v>387</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width='9.6' height='10.8' viewBox='-8 -9 16 18'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2059</v>
      </c>
      <c r="C2" s="3" t="s">
        <v>2060</v>
      </c>
      <c r="F2" t="s">
        <v>393</v>
      </c>
    </row>
    <row r="3" spans="2:6">
      <c r="B3">
        <v>7</v>
      </c>
      <c r="C3">
        <f xml:space="preserve"> MKD.Big - 2 * MKD.Big / (MKD.Big + 1)</f>
        <v>5.25</v>
      </c>
      <c r="F3" s="34">
        <f xml:space="preserve"> DecimalPlaces - INT(LOG(MIN(  MAX( MKD.RawX) - MIN( MKD.RawX),  MAX( MKD.RawY) - MIN( MKD.RawY)  )/2, 10) + 0.2)</f>
        <v>4</v>
      </c>
    </row>
    <row r="5" spans="2:6" ht="17" thickBot="1">
      <c r="B5" s="3" t="s">
        <v>2055</v>
      </c>
      <c r="C5" s="3" t="s">
        <v>2056</v>
      </c>
      <c r="D5" s="3" t="s">
        <v>2057</v>
      </c>
      <c r="F5" s="3" t="s">
        <v>2058</v>
      </c>
    </row>
    <row r="6" spans="2:6">
      <c r="B6" t="s">
        <v>1010</v>
      </c>
      <c r="C6">
        <f xml:space="preserve"> MKD.Big</f>
        <v>7</v>
      </c>
      <c r="D6">
        <f xml:space="preserve"> MKD.Little</f>
        <v>5.25</v>
      </c>
      <c r="F6" t="str" cm="1">
        <f t="array" ref="F6:F25" xml:space="preserve"> svgpath($C6:$C25, $D6:$D25,  MKD.DecimalPlaces)</f>
        <v>M7 5.25</v>
      </c>
    </row>
    <row r="7" spans="2:6">
      <c r="B7" t="s">
        <v>1010</v>
      </c>
      <c r="C7">
        <f xml:space="preserve"> MKD.Little</f>
        <v>5.25</v>
      </c>
      <c r="D7">
        <f xml:space="preserve"> MKD.Big</f>
        <v>7</v>
      </c>
      <c r="F7" t="str">
        <v>L5.25 7</v>
      </c>
    </row>
    <row r="8" spans="2:6">
      <c r="B8" t="s">
        <v>1010</v>
      </c>
      <c r="C8">
        <v>1</v>
      </c>
      <c r="D8">
        <f xml:space="preserve"> MKD.Big</f>
        <v>7</v>
      </c>
      <c r="F8" t="str">
        <v>H1</v>
      </c>
    </row>
    <row r="9" spans="2:6">
      <c r="B9" t="s">
        <v>1010</v>
      </c>
      <c r="C9">
        <v>0</v>
      </c>
      <c r="D9">
        <f xml:space="preserve"> MKD.Big - 1</f>
        <v>6</v>
      </c>
      <c r="F9" t="str">
        <v>L0 6</v>
      </c>
    </row>
    <row r="10" spans="2:6">
      <c r="B10" t="s">
        <v>1010</v>
      </c>
      <c r="C10">
        <v>-1</v>
      </c>
      <c r="D10">
        <f xml:space="preserve"> MKD.Big</f>
        <v>7</v>
      </c>
      <c r="F10" t="str">
        <v>L-1 7</v>
      </c>
    </row>
    <row r="11" spans="2:6">
      <c r="B11" t="s">
        <v>1010</v>
      </c>
      <c r="C11">
        <f xml:space="preserve"> - MKD.Little</f>
        <v>-5.25</v>
      </c>
      <c r="D11">
        <f xml:space="preserve"> MKD.Big</f>
        <v>7</v>
      </c>
      <c r="F11" t="str">
        <v>H-5.25</v>
      </c>
    </row>
    <row r="12" spans="2:6">
      <c r="B12" t="s">
        <v>1010</v>
      </c>
      <c r="C12">
        <f xml:space="preserve"> - MKD.Big</f>
        <v>-7</v>
      </c>
      <c r="D12">
        <f xml:space="preserve"> MKD.Little</f>
        <v>5.25</v>
      </c>
      <c r="F12" t="str">
        <v>L-7 5.25</v>
      </c>
    </row>
    <row r="13" spans="2:6">
      <c r="B13" t="s">
        <v>1010</v>
      </c>
      <c r="C13">
        <f xml:space="preserve"> - MKD.Big</f>
        <v>-7</v>
      </c>
      <c r="D13">
        <v>1</v>
      </c>
      <c r="F13" t="str">
        <v>V1</v>
      </c>
    </row>
    <row r="14" spans="2:6">
      <c r="B14" t="s">
        <v>1010</v>
      </c>
      <c r="C14">
        <f xml:space="preserve"> 1 - MKD.Big</f>
        <v>-6</v>
      </c>
      <c r="D14">
        <v>0</v>
      </c>
      <c r="F14" t="str">
        <v>L-6 0</v>
      </c>
    </row>
    <row r="15" spans="2:6">
      <c r="B15" t="s">
        <v>1010</v>
      </c>
      <c r="C15">
        <f xml:space="preserve"> - MKD.Big</f>
        <v>-7</v>
      </c>
      <c r="D15">
        <v>-1</v>
      </c>
      <c r="F15" t="str">
        <v>L-7 -1</v>
      </c>
    </row>
    <row r="16" spans="2:6">
      <c r="B16" t="s">
        <v>1010</v>
      </c>
      <c r="C16">
        <f xml:space="preserve"> - MKD.Big</f>
        <v>-7</v>
      </c>
      <c r="D16">
        <f xml:space="preserve"> - MKD.Little</f>
        <v>-5.25</v>
      </c>
      <c r="F16" t="str">
        <v>V-5.25</v>
      </c>
    </row>
    <row r="17" spans="2:10">
      <c r="B17" t="s">
        <v>1010</v>
      </c>
      <c r="C17">
        <f xml:space="preserve"> - MKD.Little</f>
        <v>-5.25</v>
      </c>
      <c r="D17">
        <f xml:space="preserve"> - MKD.Big</f>
        <v>-7</v>
      </c>
      <c r="F17" t="str">
        <v>L-5.25 -7</v>
      </c>
    </row>
    <row r="18" spans="2:10">
      <c r="B18" t="s">
        <v>1010</v>
      </c>
      <c r="C18">
        <v>-1</v>
      </c>
      <c r="D18">
        <f xml:space="preserve"> - MKD.Big</f>
        <v>-7</v>
      </c>
      <c r="F18" t="str">
        <v>H-1</v>
      </c>
    </row>
    <row r="19" spans="2:10">
      <c r="B19" t="s">
        <v>1010</v>
      </c>
      <c r="C19">
        <v>0</v>
      </c>
      <c r="D19">
        <f xml:space="preserve"> 1 - MKD.Big</f>
        <v>-6</v>
      </c>
      <c r="F19" t="str">
        <v>l1 1</v>
      </c>
    </row>
    <row r="20" spans="2:10">
      <c r="B20" t="s">
        <v>1010</v>
      </c>
      <c r="C20">
        <v>1</v>
      </c>
      <c r="D20">
        <f xml:space="preserve"> - MKD.Big</f>
        <v>-7</v>
      </c>
      <c r="F20" t="str">
        <v>L1 -7</v>
      </c>
    </row>
    <row r="21" spans="2:10">
      <c r="B21" t="s">
        <v>1010</v>
      </c>
      <c r="C21">
        <f xml:space="preserve"> MKD.Little</f>
        <v>5.25</v>
      </c>
      <c r="D21">
        <f xml:space="preserve"> - MKD.Big</f>
        <v>-7</v>
      </c>
      <c r="F21" t="str">
        <v>H5.25</v>
      </c>
    </row>
    <row r="22" spans="2:10">
      <c r="B22" t="s">
        <v>1010</v>
      </c>
      <c r="C22">
        <f xml:space="preserve"> MKD.Big</f>
        <v>7</v>
      </c>
      <c r="D22">
        <f xml:space="preserve"> - MKD.Little</f>
        <v>-5.25</v>
      </c>
      <c r="F22" t="str">
        <v>L7 -5.25</v>
      </c>
    </row>
    <row r="23" spans="2:10">
      <c r="B23" t="s">
        <v>1010</v>
      </c>
      <c r="C23">
        <f xml:space="preserve"> MKD.Big</f>
        <v>7</v>
      </c>
      <c r="D23">
        <v>-1</v>
      </c>
      <c r="F23" t="str">
        <v>V-1</v>
      </c>
    </row>
    <row r="24" spans="2:10">
      <c r="B24" t="s">
        <v>1010</v>
      </c>
      <c r="C24">
        <f xml:space="preserve"> MKD.Big - 1</f>
        <v>6</v>
      </c>
      <c r="D24">
        <v>0</v>
      </c>
      <c r="F24" t="str">
        <v>L6 0</v>
      </c>
    </row>
    <row r="25" spans="2:10">
      <c r="B25" t="s">
        <v>1010</v>
      </c>
      <c r="C25">
        <f xml:space="preserve"> MKD.Big</f>
        <v>7</v>
      </c>
      <c r="D25">
        <v>1</v>
      </c>
      <c r="F25" t="str">
        <v>L7 1Z</v>
      </c>
      <c r="J25" t="s">
        <v>2064</v>
      </c>
    </row>
    <row r="26" spans="2:10">
      <c r="J26" t="s">
        <v>2065</v>
      </c>
    </row>
    <row r="27" spans="2:10">
      <c r="B27" t="s">
        <v>1014</v>
      </c>
      <c r="C27">
        <v>1</v>
      </c>
      <c r="D27">
        <f xml:space="preserve"> MKD.Big</f>
        <v>7</v>
      </c>
      <c r="F27" t="str" cm="1">
        <f t="array" ref="F27:F30" xml:space="preserve"> svgpath($C27:$C30, $D27:$D30,  MKD.DecimalPlaces)</f>
        <v>M1 7</v>
      </c>
    </row>
    <row r="28" spans="2:10">
      <c r="B28" t="s">
        <v>1014</v>
      </c>
      <c r="C28">
        <v>-1</v>
      </c>
      <c r="D28">
        <f xml:space="preserve"> MKD.Big</f>
        <v>7</v>
      </c>
      <c r="F28" t="str">
        <v>H-1</v>
      </c>
      <c r="J28" t="s">
        <v>2066</v>
      </c>
    </row>
    <row r="29" spans="2:10">
      <c r="B29" t="s">
        <v>1014</v>
      </c>
      <c r="C29">
        <v>1</v>
      </c>
      <c r="D29">
        <f xml:space="preserve"> - MKD.Big</f>
        <v>-7</v>
      </c>
      <c r="F29" t="str">
        <v>L1 -7</v>
      </c>
      <c r="J29" t="s">
        <v>2067</v>
      </c>
    </row>
    <row r="30" spans="2:10">
      <c r="B30" t="s">
        <v>1014</v>
      </c>
      <c r="C30">
        <v>-1</v>
      </c>
      <c r="D30">
        <f xml:space="preserve"> - MKD.Big</f>
        <v>-7</v>
      </c>
      <c r="F30" t="str">
        <v>H-1Z</v>
      </c>
      <c r="J30" t="s">
        <v>2068</v>
      </c>
    </row>
    <row r="32" spans="2:10">
      <c r="B32" t="s">
        <v>1014</v>
      </c>
      <c r="C32">
        <f xml:space="preserve"> D27</f>
        <v>7</v>
      </c>
      <c r="D32">
        <f xml:space="preserve"> C27</f>
        <v>1</v>
      </c>
      <c r="F32" t="str" cm="1">
        <f t="array" ref="F32:F35" xml:space="preserve"> svgpath($C32:$C35, $D32:$D35,  MKD.DecimalPlaces)</f>
        <v>M7 1</v>
      </c>
    </row>
    <row r="33" spans="2:6">
      <c r="B33" t="s">
        <v>1014</v>
      </c>
      <c r="C33">
        <f t="shared" ref="C33:C35" si="0" xml:space="preserve"> D28</f>
        <v>7</v>
      </c>
      <c r="D33">
        <f t="shared" ref="D33:D35" si="1" xml:space="preserve"> C28</f>
        <v>-1</v>
      </c>
      <c r="F33" t="str">
        <v>V-1</v>
      </c>
    </row>
    <row r="34" spans="2:6">
      <c r="B34" t="s">
        <v>1014</v>
      </c>
      <c r="C34">
        <f t="shared" si="0"/>
        <v>-7</v>
      </c>
      <c r="D34">
        <f t="shared" si="1"/>
        <v>1</v>
      </c>
      <c r="F34" t="str">
        <v>L-7 1</v>
      </c>
    </row>
    <row r="35" spans="2:6">
      <c r="B35" t="s">
        <v>1014</v>
      </c>
      <c r="C35">
        <f t="shared" si="0"/>
        <v>-7</v>
      </c>
      <c r="D35">
        <f t="shared" si="1"/>
        <v>-1</v>
      </c>
      <c r="F35" t="str">
        <v>V-1Z</v>
      </c>
    </row>
    <row r="37" spans="2:6">
      <c r="B37" t="s">
        <v>1014</v>
      </c>
      <c r="C37">
        <f xml:space="preserve"> MKD.Little</f>
        <v>5.25</v>
      </c>
      <c r="D37">
        <f xml:space="preserve"> MKD.Big</f>
        <v>7</v>
      </c>
      <c r="F37" t="str" cm="1">
        <f t="array" ref="F37:F42" xml:space="preserve"> svgpath($C37:$C42, $D37:$D42,  MKD.DecimalPlaces)</f>
        <v>M5.25 7</v>
      </c>
    </row>
    <row r="38" spans="2:6">
      <c r="B38" t="s">
        <v>1014</v>
      </c>
      <c r="C38">
        <f xml:space="preserve"> MKD.Big</f>
        <v>7</v>
      </c>
      <c r="D38">
        <f xml:space="preserve"> MKD.Big</f>
        <v>7</v>
      </c>
      <c r="F38" t="str">
        <v>H7</v>
      </c>
    </row>
    <row r="39" spans="2:6">
      <c r="B39" t="s">
        <v>1014</v>
      </c>
      <c r="C39">
        <f xml:space="preserve"> MKD.Big</f>
        <v>7</v>
      </c>
      <c r="D39">
        <f xml:space="preserve"> MKD.Little</f>
        <v>5.25</v>
      </c>
      <c r="F39" t="str">
        <v>V5.25</v>
      </c>
    </row>
    <row r="40" spans="2:6">
      <c r="B40" t="s">
        <v>1014</v>
      </c>
      <c r="C40">
        <f xml:space="preserve"> - MKD.Big</f>
        <v>-7</v>
      </c>
      <c r="D40">
        <f xml:space="preserve"> - MKD.Little</f>
        <v>-5.25</v>
      </c>
      <c r="F40" t="str">
        <v>L-7 -5.25</v>
      </c>
    </row>
    <row r="41" spans="2:6">
      <c r="B41" t="s">
        <v>1014</v>
      </c>
      <c r="C41">
        <f xml:space="preserve"> - MKD.Big</f>
        <v>-7</v>
      </c>
      <c r="D41">
        <f xml:space="preserve"> - MKD.Big</f>
        <v>-7</v>
      </c>
      <c r="F41" t="str">
        <v>V-7</v>
      </c>
    </row>
    <row r="42" spans="2:6">
      <c r="B42" t="s">
        <v>1014</v>
      </c>
      <c r="C42">
        <f xml:space="preserve"> - MKD.Little</f>
        <v>-5.25</v>
      </c>
      <c r="D42">
        <f xml:space="preserve"> - MKD.Big</f>
        <v>-7</v>
      </c>
      <c r="F42" t="str">
        <v>h1.75Z</v>
      </c>
    </row>
    <row r="44" spans="2:6">
      <c r="B44" t="s">
        <v>1014</v>
      </c>
      <c r="C44">
        <f xml:space="preserve"> - C37</f>
        <v>-5.25</v>
      </c>
      <c r="D44">
        <f xml:space="preserve"> D37</f>
        <v>7</v>
      </c>
      <c r="F44" t="str" cm="1">
        <f t="array" ref="F44:F49" xml:space="preserve"> svgpath($C44:$C49, $D44:$D49,  MKD.DecimalPlaces)</f>
        <v>M-5.25 7</v>
      </c>
    </row>
    <row r="45" spans="2:6">
      <c r="B45" t="s">
        <v>1014</v>
      </c>
      <c r="C45">
        <f t="shared" ref="C45:C49" si="2" xml:space="preserve"> - C38</f>
        <v>-7</v>
      </c>
      <c r="D45">
        <f t="shared" ref="D45:D49" si="3" xml:space="preserve"> D38</f>
        <v>7</v>
      </c>
      <c r="F45" t="str">
        <v>H-7</v>
      </c>
    </row>
    <row r="46" spans="2:6">
      <c r="B46" t="s">
        <v>1014</v>
      </c>
      <c r="C46">
        <f t="shared" si="2"/>
        <v>-7</v>
      </c>
      <c r="D46">
        <f t="shared" si="3"/>
        <v>5.25</v>
      </c>
      <c r="F46" t="str">
        <v>V5.25</v>
      </c>
    </row>
    <row r="47" spans="2:6">
      <c r="B47" t="s">
        <v>1014</v>
      </c>
      <c r="C47">
        <f t="shared" si="2"/>
        <v>7</v>
      </c>
      <c r="D47">
        <f t="shared" si="3"/>
        <v>-5.25</v>
      </c>
      <c r="F47" t="str">
        <v>L7 -5.25</v>
      </c>
    </row>
    <row r="48" spans="2:6">
      <c r="B48" t="s">
        <v>1014</v>
      </c>
      <c r="C48">
        <f t="shared" si="2"/>
        <v>7</v>
      </c>
      <c r="D48">
        <f t="shared" si="3"/>
        <v>-7</v>
      </c>
      <c r="F48" t="str">
        <v>V-7</v>
      </c>
    </row>
    <row r="49" spans="2:6">
      <c r="B49" t="s">
        <v>1014</v>
      </c>
      <c r="C49">
        <f t="shared" si="2"/>
        <v>5.25</v>
      </c>
      <c r="D49">
        <f t="shared" si="3"/>
        <v>-7</v>
      </c>
      <c r="F49" t="str">
        <v>H5.25Z</v>
      </c>
    </row>
    <row r="52" spans="2:6">
      <c r="E52" s="4" t="s">
        <v>398</v>
      </c>
      <c r="F52">
        <f xml:space="preserve"> ROUND( MIN(MKD.RawX), MKD.DecimalPlaces)</f>
        <v>-7</v>
      </c>
    </row>
    <row r="53" spans="2:6">
      <c r="E53" s="4" t="s">
        <v>399</v>
      </c>
      <c r="F53">
        <f xml:space="preserve"> ROUND(MAX(MKD.RawX), MKD.DecimalPlaces)</f>
        <v>7</v>
      </c>
    </row>
    <row r="54" spans="2:6">
      <c r="E54" s="4" t="s">
        <v>400</v>
      </c>
      <c r="F54">
        <f xml:space="preserve"> ROUND( MIN(MKD.RawY), MKD.DecimalPlaces)</f>
        <v>-7</v>
      </c>
    </row>
    <row r="55" spans="2:6">
      <c r="E55" s="4" t="s">
        <v>401</v>
      </c>
      <c r="F55">
        <f xml:space="preserve"> ROUND(MAX(MKD.RawY), MKD.DecimalPlaces)</f>
        <v>7</v>
      </c>
    </row>
    <row r="57" spans="2:6">
      <c r="E57" s="4" t="s">
        <v>1011</v>
      </c>
      <c r="F57" s="5" t="s">
        <v>757</v>
      </c>
    </row>
    <row r="58" spans="2:6">
      <c r="E58" s="4" t="s">
        <v>1012</v>
      </c>
      <c r="F58" s="5" t="s">
        <v>758</v>
      </c>
    </row>
    <row r="60" spans="2:6">
      <c r="E60" s="4" t="s">
        <v>394</v>
      </c>
      <c r="F60">
        <f xml:space="preserve"> MODE(Squares.AreaMultiplier)</f>
        <v>0.85</v>
      </c>
    </row>
    <row r="61" spans="2:6">
      <c r="E61" s="4" t="s">
        <v>395</v>
      </c>
      <c r="F61">
        <f xml:space="preserve">  MAX(MKD.MaxY, - MKD.MinY)   /   MAX(MKD.MaxX, - MKD.MinX)</f>
        <v>1</v>
      </c>
    </row>
    <row r="62" spans="2:6">
      <c r="E62" s="4" t="s">
        <v>396</v>
      </c>
      <c r="F62">
        <f xml:space="preserve"> VALUE(TEXT(SQRT( MKD.AreaMultiplier * BasicBBoxArea *  MKD.Aspect), SVG.NumberFormatHeight))</f>
        <v>9.1999999999999993</v>
      </c>
    </row>
    <row r="63" spans="2:6">
      <c r="E63" s="4" t="s">
        <v>397</v>
      </c>
      <c r="F63">
        <f xml:space="preserve">  MKD.Height /  MKD.Aspect</f>
        <v>9.1999999999999993</v>
      </c>
    </row>
    <row r="65" spans="4:6">
      <c r="F65">
        <f xml:space="preserve"> MKD.MaxX*2/7</f>
        <v>2</v>
      </c>
    </row>
    <row r="66" spans="4:6">
      <c r="F66">
        <f xml:space="preserve"> F65 * AVERAGE(1, 1.25)</f>
        <v>2.25</v>
      </c>
    </row>
    <row r="67" spans="4:6">
      <c r="E67" s="4" t="s">
        <v>1013</v>
      </c>
      <c r="F67">
        <f xml:space="preserve"> ROUND(AVERAGE(F$65:F$66), MKD.DecimalPlaces - 4)</f>
        <v>2</v>
      </c>
    </row>
    <row r="69" spans="4:6" ht="17" thickBot="1">
      <c r="F69" s="3" t="s">
        <v>402</v>
      </c>
    </row>
    <row r="70" spans="4:6">
      <c r="D70" cm="1">
        <f t="array" ref="D70" xml:space="preserve"> SVG_length(MKD.svg)</f>
        <v>388</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width='9.2' height='9.2' viewBox='-7 -7 14 14'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2061</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2322</v>
      </c>
      <c r="D2" s="3" t="s">
        <v>2323</v>
      </c>
      <c r="F2" t="s">
        <v>2324</v>
      </c>
    </row>
    <row r="3" spans="2:6">
      <c r="C3">
        <f>AZN.SizeOuter / 2</f>
        <v>27</v>
      </c>
      <c r="D3" s="64">
        <v>54</v>
      </c>
      <c r="F3" s="34" cm="1">
        <f t="array" ref="F3" xml:space="preserve"> DecimalPlaces - INT(LOG(MIN(  AZN.MaxX - AZN.MinX,  AZN.MaxY - AZN.MinY  )/2, 10) + 0.2)</f>
        <v>4</v>
      </c>
    </row>
    <row r="5" spans="2:6" ht="17" thickBot="1">
      <c r="B5" s="3" t="s">
        <v>2339</v>
      </c>
      <c r="C5" s="3" t="s">
        <v>2325</v>
      </c>
      <c r="D5" s="3" t="s">
        <v>2326</v>
      </c>
      <c r="F5" s="3" t="s">
        <v>2327</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3.3065463576978537E-15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6.6130927153957075E-15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-9.9196390730935596E-15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2328</v>
      </c>
      <c r="F23" s="64">
        <v>60</v>
      </c>
    </row>
    <row r="24" spans="2:6">
      <c r="E24" s="4" t="s">
        <v>2329</v>
      </c>
      <c r="F24">
        <f xml:space="preserve"> AZN.MaxX</f>
        <v>60</v>
      </c>
    </row>
    <row r="25" spans="2:6">
      <c r="E25" s="4" t="s">
        <v>2330</v>
      </c>
      <c r="F25">
        <f xml:space="preserve"> - AZN.MaxX</f>
        <v>-60</v>
      </c>
    </row>
    <row r="26" spans="2:6">
      <c r="E26" s="4" t="s">
        <v>2331</v>
      </c>
      <c r="F26">
        <f xml:space="preserve"> - AZN.MaxY</f>
        <v>-60</v>
      </c>
    </row>
    <row r="28" spans="2:6">
      <c r="E28" s="4" t="s">
        <v>2384</v>
      </c>
      <c r="F28" s="5" t="s">
        <v>2385</v>
      </c>
    </row>
    <row r="29" spans="2:6">
      <c r="E29" s="4" t="s">
        <v>2332</v>
      </c>
      <c r="F29" s="5" t="s">
        <v>710</v>
      </c>
    </row>
    <row r="30" spans="2:6">
      <c r="E30" s="4" t="s">
        <v>2333</v>
      </c>
      <c r="F30" s="5" t="s">
        <v>2073</v>
      </c>
    </row>
    <row r="32" spans="2:6">
      <c r="E32" s="4" t="s">
        <v>2334</v>
      </c>
      <c r="F32">
        <f xml:space="preserve"> MODE(Circles.AreaMultiplier)</f>
        <v>1</v>
      </c>
    </row>
    <row r="33" spans="4:6">
      <c r="E33" s="4" t="s">
        <v>2335</v>
      </c>
      <c r="F33" cm="1">
        <f t="array" ref="F33" xml:space="preserve">  MAX(AZN.MaxY, - AZN.MinY)   /   MAX(AZN.MaxX, - AZN.MinX)</f>
        <v>1</v>
      </c>
    </row>
    <row r="34" spans="4:6">
      <c r="E34" s="4" t="s">
        <v>2336</v>
      </c>
      <c r="F34" cm="1">
        <f t="array" ref="F34" xml:space="preserve"> VALUE(TEXT(SQRT( AZN.AreaMultiplier * BasicBBoxArea *  AZN.Aspect), SVG.NumberFormatHeight))</f>
        <v>10</v>
      </c>
    </row>
    <row r="35" spans="4:6">
      <c r="E35" s="4" t="s">
        <v>2337</v>
      </c>
      <c r="F35" cm="1">
        <f t="array" ref="F35" xml:space="preserve">  AZN.Height /  AZN.Aspect</f>
        <v>10</v>
      </c>
    </row>
    <row r="38" spans="4:6" ht="17" thickBot="1">
      <c r="F38" s="3" t="s">
        <v>2338</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width='10' height='10' viewBox='-60 -60 120 120'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2301</v>
      </c>
      <c r="C2" s="3" t="s">
        <v>2317</v>
      </c>
      <c r="E2" t="s">
        <v>2302</v>
      </c>
    </row>
    <row r="3" spans="2:5">
      <c r="B3">
        <v>1</v>
      </c>
      <c r="C3">
        <f xml:space="preserve"> AMD.SizeInner * SQRT(2)</f>
        <v>1.4142135623730951</v>
      </c>
      <c r="E3" s="34">
        <f xml:space="preserve"> DecimalPlaces - INT(LOG(MIN(  AMD.MaxX - AMD.MinX,  AMD.MaxY - AMD.MinY  )/2, 10) + 0.2)</f>
        <v>5</v>
      </c>
    </row>
    <row r="5" spans="2:5" ht="17" thickBot="1">
      <c r="B5" s="3" t="s">
        <v>2303</v>
      </c>
      <c r="C5" s="3" t="s">
        <v>2304</v>
      </c>
      <c r="E5" s="3" t="s">
        <v>2305</v>
      </c>
    </row>
    <row r="6" spans="2:5">
      <c r="E6" t="s">
        <v>2167</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2168</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557</v>
      </c>
    </row>
    <row r="28" spans="2:6">
      <c r="D28" s="4" t="s">
        <v>2306</v>
      </c>
      <c r="E28">
        <f xml:space="preserve"> _xlfn.MAXIFS(AMD.RawX,   AMD.RawX,"&gt;0")</f>
        <v>1.4142135623730951</v>
      </c>
    </row>
    <row r="29" spans="2:6">
      <c r="D29" s="4" t="s">
        <v>2307</v>
      </c>
      <c r="E29">
        <f xml:space="preserve"> _xlfn.MAXIFS(AMD.RawY,   AMD.RawY,"&gt;0")</f>
        <v>1.4142135623730951</v>
      </c>
    </row>
    <row r="30" spans="2:6">
      <c r="D30" s="4" t="s">
        <v>2308</v>
      </c>
      <c r="E30">
        <f xml:space="preserve">  _xlfn.MINIFS(AMD.RawX,   AMD.RawX,"&lt;0")</f>
        <v>-1.4142135623730951</v>
      </c>
    </row>
    <row r="31" spans="2:6">
      <c r="D31" s="4" t="s">
        <v>2309</v>
      </c>
      <c r="E31">
        <f xml:space="preserve">  _xlfn.MINIFS(AMD.RawY,   AMD.RawY,"&lt;0")</f>
        <v>-1.4142135623730951</v>
      </c>
    </row>
    <row r="33" spans="2:6">
      <c r="D33" s="4" t="s">
        <v>2310</v>
      </c>
      <c r="E33" s="5" t="s">
        <v>2319</v>
      </c>
    </row>
    <row r="34" spans="2:6">
      <c r="D34" s="4" t="s">
        <v>2311</v>
      </c>
      <c r="E34" s="5" t="s">
        <v>769</v>
      </c>
    </row>
    <row r="35" spans="2:6">
      <c r="D35" s="4" t="s">
        <v>2318</v>
      </c>
      <c r="E35" s="5" t="s">
        <v>2320</v>
      </c>
    </row>
    <row r="37" spans="2:6">
      <c r="B37">
        <f xml:space="preserve"> 19999899241 / 50097997976</f>
        <v>0.39921553852473651</v>
      </c>
      <c r="D37" s="4" t="s">
        <v>2312</v>
      </c>
      <c r="E37">
        <f xml:space="preserve"> CHOOSE(1,   19999899241 / 50097997976,   (8 + SQRT(2)*3) * 3 / 92)   *   MODE(Circles.AreaMultiplier) * PI()</f>
        <v>1.2541726030282052</v>
      </c>
      <c r="F37" s="5" t="s">
        <v>2321</v>
      </c>
    </row>
    <row r="38" spans="2:6">
      <c r="B38">
        <f xml:space="preserve"> (8 + SQRT(2)*3) * 3 / 92</f>
        <v>0.39921654414519414</v>
      </c>
      <c r="D38" s="4" t="s">
        <v>2313</v>
      </c>
      <c r="E38" cm="1">
        <f t="array" ref="E38" xml:space="preserve">  MAX(AMD.MaxY, - AMD.MinY)   /   MAX(AMD.MaxX, - AMD.MinX)</f>
        <v>1</v>
      </c>
    </row>
    <row r="39" spans="2:6">
      <c r="B39">
        <f xml:space="preserve"> LN(B37/B38)</f>
        <v>-2.5189881004052337E-6</v>
      </c>
      <c r="D39" s="4" t="s">
        <v>2314</v>
      </c>
      <c r="E39" cm="1">
        <f t="array" ref="E39" xml:space="preserve"> VALUE(TEXT(SQRT( AMD.AreaMultiplier * BasicBBoxArea *  AMD.Aspect), SVG.NumberFormatHeight))</f>
        <v>11.2</v>
      </c>
    </row>
    <row r="40" spans="2:6">
      <c r="D40" s="4" t="s">
        <v>2315</v>
      </c>
      <c r="E40" cm="1">
        <f t="array" ref="E40" xml:space="preserve">  AMD.Height /  AMD.Aspect</f>
        <v>11.2</v>
      </c>
    </row>
    <row r="43" spans="2:6" ht="17" thickBot="1">
      <c r="E43" s="3" t="s">
        <v>2316</v>
      </c>
    </row>
    <row r="44" spans="2:6">
      <c r="C44" cm="1">
        <f t="array" ref="C44" xml:space="preserve"> SVG_length(AMD.svg)</f>
        <v>471</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width='11.2' height='11.2' viewBox='-1.41421 -1.41421 2.82842 2.82842'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2341</v>
      </c>
      <c r="D2" s="3" t="s">
        <v>2342</v>
      </c>
      <c r="F2" t="s">
        <v>2343</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2358</v>
      </c>
      <c r="C5" s="3" t="s">
        <v>2344</v>
      </c>
      <c r="D5" s="3" t="s">
        <v>2345</v>
      </c>
      <c r="F5" s="3" t="s">
        <v>2346</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2.0906028553828465E-16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4.181205710765693E-16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-6.271808566148539E-16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2347</v>
      </c>
      <c r="F24">
        <f xml:space="preserve"> TMT.SizeOuter</f>
        <v>3.4142135623730949</v>
      </c>
    </row>
    <row r="25" spans="2:6">
      <c r="E25" s="4" t="s">
        <v>2348</v>
      </c>
      <c r="F25">
        <f xml:space="preserve"> TMT.SizeOuter</f>
        <v>3.4142135623730949</v>
      </c>
    </row>
    <row r="26" spans="2:6">
      <c r="E26" s="4" t="s">
        <v>2349</v>
      </c>
      <c r="F26">
        <f xml:space="preserve"> - TMT.MaxX</f>
        <v>-3.4142135623730949</v>
      </c>
    </row>
    <row r="27" spans="2:6">
      <c r="E27" s="4" t="s">
        <v>2350</v>
      </c>
      <c r="F27">
        <f xml:space="preserve"> - TMT.MaxY</f>
        <v>-3.4142135623730949</v>
      </c>
    </row>
    <row r="29" spans="2:6">
      <c r="E29" s="4" t="s">
        <v>2351</v>
      </c>
      <c r="F29" s="5" t="s">
        <v>1764</v>
      </c>
    </row>
    <row r="30" spans="2:6">
      <c r="E30" s="4" t="s">
        <v>2352</v>
      </c>
      <c r="F30" s="5" t="s">
        <v>2359</v>
      </c>
    </row>
    <row r="32" spans="2:6">
      <c r="E32" s="4" t="s">
        <v>2353</v>
      </c>
      <c r="F32">
        <f xml:space="preserve"> PI() / (16 * (1 - SqrtHalf) / 2)</f>
        <v>1.3407585306672443</v>
      </c>
    </row>
    <row r="33" spans="4:6">
      <c r="E33" s="4" t="s">
        <v>2354</v>
      </c>
      <c r="F33" cm="1">
        <f t="array" ref="F33" xml:space="preserve">  MAX(TMT.MaxY, - TMT.MinY)   /   MAX(TMT.MaxX, - TMT.MinX)</f>
        <v>1</v>
      </c>
    </row>
    <row r="34" spans="4:6">
      <c r="E34" s="4" t="s">
        <v>2355</v>
      </c>
      <c r="F34" cm="1">
        <f t="array" ref="F34" xml:space="preserve"> VALUE(TEXT(SQRT( TMT.AreaMultiplier * BasicBBoxArea *  TMT.Aspect), SVG.NumberFormatHeight))</f>
        <v>11.6</v>
      </c>
    </row>
    <row r="35" spans="4:6">
      <c r="E35" s="4" t="s">
        <v>2356</v>
      </c>
      <c r="F35" cm="1">
        <f t="array" ref="F35" xml:space="preserve">  TMT.Height /  TMT.Aspect</f>
        <v>11.6</v>
      </c>
    </row>
    <row r="38" spans="4:6" ht="17" thickBot="1">
      <c r="F38" s="3" t="s">
        <v>2357</v>
      </c>
    </row>
    <row r="39" spans="4:6">
      <c r="D39" cm="1">
        <f t="array" ref="D39" xml:space="preserve"> SVG_length(TMT.svg)</f>
        <v>352</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width='11.6' height='11.6' viewBox='-3.41421 -3.41421 6.82842 6.82842'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2422</v>
      </c>
      <c r="F2">
        <v>750</v>
      </c>
      <c r="H2" cm="1">
        <f t="array" ref="H2" xml:space="preserve"> GCD(IF(NPR.RawX &lt;= 0, NPR.MaxX, NPR.RawX))</f>
        <v>15</v>
      </c>
    </row>
    <row r="3" spans="2:8">
      <c r="E3" s="4" t="s">
        <v>2423</v>
      </c>
      <c r="F3">
        <f xml:space="preserve"> NPR.HalfWidth * 8 / 15</f>
        <v>400</v>
      </c>
      <c r="H3" cm="1">
        <f t="array" ref="H3" xml:space="preserve"> GCD(IF(NPR.RawY &lt;= 0, NPR.MaxY, NPR.RawY))</f>
        <v>8</v>
      </c>
    </row>
    <row r="4" spans="2:8">
      <c r="E4" s="4" t="s">
        <v>2424</v>
      </c>
      <c r="F4">
        <v>60</v>
      </c>
    </row>
    <row r="6" spans="2:8">
      <c r="E6" s="4" t="s">
        <v>2406</v>
      </c>
      <c r="F6">
        <f xml:space="preserve"> DecimalPlaces - INT(LOG(MIN(NPR.HalfWidth, NPR.HalfHeight), 10) + 0.2)</f>
        <v>3</v>
      </c>
    </row>
    <row r="8" spans="2:8" ht="17" thickBot="1">
      <c r="B8" s="3" t="s">
        <v>2420</v>
      </c>
      <c r="C8" s="3" t="s">
        <v>2407</v>
      </c>
      <c r="D8" s="3" t="s">
        <v>2408</v>
      </c>
      <c r="F8" s="3" t="s">
        <v>2409</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2412</v>
      </c>
      <c r="F22" cm="1">
        <f t="array" ref="F22" xml:space="preserve"> ROUND( MIN(NPR.RawX), NPR.DecimalPlaces)</f>
        <v>-750</v>
      </c>
    </row>
    <row r="23" spans="2:6">
      <c r="E23" s="4" t="s">
        <v>2410</v>
      </c>
      <c r="F23" cm="1">
        <f t="array" ref="F23" xml:space="preserve"> ROUND(MAX(NPR.RawX), NPR.DecimalPlaces)</f>
        <v>750</v>
      </c>
    </row>
    <row r="24" spans="2:6">
      <c r="E24" s="4" t="s">
        <v>2413</v>
      </c>
      <c r="F24" cm="1">
        <f t="array" ref="F24" xml:space="preserve"> ROUND( MIN(NPR.RawY), NPR.DecimalPlaces)</f>
        <v>-400</v>
      </c>
    </row>
    <row r="25" spans="2:6">
      <c r="E25" s="4" t="s">
        <v>2411</v>
      </c>
      <c r="F25" cm="1">
        <f t="array" ref="F25" xml:space="preserve"> ROUND(MAX(NPR.RawY), NPR.DecimalPlaces)</f>
        <v>400</v>
      </c>
    </row>
    <row r="27" spans="2:6">
      <c r="E27" s="4" t="s">
        <v>2421</v>
      </c>
      <c r="F27" s="5" t="s">
        <v>2404</v>
      </c>
    </row>
    <row r="28" spans="2:6">
      <c r="E28" s="4" t="s">
        <v>2414</v>
      </c>
      <c r="F28" s="5" t="s">
        <v>2073</v>
      </c>
    </row>
    <row r="30" spans="2:6">
      <c r="E30" s="4" t="s">
        <v>2415</v>
      </c>
      <c r="F30">
        <f xml:space="preserve"> INDEX(Simple.AreaMultiplier, MATCH("LU", Simple.ID, 0))</f>
        <v>1.3812499999999999</v>
      </c>
    </row>
    <row r="31" spans="2:6">
      <c r="E31" s="4" t="s">
        <v>2416</v>
      </c>
      <c r="F31" cm="1">
        <f t="array" ref="F31" xml:space="preserve">  MAX(NPR.MaxY, - NPR.MinY)   /   MAX(NPR.MaxX, - NPR.MinX)</f>
        <v>0.53333333333333333</v>
      </c>
    </row>
    <row r="32" spans="2:6">
      <c r="E32" s="4" t="s">
        <v>2417</v>
      </c>
      <c r="F32" cm="1">
        <f t="array" ref="F32" xml:space="preserve"> VALUE(TEXT(SQRT( NPR.AreaMultiplier * BasicBBoxArea *  NPR.Aspect), SVG.NumberFormatHeight))</f>
        <v>8.6</v>
      </c>
    </row>
    <row r="33" spans="4:6">
      <c r="E33" s="4" t="s">
        <v>2418</v>
      </c>
      <c r="F33" cm="1">
        <f t="array" ref="F33" xml:space="preserve">  NPR.Height /  NPR.Aspect</f>
        <v>16.125</v>
      </c>
    </row>
    <row r="36" spans="4:6" ht="17" thickBot="1">
      <c r="F36" s="3" t="s">
        <v>2419</v>
      </c>
    </row>
    <row r="37" spans="4:6">
      <c r="D37" cm="1">
        <f t="array" ref="D37" xml:space="preserve"> SVG_length(NPR.svg)</f>
        <v>237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width='16.125' height='8.6' viewBox='-750 -400 1500 800'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902</v>
      </c>
      <c r="F2" s="3" t="s">
        <v>900</v>
      </c>
      <c r="G2" s="3" t="s">
        <v>901</v>
      </c>
      <c r="H2" s="3" t="s">
        <v>903</v>
      </c>
      <c r="I2" s="3" t="s">
        <v>904</v>
      </c>
      <c r="K2" s="3" t="s">
        <v>906</v>
      </c>
      <c r="L2" s="3" t="s">
        <v>907</v>
      </c>
      <c r="N2" s="35" t="s">
        <v>1500</v>
      </c>
      <c r="O2" s="35" t="s">
        <v>905</v>
      </c>
    </row>
    <row r="3" spans="2:15">
      <c r="B3" s="4" t="s">
        <v>892</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width='12.5' height='12.5' viewBox='-20.45987 -20.45987 40.91974 40.91974'  id='%thisID%' xmlns='http://www.w3.org/2000/svg'&gt;</v>
      </c>
    </row>
    <row r="4" spans="2:15">
      <c r="B4" s="4"/>
    </row>
    <row r="5" spans="2:15">
      <c r="B5" s="4" t="s">
        <v>894</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891</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2248</v>
      </c>
    </row>
    <row r="7" spans="2:15">
      <c r="B7" s="4" t="s">
        <v>893</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895</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2249</v>
      </c>
    </row>
    <row r="11" spans="2:15">
      <c r="B11" s="4" t="s">
        <v>896</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897</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2250</v>
      </c>
    </row>
    <row r="13" spans="2:15">
      <c r="B13" s="4"/>
    </row>
    <row r="14" spans="2:15">
      <c r="B14" s="4" t="s">
        <v>898</v>
      </c>
      <c r="C14">
        <f xml:space="preserve"> VALUE(TEXT(SQRT(GEL.AreaMultiplier* BasicBBoxArea * GEL.Aspect), SVG.NumberFormatHeight))</f>
        <v>12.5</v>
      </c>
      <c r="O14" s="5" t="s">
        <v>15</v>
      </c>
    </row>
    <row r="15" spans="2:15">
      <c r="B15" s="4" t="s">
        <v>899</v>
      </c>
      <c r="C15" cm="1">
        <f t="array" ref="C15" xml:space="preserve"> GEL.Height / GEL.Aspect</f>
        <v>12.5</v>
      </c>
      <c r="O15"/>
    </row>
    <row r="16" spans="2:15">
      <c r="O16"/>
    </row>
    <row r="17" spans="2:15">
      <c r="B17" s="4" t="s">
        <v>1501</v>
      </c>
      <c r="C17" t="s">
        <v>731</v>
      </c>
      <c r="O17"/>
    </row>
    <row r="18" spans="2:15">
      <c r="B18" s="4" t="s">
        <v>1502</v>
      </c>
      <c r="C18" t="s">
        <v>2073</v>
      </c>
      <c r="O18"/>
    </row>
    <row r="19" spans="2:15">
      <c r="O19"/>
    </row>
    <row r="20" spans="2:15">
      <c r="C20">
        <f xml:space="preserve"> 2 * GEL.MaxX / (GEL.MaxX - 20)</f>
        <v>88.981078620567899</v>
      </c>
      <c r="D20" s="5" t="s">
        <v>909</v>
      </c>
      <c r="O20"/>
    </row>
    <row r="21" spans="2:15">
      <c r="B21" s="4" t="s">
        <v>908</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94"/>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2044</v>
      </c>
      <c r="C2" s="3" t="s">
        <v>2046</v>
      </c>
      <c r="D2" s="3" t="s">
        <v>2047</v>
      </c>
      <c r="I2" s="3" t="s">
        <v>2033</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1503</v>
      </c>
      <c r="C5" s="3" t="s">
        <v>2034</v>
      </c>
      <c r="D5" s="3" t="s">
        <v>2043</v>
      </c>
      <c r="E5" s="3" t="s">
        <v>2035</v>
      </c>
      <c r="F5" s="3" t="s">
        <v>2036</v>
      </c>
      <c r="G5" s="3" t="s">
        <v>2051</v>
      </c>
      <c r="H5" s="3" t="s">
        <v>2052</v>
      </c>
      <c r="I5" s="3" t="s">
        <v>2053</v>
      </c>
      <c r="K5" s="3" t="s">
        <v>2037</v>
      </c>
    </row>
    <row r="7" spans="2:11">
      <c r="B7" t="s">
        <v>2045</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2045</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2045</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6.4538886315065519E-17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-0.80901699437494745</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2070</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2070</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2070</v>
      </c>
      <c r="C20">
        <v>54</v>
      </c>
      <c r="D20" s="28"/>
      <c r="E20" s="28"/>
      <c r="F20" s="28"/>
      <c r="G20" s="28"/>
      <c r="H20" s="28">
        <f xml:space="preserve"> H19</f>
        <v>0.30976000000000004</v>
      </c>
      <c r="I20" s="28">
        <f xml:space="preserve"> I21</f>
        <v>0.30902000000000002</v>
      </c>
    </row>
    <row r="21" spans="2:9">
      <c r="B21" t="s">
        <v>2070</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2070</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2070</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2070</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2070</v>
      </c>
      <c r="C25">
        <f t="shared" si="11"/>
        <v>180</v>
      </c>
      <c r="D25" cm="1">
        <f t="array" ref="D25" xml:space="preserve"> _xlfn.SWITCH(MOD(_xlfn.SINGLE(RUB.AngleDegrees), 72),   0, RUB.RadiusOuter,   36, RUB.RadiusInner,   54, RUB.RadiusOverlap  )</f>
        <v>0.52700000000000002</v>
      </c>
      <c r="E25">
        <f t="shared" si="7"/>
        <v>6.4538886315065519E-17</v>
      </c>
      <c r="F25">
        <f t="shared" si="8"/>
        <v>-0.52700000000000002</v>
      </c>
      <c r="G25">
        <f xml:space="preserve"> IF(MOD(RUB.AngleDegrees,36)=18, 0.1, 10^-RUB.DecimalPlaces)</f>
        <v>1.0000000000000001E-5</v>
      </c>
      <c r="H25">
        <f t="shared" si="9"/>
        <v>0</v>
      </c>
      <c r="I25">
        <f t="shared" si="10"/>
        <v>-0.52700000000000002</v>
      </c>
    </row>
    <row r="26" spans="2:9">
      <c r="B26" t="s">
        <v>2070</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2070</v>
      </c>
      <c r="C27">
        <f t="shared" si="11"/>
        <v>216</v>
      </c>
      <c r="D27" cm="1">
        <f t="array" ref="D27" xml:space="preserve"> _xlfn.SWITCH(MOD(_xlfn.SINGLE(RUB.AngleDegrees), 72),   0, RUB.RadiusOuter,   36, RUB.RadiusInner,   54, RUB.RadiusOverlap  )</f>
        <v>1</v>
      </c>
      <c r="E27">
        <f t="shared" si="7"/>
        <v>-0.58778525229247303</v>
      </c>
      <c r="F27">
        <f t="shared" si="8"/>
        <v>-0.80901699437494745</v>
      </c>
      <c r="G27">
        <f t="shared" ref="G27:G32" si="12" xml:space="preserve"> IF(MOD(RUB.AngleDegrees,36)=18, 0.1, 10^-RUB.DecimalPlaces)</f>
        <v>1.0000000000000001E-5</v>
      </c>
      <c r="H27">
        <f t="shared" si="9"/>
        <v>-0.58779000000000003</v>
      </c>
      <c r="I27">
        <f t="shared" si="10"/>
        <v>-0.80902000000000007</v>
      </c>
    </row>
    <row r="28" spans="2:9">
      <c r="B28" t="s">
        <v>2070</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2070</v>
      </c>
      <c r="C29">
        <f t="shared" si="11"/>
        <v>270</v>
      </c>
      <c r="D29" cm="1">
        <f t="array" ref="D29" xml:space="preserve"> _xlfn.SWITCH(MOD(_xlfn.SINGLE(RUB.AngleDegrees), 72),   0, RUB.RadiusOuter,   36, RUB.RadiusInner,   54, RUB.RadiusOverlap  )</f>
        <v>0.33600000000000002</v>
      </c>
      <c r="E29">
        <f t="shared" si="7"/>
        <v>-0.33600000000000002</v>
      </c>
      <c r="F29">
        <f t="shared" si="8"/>
        <v>-6.1722198677026601E-17</v>
      </c>
      <c r="G29">
        <f t="shared" si="12"/>
        <v>0.1</v>
      </c>
      <c r="H29" s="28">
        <f xml:space="preserve"> H28</f>
        <v>-0.50121000000000004</v>
      </c>
      <c r="I29">
        <f t="shared" si="10"/>
        <v>0</v>
      </c>
    </row>
    <row r="30" spans="2:9">
      <c r="B30" t="s">
        <v>2070</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2070</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2070</v>
      </c>
      <c r="C32">
        <f t="shared" si="13"/>
        <v>342</v>
      </c>
      <c r="D32" cm="1">
        <f t="array" ref="D32" xml:space="preserve"> _xlfn.SWITCH(MOD(_xlfn.SINGLE(RUB.AngleDegrees), 72),   0, RUB.RadiusOuter,   36, RUB.RadiusInner,   54, RUB.RadiusOverlap  )</f>
        <v>0.33600000000000002</v>
      </c>
      <c r="E32">
        <f t="shared" si="7"/>
        <v>-0.10382971010998243</v>
      </c>
      <c r="F32">
        <f t="shared" si="8"/>
        <v>0.31955498947517158</v>
      </c>
      <c r="G32">
        <f t="shared" si="12"/>
        <v>0.1</v>
      </c>
      <c r="H32">
        <f t="shared" si="9"/>
        <v>-0.1</v>
      </c>
      <c r="I32" s="28">
        <f xml:space="preserve"> I31</f>
        <v>0.42635000000000006</v>
      </c>
    </row>
    <row r="35" spans="2:11">
      <c r="B35" t="s">
        <v>1008</v>
      </c>
      <c r="K35" s="28" t="s">
        <v>2069</v>
      </c>
    </row>
    <row r="36" spans="2:11">
      <c r="B36" t="s">
        <v>1008</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1008</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1008</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1008</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1008</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6.4538886315065519E-17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1008</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-0.80901699437494745</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1008</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1008</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1008</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1008</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2115</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2115</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2115</v>
      </c>
      <c r="C55">
        <f t="shared" ref="C55:C57" si="25">C54+72</f>
        <v>180</v>
      </c>
      <c r="D55" cm="1">
        <f t="array" ref="D55" xml:space="preserve"> _xlfn.SWITCH(MOD(_xlfn.SINGLE(RUB.AngleDegrees), 72),   0, RUB.RadiusOuter,   36, RUB.RadiusInner,   54, RUB.RadiusOverlap  )</f>
        <v>0.52700000000000002</v>
      </c>
      <c r="E55">
        <f t="shared" si="20"/>
        <v>6.4538886315065519E-17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2115</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2115</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864</v>
      </c>
      <c r="K70" s="28">
        <f xml:space="preserve"> ROUND(MAX(RUB.X), RUB.DecimalPlaces)</f>
        <v>0.95106000000000002</v>
      </c>
    </row>
    <row r="71" spans="10:13">
      <c r="J71" s="4" t="s">
        <v>866</v>
      </c>
      <c r="K71" s="28">
        <f xml:space="preserve"> ROUND( -MIN(RUB.Y), RUB.DecimalPlaces)</f>
        <v>0.80901999999999996</v>
      </c>
    </row>
    <row r="72" spans="10:13">
      <c r="J72" s="4" t="s">
        <v>863</v>
      </c>
      <c r="K72" s="28">
        <f xml:space="preserve"> ROUND( MIN(RUB.X), RUB.DecimalPlaces)</f>
        <v>-0.95106000000000002</v>
      </c>
    </row>
    <row r="73" spans="10:13">
      <c r="J73" s="4" t="s">
        <v>865</v>
      </c>
      <c r="K73" s="28">
        <f xml:space="preserve"> ROUND(-MAX(RUB.Y), RUB.DecimalPlaces)</f>
        <v>-1</v>
      </c>
    </row>
    <row r="75" spans="10:13">
      <c r="J75" s="4" t="s">
        <v>2048</v>
      </c>
      <c r="K75" s="5" t="s">
        <v>2050</v>
      </c>
      <c r="M75" t="str">
        <f xml:space="preserve"> DEC2HEX(INT(HEX2DEC("D4")/2),2)  &amp;  DEC2HEX(INT(HEX2DEC("AF")/2),2)  &amp;  DEC2HEX(INT(HEX2DEC("37")/2),2)</f>
        <v>6A571B</v>
      </c>
    </row>
    <row r="76" spans="10:13">
      <c r="J76" s="4" t="s">
        <v>2049</v>
      </c>
      <c r="K76" s="5" t="s">
        <v>2062</v>
      </c>
    </row>
    <row r="78" spans="10:13">
      <c r="J78" s="4" t="s">
        <v>2038</v>
      </c>
      <c r="K78" s="26">
        <v>1.55</v>
      </c>
    </row>
    <row r="79" spans="10:13">
      <c r="J79" s="4" t="s">
        <v>2039</v>
      </c>
      <c r="K79" cm="1">
        <f t="array" ref="K79" xml:space="preserve">  MAX(RUB.MaxY, - RUB.MinY)   /   MAX(RUB.MaxX, - RUB.MinX)</f>
        <v>1.0514583727630222</v>
      </c>
    </row>
    <row r="80" spans="10:13">
      <c r="J80" s="4" t="s">
        <v>2040</v>
      </c>
      <c r="K80" cm="1">
        <f t="array" ref="K80" xml:space="preserve"> VALUE(TEXT(SQRT( RUB.AreaMultiplier * BasicBBoxArea *  RUB.Aspect), SVG.NumberFormatHeight))</f>
        <v>12.8</v>
      </c>
    </row>
    <row r="81" spans="8:11">
      <c r="J81" s="4" t="s">
        <v>2041</v>
      </c>
      <c r="K81" cm="1">
        <f t="array" ref="K81" xml:space="preserve">  RUB.Height /  RUB.Aspect</f>
        <v>12.173568000000001</v>
      </c>
    </row>
    <row r="83" spans="8:11">
      <c r="J83" s="4" t="s">
        <v>2754</v>
      </c>
      <c r="K83">
        <f xml:space="preserve"> ROUND(_xlfn.SINGLE(RUB.Width) * (_xlfn.SINGLE(RUB.MaxX) - _xlfn.SINGLE(RUB.MinX)) / MAX(_xlfn.SINGLE(RUB.MaxX),  -_xlfn.SINGLE(RUB.MinX)) / 2, svgSizeDecimalPlaces)</f>
        <v>12.17357</v>
      </c>
    </row>
    <row r="84" spans="8:11">
      <c r="J84" s="4" t="s">
        <v>2755</v>
      </c>
      <c r="K84">
        <f xml:space="preserve"> ROUND(_xlfn.SINGLE(RUB.Height) * (_xlfn.SINGLE(RUB.MaxY) - _xlfn.SINGLE(RUB.MinY)) / MAX(_xlfn.SINGLE(RUB.MaxY),  -_xlfn.SINGLE(RUB.MinY)) / 2, svgSizeDecimalPlaces)</f>
        <v>11.577730000000001</v>
      </c>
    </row>
    <row r="85" spans="8:11">
      <c r="J85" s="4" t="s">
        <v>2728</v>
      </c>
      <c r="K85" s="5" t="str">
        <f xml:space="preserve"> _xlfn.LET(_xlpm.multLinear,IF(SizeConstant, SQRT(AreaMultiplier_Max / _xlfn.SINGLE(RUB.AreaMultiplier)), 1),   _xlpm.dp,_xlfn.SINGLE(RUB.DecimalPlaces),
_xlpm.minX,ROUND(_xlpm.multLinear * _xlfn.SINGLE(RUB.MinX), _xlpm.dp),
_xlpm.minY,ROUND(_xlpm.multLinear * _xlfn.SINGLE(RUB.MinY), _xlpm.dp),
_xlpm.maxX,ROUND(_xlpm.multLinear * _xlfn.SINGLE(RUB.MaxX), _xlpm.dp),
_xlpm.maxY,ROUND(_xlpm.multLinear * _xlfn.SINGLE(RUB.MaxY), _xlpm.dp),  _xlpm.minX &amp; " " &amp; _xlpm.minY &amp; " " &amp; ROUND(_xlpm.maxX - _xlpm.minX, _xlpm.dp) &amp; " " &amp; ROUND(_xlpm.maxY - _xlpm.minY, _xlpm.dp) )</f>
        <v>-0.95106 -1 1.90212 1.80902</v>
      </c>
    </row>
    <row r="88" spans="8:11" ht="17" thickBot="1">
      <c r="K88" s="3" t="s">
        <v>2042</v>
      </c>
    </row>
    <row r="89" spans="8:11">
      <c r="H89" cm="1">
        <f t="array" ref="H89" xml:space="preserve"> SVG_length(RUB.svg)</f>
        <v>512</v>
      </c>
      <c r="J89" s="16"/>
      <c r="K89"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width='12.17357' height='12.8' viewBox='-0.95106 -1 1.90212 2'  id='%thisID%' xmlns='http://www.w3.org/2000/svg'&gt;</v>
      </c>
    </row>
    <row r="90" spans="8:11">
      <c r="J90" s="5"/>
      <c r="K90" s="5" t="str" cm="1">
        <f t="array" ref="K90" xml:space="preserve"> "&lt;defs&gt;&lt;path id='RUB-h' d='" &amp; _xlfn.TEXTJOIN(" ", TRUE,  IF("Gold"=RUB.Part,RUB.SvgWorking,"")) &amp; "'/&gt;&lt;/defs&gt;"</f>
        <v>&lt;defs&gt;&lt;path id='RUB-h' d='M0 -1 l.30976 .57365 l.6413 .11733 L.50121 .16285 L.58779 .80902 L0 .527 L-.58779 .80902 L-.50121 .16285 L-.95106 -.30902 l.6413 -.11733Z'/&gt;&lt;/defs&gt;</v>
      </c>
    </row>
    <row r="91" spans="8:11">
      <c r="J91" s="5"/>
      <c r="K91" s="5" t="str">
        <f xml:space="preserve"> "&lt;use href='#RUB-h' " &amp; TRIM(RUB.SVG_painting_B) &amp; "/&gt;"</f>
        <v>&lt;use href='#RUB-h' fill='#6A571B'/&gt;</v>
      </c>
    </row>
    <row r="92" spans="8:11">
      <c r="K92" s="5" t="str">
        <f xml:space="preserve"> "&lt;use href='#RUB-h' " &amp; TRIM(RUB.SVG_painting_G) &amp; " transform='scale(0.8)'/&gt;"</f>
        <v>&lt;use href='#RUB-h' fill='#D4AF37' transform='scale(0.8)'/&gt;</v>
      </c>
    </row>
    <row r="93" spans="8:11">
      <c r="H93">
        <f xml:space="preserve"> ATAN2($E$8, $F$8 - $F$7)</f>
        <v>-1.0756726673092731</v>
      </c>
      <c r="K93" s="5" t="str" cm="1">
        <f t="array" ref="K93" xml:space="preserve"> "&lt;path " &amp; SUBSTITUTE(TRIM(RUB.SVG_painting_B),"fill","stroke") &amp; " stroke-width='" &amp; ROUND(0.2 * COS($H93), RUB.DecimalPlaces) &amp; "' d='" &amp; _xlfn.TEXTJOIN(" ", TRUE, IF("Stroke"=RUB.Part,RUB.SvgWorking,"")) &amp; "'/&gt;"</f>
        <v>&lt;path stroke='#6A571B' stroke-width='0.09503' d='M 0 0L-0.285 -0.39227 M 0 0L-0.46166 0.15 M 0 0L0 0.49 M 0 0L0.46166 0.15 M 0 0L0.285 -0.39227'/&gt;</v>
      </c>
    </row>
    <row r="94" spans="8:11">
      <c r="K94" s="5" t="s">
        <v>15</v>
      </c>
    </row>
  </sheetData>
  <pageMargins left="0.7" right="0.7" top="0.75" bottom="0.75" header="0.3" footer="0.3"/>
  <pageSetup paperSize="9" orientation="portrait" horizontalDpi="0" verticalDpi="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7"/>
  <sheetViews>
    <sheetView workbookViewId="0">
      <selection activeCell="B2" sqref="B2"/>
    </sheetView>
  </sheetViews>
  <sheetFormatPr baseColWidth="10" defaultRowHeight="16"/>
  <sheetData>
    <row r="2" spans="2:16" ht="17" thickBot="1">
      <c r="C2" s="2" t="s">
        <v>432</v>
      </c>
      <c r="D2" s="2" t="s">
        <v>433</v>
      </c>
      <c r="F2" s="3" t="s">
        <v>434</v>
      </c>
    </row>
    <row r="3" spans="2:16">
      <c r="C3" t="b">
        <v>0</v>
      </c>
      <c r="D3" t="b">
        <v>1</v>
      </c>
      <c r="F3">
        <f xml:space="preserve"> DecimalPlaces - INT(LOG(MIN(  MAX(AED.RawX) - MIN(AED.RawX),  MAX(AED.RawY) - MIN(AED.RawY)  )/2, 10) + 0.2)</f>
        <v>3</v>
      </c>
    </row>
    <row r="5" spans="2:16" ht="17" thickBot="1">
      <c r="B5" s="3" t="s">
        <v>435</v>
      </c>
      <c r="C5" s="3" t="s">
        <v>436</v>
      </c>
      <c r="D5" s="3" t="s">
        <v>437</v>
      </c>
      <c r="F5" s="3" t="s">
        <v>1742</v>
      </c>
      <c r="K5" s="3" t="s">
        <v>438</v>
      </c>
      <c r="L5" s="3" t="s">
        <v>439</v>
      </c>
      <c r="M5" s="3" t="s">
        <v>440</v>
      </c>
      <c r="N5" s="3" t="s">
        <v>441</v>
      </c>
      <c r="O5" s="3" t="s">
        <v>442</v>
      </c>
      <c r="P5" s="3" t="s">
        <v>443</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444</v>
      </c>
      <c r="I19">
        <v>16</v>
      </c>
    </row>
    <row r="20" spans="2:16">
      <c r="H20" s="4" t="s">
        <v>445</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452</v>
      </c>
      <c r="F36">
        <f xml:space="preserve"> ROUND( MIN(AED.RawX), AED.DecimalPlaces)</f>
        <v>-126.44</v>
      </c>
    </row>
    <row r="37" spans="2:16">
      <c r="E37" s="4" t="s">
        <v>453</v>
      </c>
      <c r="F37">
        <f xml:space="preserve"> ROUND(MAX(AED.RawX), AED.DecimalPlaces)</f>
        <v>126.44</v>
      </c>
    </row>
    <row r="38" spans="2:16">
      <c r="E38" s="4" t="s">
        <v>454</v>
      </c>
      <c r="F38">
        <f xml:space="preserve"> ROUND( -MAX(AED.RawY), AED.DecimalPlaces)</f>
        <v>-146</v>
      </c>
    </row>
    <row r="39" spans="2:16">
      <c r="E39" s="4" t="s">
        <v>455</v>
      </c>
      <c r="F39">
        <f xml:space="preserve"> ROUND( -MIN(AED.RawY), AED.DecimalPlaces)</f>
        <v>84.516999999999996</v>
      </c>
    </row>
    <row r="41" spans="2:16">
      <c r="E41" s="4" t="s">
        <v>446</v>
      </c>
      <c r="F41" s="26">
        <f xml:space="preserve"> ZAR.AreaMultiplier</f>
        <v>2</v>
      </c>
    </row>
    <row r="42" spans="2:16">
      <c r="E42" s="4" t="s">
        <v>447</v>
      </c>
      <c r="F42">
        <f xml:space="preserve">  MAX(AED.MaxY, - AED.MinY)   /   MAX(AED.MaxX, - AED.MinX)</f>
        <v>1.1546978804175894</v>
      </c>
    </row>
    <row r="43" spans="2:16">
      <c r="E43" s="4" t="s">
        <v>448</v>
      </c>
      <c r="F43">
        <f xml:space="preserve"> VALUE(TEXT(SQRT(AED.AreaMultiplier* BasicBBoxArea * AED.Aspect), SVG.NumberFormatHeight))</f>
        <v>15.2</v>
      </c>
    </row>
    <row r="44" spans="2:16">
      <c r="E44" s="4" t="s">
        <v>449</v>
      </c>
      <c r="F44" cm="1">
        <f t="array" ref="F44" xml:space="preserve"> AED.Height / AED.Aspect</f>
        <v>13.163616438356163</v>
      </c>
    </row>
    <row r="46" spans="2:16">
      <c r="E46" s="4" t="s">
        <v>450</v>
      </c>
      <c r="F46" t="s">
        <v>760</v>
      </c>
    </row>
    <row r="47" spans="2:16">
      <c r="E47" s="4" t="s">
        <v>451</v>
      </c>
      <c r="F47" t="s">
        <v>761</v>
      </c>
    </row>
    <row r="49" spans="3:6">
      <c r="E49" s="4" t="s">
        <v>2756</v>
      </c>
      <c r="F49">
        <f xml:space="preserve"> ROUND(_xlfn.SINGLE(AED.Width) * (_xlfn.SINGLE(AED.MaxX) - _xlfn.SINGLE(AED.MinX)) / MAX(_xlfn.SINGLE(AED.MaxX),  -_xlfn.SINGLE(AED.MinX)) / 2, svgSizeDecimalPlaces)</f>
        <v>13.16362</v>
      </c>
    </row>
    <row r="50" spans="3:6">
      <c r="E50" s="4" t="s">
        <v>2757</v>
      </c>
      <c r="F50">
        <f xml:space="preserve"> ROUND(_xlfn.SINGLE(AED.Height) * (_xlfn.SINGLE(AED.MaxY) - _xlfn.SINGLE(AED.MinY)) / MAX(_xlfn.SINGLE(AED.MaxY),  -_xlfn.SINGLE(AED.MinY)) / 2, svgSizeDecimalPlaces)</f>
        <v>11.99952</v>
      </c>
    </row>
    <row r="51" spans="3:6">
      <c r="E51" s="4" t="s">
        <v>2729</v>
      </c>
      <c r="F51" s="5" t="str">
        <f xml:space="preserve"> _xlfn.LET(_xlpm.multLinear,IF(SizeConstant, SQRT(AreaMultiplier_Max / _xlfn.SINGLE(AED.AreaMultiplier)), 1),   _xlpm.dp,_xlfn.SINGLE(AED.DecimalPlaces),
_xlpm.minX,ROUND(_xlpm.multLinear * _xlfn.SINGLE(AED.MinX), _xlpm.dp),
_xlpm.minY,ROUND(_xlpm.multLinear * _xlfn.SINGLE(AED.MinY), _xlpm.dp),
_xlpm.maxX,ROUND(_xlpm.multLinear * _xlfn.SINGLE(AED.MaxX), _xlpm.dp),
_xlpm.maxY,ROUND(_xlpm.multLinear * _xlfn.SINGLE(AED.MaxY), _xlpm.dp),  _xlpm.minX &amp; " " &amp; _xlpm.minY &amp; " " &amp; ROUND(_xlpm.maxX - _xlpm.minX, _xlpm.dp) &amp; " " &amp; ROUND(_xlpm.maxY - _xlpm.minY, _xlpm.dp) )</f>
        <v>-126.44 -146 252.88 230.517</v>
      </c>
    </row>
    <row r="53" spans="3:6" ht="17" thickBot="1">
      <c r="F53" s="3" t="s">
        <v>456</v>
      </c>
    </row>
    <row r="54" spans="3:6">
      <c r="C54" cm="1">
        <f t="array" ref="C54" xml:space="preserve"> SVG_length(AED.svg)</f>
        <v>479</v>
      </c>
      <c r="F54"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width='13.16362' height='15.2' viewBox='-126.44 -146 252.88 292'  id='%thisID%' xmlns='http://www.w3.org/2000/svg'&gt;</v>
      </c>
    </row>
    <row r="55" spans="3:6">
      <c r="F55" s="5" t="str" cm="1">
        <f t="array" ref="F55"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6" spans="3:6">
      <c r="F56" s="5" t="str" cm="1">
        <f t="array" ref="F56"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7" spans="3:6">
      <c r="F57" s="5" t="s">
        <v>15</v>
      </c>
    </row>
  </sheetData>
  <sortState xmlns:xlrd2="http://schemas.microsoft.com/office/spreadsheetml/2017/richdata2" ref="A6:D17">
    <sortCondition ref="A6:A17"/>
  </sortState>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1962</v>
      </c>
      <c r="C2" s="3" t="s">
        <v>1963</v>
      </c>
      <c r="E2" t="s">
        <v>1947</v>
      </c>
    </row>
    <row r="3" spans="2:5">
      <c r="B3" s="34">
        <v>5</v>
      </c>
      <c r="C3">
        <v>1</v>
      </c>
      <c r="E3" s="34">
        <f xml:space="preserve"> DecimalPlaces - INT(LOG(MIN(  MAX( OMR.RawX) - MIN( OMR.RawX),  MAX( OMR.RawY) - MIN( OMR.RawY)  )/2, 10) + 0.2)</f>
        <v>5</v>
      </c>
    </row>
    <row r="5" spans="2:5" ht="17" thickBot="1">
      <c r="B5" s="3" t="s">
        <v>1948</v>
      </c>
      <c r="C5" s="3" t="s">
        <v>1949</v>
      </c>
      <c r="E5" s="3" t="s">
        <v>1950</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1952</v>
      </c>
      <c r="E20">
        <f xml:space="preserve"> 1 + OMR.SizeInner</f>
        <v>6</v>
      </c>
    </row>
    <row r="21" spans="2:5">
      <c r="D21" s="4" t="s">
        <v>1954</v>
      </c>
      <c r="E21">
        <f xml:space="preserve"> OMR.MaxX</f>
        <v>6</v>
      </c>
    </row>
    <row r="22" spans="2:5">
      <c r="D22" s="4" t="s">
        <v>1951</v>
      </c>
      <c r="E22">
        <f xml:space="preserve"> - OMR.MaxX</f>
        <v>-6</v>
      </c>
    </row>
    <row r="23" spans="2:5">
      <c r="D23" s="4" t="s">
        <v>1953</v>
      </c>
      <c r="E23">
        <f xml:space="preserve"> - OMR.MaxY</f>
        <v>-6</v>
      </c>
    </row>
    <row r="25" spans="2:5">
      <c r="D25" s="4" t="s">
        <v>1955</v>
      </c>
      <c r="E25" s="5" t="s">
        <v>721</v>
      </c>
    </row>
    <row r="26" spans="2:5">
      <c r="D26" s="4" t="s">
        <v>1956</v>
      </c>
      <c r="E26" s="5" t="s">
        <v>1946</v>
      </c>
    </row>
    <row r="28" spans="2:5">
      <c r="D28" s="4" t="s">
        <v>1957</v>
      </c>
      <c r="E28">
        <f xml:space="preserve"> MODE(Squares.AreaMultiplier)</f>
        <v>0.85</v>
      </c>
    </row>
    <row r="29" spans="2:5">
      <c r="D29" s="4" t="s">
        <v>1958</v>
      </c>
      <c r="E29" cm="1">
        <f t="array" ref="E29" xml:space="preserve">  MAX(OMR.MaxY, - OMR.MinY)   /   MAX(OMR.MaxX, - OMR.MinX)</f>
        <v>1</v>
      </c>
    </row>
    <row r="30" spans="2:5">
      <c r="D30" s="4" t="s">
        <v>1959</v>
      </c>
      <c r="E30" cm="1">
        <f t="array" ref="E30" xml:space="preserve"> VALUE(TEXT(SQRT( OMR.AreaMultiplier * BasicBBoxArea *  OMR.Aspect), SVG.NumberFormatHeight))</f>
        <v>9.1999999999999993</v>
      </c>
    </row>
    <row r="31" spans="2:5">
      <c r="D31" s="4" t="s">
        <v>1960</v>
      </c>
      <c r="E31" cm="1">
        <f t="array" ref="E31" xml:space="preserve">  OMR.Height /  OMR.Aspect</f>
        <v>9.1999999999999993</v>
      </c>
    </row>
    <row r="34" spans="3:5" ht="17" thickBot="1">
      <c r="E34" s="3" t="s">
        <v>1961</v>
      </c>
    </row>
    <row r="35" spans="3:5">
      <c r="C35" cm="1">
        <f t="array" ref="C35" xml:space="preserve"> SVG_length(OMR.svg)</f>
        <v>228</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width='9.2' height='9.2' viewBox='-6 -6 12 12'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458</v>
      </c>
    </row>
    <row r="3" spans="2:6">
      <c r="F3">
        <f xml:space="preserve"> DecimalPlaces - INT(LOG(MIN(  MAX(QAR.RawX) - MIN(QAR.RawX),  MAX(QAR.RawY) - MIN(QAR.RawY)  )/2, 10) + 0.2)</f>
        <v>3</v>
      </c>
    </row>
    <row r="5" spans="2:6" ht="17" thickBot="1">
      <c r="C5" s="3" t="s">
        <v>475</v>
      </c>
    </row>
    <row r="6" spans="2:6">
      <c r="C6" cm="1">
        <f t="array" ref="C6" xml:space="preserve"> SQRT(1417) * 45 / 88 / GoldenRatio</f>
        <v>11.896716885504146</v>
      </c>
    </row>
    <row r="8" spans="2:6" ht="17" thickBot="1">
      <c r="B8" s="3" t="s">
        <v>459</v>
      </c>
      <c r="C8" s="3" t="s">
        <v>460</v>
      </c>
      <c r="D8" s="3" t="s">
        <v>461</v>
      </c>
      <c r="F8" s="3" t="s">
        <v>1732</v>
      </c>
    </row>
    <row r="9" spans="2:6">
      <c r="B9" s="34" t="s">
        <v>474</v>
      </c>
      <c r="C9" s="1">
        <v>121</v>
      </c>
      <c r="D9" s="1">
        <f xml:space="preserve"> _xlfn.SINGLE(QAR.RawX)</f>
        <v>121</v>
      </c>
    </row>
    <row r="10" spans="2:6">
      <c r="B10" t="s">
        <v>474</v>
      </c>
      <c r="C10" s="1">
        <f xml:space="preserve"> - C9</f>
        <v>-121</v>
      </c>
      <c r="D10" s="1">
        <f xml:space="preserve"> D9</f>
        <v>121</v>
      </c>
    </row>
    <row r="11" spans="2:6">
      <c r="B11" t="s">
        <v>474</v>
      </c>
      <c r="C11" s="1">
        <f xml:space="preserve"> C10</f>
        <v>-121</v>
      </c>
      <c r="D11" s="1">
        <f xml:space="preserve"> - D10</f>
        <v>-121</v>
      </c>
    </row>
    <row r="12" spans="2:6">
      <c r="B12" t="s">
        <v>474</v>
      </c>
      <c r="C12" s="1">
        <f xml:space="preserve"> - C11</f>
        <v>121</v>
      </c>
      <c r="D12" s="1">
        <f xml:space="preserve"> D11</f>
        <v>-121</v>
      </c>
    </row>
    <row r="13" spans="2:6">
      <c r="B13" t="s">
        <v>474</v>
      </c>
      <c r="C13" s="1">
        <f xml:space="preserve"> C12</f>
        <v>121</v>
      </c>
      <c r="D13" s="1">
        <f xml:space="preserve"> - D12</f>
        <v>121</v>
      </c>
    </row>
    <row r="14" spans="2:6">
      <c r="C14" s="1"/>
      <c r="D14" s="1"/>
    </row>
    <row r="15" spans="2:6">
      <c r="B15" t="s">
        <v>1731</v>
      </c>
      <c r="C15" s="54">
        <v>-99</v>
      </c>
      <c r="D15" s="1">
        <v>-99</v>
      </c>
      <c r="F15" t="str">
        <f t="array" ref="F15:F26" xml:space="preserve"> svgpath($C15:$C26, $D15:$D26, QAR.DecimalPlaces)</f>
        <v>M-99 -99</v>
      </c>
    </row>
    <row r="16" spans="2:6">
      <c r="B16" t="s">
        <v>1731</v>
      </c>
      <c r="C16">
        <v>-72</v>
      </c>
      <c r="D16" s="1">
        <f xml:space="preserve"> D15</f>
        <v>-99</v>
      </c>
      <c r="F16" t="str">
        <v>h27</v>
      </c>
    </row>
    <row r="17" spans="2:6">
      <c r="B17" t="s">
        <v>1731</v>
      </c>
      <c r="C17">
        <f xml:space="preserve"> -72 - C16</f>
        <v>0</v>
      </c>
      <c r="D17">
        <f xml:space="preserve"> 22 + D16</f>
        <v>-77</v>
      </c>
      <c r="F17" t="str">
        <v>L0 -77</v>
      </c>
    </row>
    <row r="18" spans="2:6">
      <c r="B18" t="s">
        <v>1731</v>
      </c>
      <c r="C18">
        <f t="shared" ref="C18:C25" si="0" xml:space="preserve"> -72 - C17</f>
        <v>-72</v>
      </c>
      <c r="D18">
        <f t="shared" ref="D18:D25" si="1" xml:space="preserve"> 22 + D17</f>
        <v>-55</v>
      </c>
      <c r="F18" t="str">
        <v>l-72 22</v>
      </c>
    </row>
    <row r="19" spans="2:6">
      <c r="B19" t="s">
        <v>1731</v>
      </c>
      <c r="C19">
        <f t="shared" si="0"/>
        <v>0</v>
      </c>
      <c r="D19">
        <f t="shared" si="1"/>
        <v>-33</v>
      </c>
      <c r="F19" t="str">
        <v>L0 -33</v>
      </c>
    </row>
    <row r="20" spans="2:6">
      <c r="B20" t="s">
        <v>1731</v>
      </c>
      <c r="C20">
        <f t="shared" si="0"/>
        <v>-72</v>
      </c>
      <c r="D20">
        <f t="shared" si="1"/>
        <v>-11</v>
      </c>
      <c r="F20" t="str">
        <v>l-72 22</v>
      </c>
    </row>
    <row r="21" spans="2:6">
      <c r="B21" t="s">
        <v>1731</v>
      </c>
      <c r="C21">
        <f t="shared" si="0"/>
        <v>0</v>
      </c>
      <c r="D21">
        <f t="shared" si="1"/>
        <v>11</v>
      </c>
      <c r="F21" t="str">
        <v>L0 11</v>
      </c>
    </row>
    <row r="22" spans="2:6">
      <c r="B22" t="s">
        <v>1731</v>
      </c>
      <c r="C22">
        <f t="shared" si="0"/>
        <v>-72</v>
      </c>
      <c r="D22">
        <f t="shared" si="1"/>
        <v>33</v>
      </c>
      <c r="F22" t="str">
        <v>L-72 33</v>
      </c>
    </row>
    <row r="23" spans="2:6">
      <c r="B23" t="s">
        <v>1731</v>
      </c>
      <c r="C23">
        <f t="shared" si="0"/>
        <v>0</v>
      </c>
      <c r="D23">
        <f t="shared" si="1"/>
        <v>55</v>
      </c>
      <c r="F23" t="str">
        <v>L0 55</v>
      </c>
    </row>
    <row r="24" spans="2:6">
      <c r="B24" t="s">
        <v>1731</v>
      </c>
      <c r="C24">
        <f t="shared" si="0"/>
        <v>-72</v>
      </c>
      <c r="D24">
        <f t="shared" si="1"/>
        <v>77</v>
      </c>
      <c r="F24" t="str">
        <v>L-72 77</v>
      </c>
    </row>
    <row r="25" spans="2:6">
      <c r="B25" t="s">
        <v>1731</v>
      </c>
      <c r="C25">
        <f t="shared" si="0"/>
        <v>0</v>
      </c>
      <c r="D25">
        <f t="shared" si="1"/>
        <v>99</v>
      </c>
      <c r="F25" t="str">
        <v>L0 99</v>
      </c>
    </row>
    <row r="26" spans="2:6">
      <c r="B26" t="s">
        <v>1731</v>
      </c>
      <c r="C26">
        <f xml:space="preserve"> C15</f>
        <v>-99</v>
      </c>
      <c r="D26">
        <f xml:space="preserve"> D25</f>
        <v>99</v>
      </c>
      <c r="F26" t="str">
        <v>H-99Z</v>
      </c>
    </row>
    <row r="28" spans="2:6">
      <c r="B28" t="s">
        <v>1731</v>
      </c>
      <c r="C28" s="54">
        <f xml:space="preserve"> - C15</f>
        <v>99</v>
      </c>
      <c r="D28">
        <f xml:space="preserve"> D15</f>
        <v>-99</v>
      </c>
      <c r="F28" t="str">
        <f t="array" ref="F28:F39" xml:space="preserve"> svgpath($C28:$C39, $D28:$D39, QAR.DecimalPlaces)</f>
        <v>M99 -99</v>
      </c>
    </row>
    <row r="29" spans="2:6">
      <c r="B29" t="s">
        <v>1731</v>
      </c>
      <c r="C29" s="1">
        <f xml:space="preserve"> 72 + C16</f>
        <v>0</v>
      </c>
      <c r="D29">
        <f t="shared" ref="D29:D39" si="2" xml:space="preserve"> D16</f>
        <v>-99</v>
      </c>
      <c r="F29" t="str">
        <v>H0</v>
      </c>
    </row>
    <row r="30" spans="2:6">
      <c r="B30" t="s">
        <v>1731</v>
      </c>
      <c r="C30" s="1">
        <f t="shared" ref="C30:C38" si="3" xml:space="preserve"> 72 + C17</f>
        <v>72</v>
      </c>
      <c r="D30">
        <f t="shared" si="2"/>
        <v>-77</v>
      </c>
      <c r="F30" t="str">
        <v>l72 22</v>
      </c>
    </row>
    <row r="31" spans="2:6">
      <c r="B31" t="s">
        <v>1731</v>
      </c>
      <c r="C31" s="1">
        <f t="shared" si="3"/>
        <v>0</v>
      </c>
      <c r="D31">
        <f t="shared" si="2"/>
        <v>-55</v>
      </c>
      <c r="F31" t="str">
        <v>L0 -55</v>
      </c>
    </row>
    <row r="32" spans="2:6">
      <c r="B32" t="s">
        <v>1731</v>
      </c>
      <c r="C32" s="1">
        <f t="shared" si="3"/>
        <v>72</v>
      </c>
      <c r="D32">
        <f t="shared" si="2"/>
        <v>-33</v>
      </c>
      <c r="F32" t="str">
        <v>l72 22</v>
      </c>
    </row>
    <row r="33" spans="2:6">
      <c r="B33" t="s">
        <v>1731</v>
      </c>
      <c r="C33" s="1">
        <f t="shared" si="3"/>
        <v>0</v>
      </c>
      <c r="D33">
        <f t="shared" si="2"/>
        <v>-11</v>
      </c>
      <c r="F33" t="str">
        <v>L0 -11</v>
      </c>
    </row>
    <row r="34" spans="2:6">
      <c r="B34" t="s">
        <v>1731</v>
      </c>
      <c r="C34" s="1">
        <f t="shared" si="3"/>
        <v>72</v>
      </c>
      <c r="D34">
        <f t="shared" si="2"/>
        <v>11</v>
      </c>
      <c r="F34" t="str">
        <v>L72 11</v>
      </c>
    </row>
    <row r="35" spans="2:6">
      <c r="B35" t="s">
        <v>1731</v>
      </c>
      <c r="C35" s="1">
        <f t="shared" si="3"/>
        <v>0</v>
      </c>
      <c r="D35">
        <f t="shared" si="2"/>
        <v>33</v>
      </c>
      <c r="F35" t="str">
        <v>L0 33</v>
      </c>
    </row>
    <row r="36" spans="2:6">
      <c r="B36" t="s">
        <v>1731</v>
      </c>
      <c r="C36" s="1">
        <f t="shared" si="3"/>
        <v>72</v>
      </c>
      <c r="D36">
        <f t="shared" si="2"/>
        <v>55</v>
      </c>
      <c r="F36" t="str">
        <v>L72 55</v>
      </c>
    </row>
    <row r="37" spans="2:6">
      <c r="B37" t="s">
        <v>1731</v>
      </c>
      <c r="C37" s="1">
        <f t="shared" si="3"/>
        <v>0</v>
      </c>
      <c r="D37">
        <f t="shared" si="2"/>
        <v>77</v>
      </c>
      <c r="F37" t="str">
        <v>L0 77</v>
      </c>
    </row>
    <row r="38" spans="2:6">
      <c r="B38" t="s">
        <v>1731</v>
      </c>
      <c r="C38" s="1">
        <f t="shared" si="3"/>
        <v>72</v>
      </c>
      <c r="D38">
        <f t="shared" si="2"/>
        <v>99</v>
      </c>
      <c r="F38" t="str">
        <v>L72 99</v>
      </c>
    </row>
    <row r="39" spans="2:6">
      <c r="B39" t="s">
        <v>1731</v>
      </c>
      <c r="C39" s="54">
        <f xml:space="preserve"> - C26</f>
        <v>99</v>
      </c>
      <c r="D39">
        <f t="shared" si="2"/>
        <v>99</v>
      </c>
      <c r="F39" t="str">
        <v>H99Z</v>
      </c>
    </row>
    <row r="42" spans="2:6">
      <c r="E42" s="4" t="s">
        <v>466</v>
      </c>
      <c r="F42">
        <f xml:space="preserve"> ROUND( MIN(QAR.RawX), QAR.DecimalPlaces)</f>
        <v>-121</v>
      </c>
    </row>
    <row r="43" spans="2:6">
      <c r="E43" s="4" t="s">
        <v>467</v>
      </c>
      <c r="F43">
        <f xml:space="preserve"> ROUND(MAX(QAR.RawX), QAR.DecimalPlaces)</f>
        <v>121</v>
      </c>
    </row>
    <row r="44" spans="2:6">
      <c r="E44" s="4" t="s">
        <v>468</v>
      </c>
      <c r="F44">
        <f xml:space="preserve"> ROUND( MIN(QAR.RawY), QAR.DecimalPlaces)</f>
        <v>-121</v>
      </c>
    </row>
    <row r="45" spans="2:6">
      <c r="E45" s="4" t="s">
        <v>469</v>
      </c>
      <c r="F45">
        <f xml:space="preserve"> ROUND(MAX(QAR.RawY), QAR.DecimalPlaces)</f>
        <v>121</v>
      </c>
    </row>
    <row r="47" spans="2:6">
      <c r="E47" s="4" t="s">
        <v>462</v>
      </c>
      <c r="F47" s="26">
        <v>0.8</v>
      </c>
    </row>
    <row r="48" spans="2:6">
      <c r="E48" s="4" t="s">
        <v>463</v>
      </c>
      <c r="F48">
        <f xml:space="preserve">  MAX(QAR.MaxY, - QAR.MinY)   /   MAX(QAR.MaxX, - QAR.MinX)</f>
        <v>1</v>
      </c>
    </row>
    <row r="49" spans="5:6">
      <c r="E49" s="4" t="s">
        <v>464</v>
      </c>
      <c r="F49">
        <f xml:space="preserve"> VALUE(TEXT(SQRT(QAR.AreaMultiplier * BasicBBoxArea * QAR.Aspect), SVG.NumberFormatHeight))</f>
        <v>8.9</v>
      </c>
    </row>
    <row r="50" spans="5:6">
      <c r="E50" s="4" t="s">
        <v>465</v>
      </c>
      <c r="F50" cm="1">
        <f t="array" ref="F50" xml:space="preserve"> QAR.Height / QAR.Aspect</f>
        <v>8.9</v>
      </c>
    </row>
    <row r="51" spans="5:6">
      <c r="E51" s="4"/>
      <c r="F51" s="5"/>
    </row>
    <row r="52" spans="5:6">
      <c r="E52" s="4" t="s">
        <v>472</v>
      </c>
      <c r="F52" s="5" t="s">
        <v>762</v>
      </c>
    </row>
    <row r="53" spans="5:6">
      <c r="E53" s="4" t="s">
        <v>473</v>
      </c>
      <c r="F53" s="5" t="s">
        <v>2073</v>
      </c>
    </row>
    <row r="55" spans="5:6" ht="17" thickBot="1">
      <c r="F55" s="3" t="s">
        <v>470</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width='8.9' height='8.9' viewBox='-121 -121 242 242'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2366</v>
      </c>
    </row>
    <row r="3" spans="2:6">
      <c r="F3">
        <f xml:space="preserve"> DecimalPlaces - INT(LOG(MIN(  MAX(BHD.RawX) - MIN(BHD.RawX),  MAX(BHD.RawY) - MIN(BHD.RawY)  )/2, 10) + 0.2)</f>
        <v>4</v>
      </c>
    </row>
    <row r="5" spans="2:6" ht="17" thickBot="1">
      <c r="C5" s="3" t="s">
        <v>2367</v>
      </c>
    </row>
    <row r="6" spans="2:6">
      <c r="C6" cm="1">
        <f t="array" ref="C6" xml:space="preserve"> SQRT(1417) * 45 / 88 / GoldenRatio</f>
        <v>11.896716885504146</v>
      </c>
    </row>
    <row r="8" spans="2:6" ht="17" thickBot="1">
      <c r="B8" s="3" t="s">
        <v>2368</v>
      </c>
      <c r="C8" s="3" t="s">
        <v>2369</v>
      </c>
      <c r="D8" s="3" t="s">
        <v>2370</v>
      </c>
      <c r="F8" s="3" t="s">
        <v>2371</v>
      </c>
    </row>
    <row r="9" spans="2:6">
      <c r="B9" s="34" t="s">
        <v>474</v>
      </c>
      <c r="C9" s="1">
        <v>61</v>
      </c>
      <c r="D9" s="1">
        <v>48</v>
      </c>
    </row>
    <row r="10" spans="2:6">
      <c r="B10" t="s">
        <v>474</v>
      </c>
      <c r="C10" s="1">
        <f xml:space="preserve"> - C9</f>
        <v>-61</v>
      </c>
      <c r="D10" s="1">
        <f xml:space="preserve"> D9</f>
        <v>48</v>
      </c>
    </row>
    <row r="11" spans="2:6">
      <c r="B11" t="s">
        <v>474</v>
      </c>
      <c r="C11" s="1">
        <f xml:space="preserve"> C10</f>
        <v>-61</v>
      </c>
      <c r="D11" s="1">
        <f xml:space="preserve"> - D10</f>
        <v>-48</v>
      </c>
    </row>
    <row r="12" spans="2:6">
      <c r="B12" t="s">
        <v>474</v>
      </c>
      <c r="C12" s="1">
        <f xml:space="preserve"> - C11</f>
        <v>61</v>
      </c>
      <c r="D12" s="1">
        <f xml:space="preserve"> D11</f>
        <v>-48</v>
      </c>
    </row>
    <row r="13" spans="2:6">
      <c r="B13" t="s">
        <v>474</v>
      </c>
      <c r="C13" s="1">
        <f xml:space="preserve"> C12</f>
        <v>61</v>
      </c>
      <c r="D13" s="1">
        <f xml:space="preserve"> - D12</f>
        <v>48</v>
      </c>
    </row>
    <row r="14" spans="2:6">
      <c r="C14" s="1"/>
      <c r="D14" s="1"/>
    </row>
    <row r="15" spans="2:6">
      <c r="B15" t="s">
        <v>1731</v>
      </c>
      <c r="C15" s="54">
        <v>-48</v>
      </c>
      <c r="D15" s="1">
        <v>35</v>
      </c>
      <c r="F15" t="str" cm="1">
        <f t="array" ref="F15:F22" xml:space="preserve"> svgpath($C15:$C22, $D15:$D22, BHD.DecimalPlaces)</f>
        <v>M-48 35</v>
      </c>
    </row>
    <row r="16" spans="2:6">
      <c r="B16" t="s">
        <v>1731</v>
      </c>
      <c r="C16">
        <v>-35</v>
      </c>
      <c r="D16" s="1">
        <f xml:space="preserve"> D15</f>
        <v>35</v>
      </c>
      <c r="F16" t="str">
        <v>h13</v>
      </c>
    </row>
    <row r="17" spans="2:6">
      <c r="B17" t="s">
        <v>1731</v>
      </c>
      <c r="C17">
        <v>0</v>
      </c>
      <c r="D17">
        <f xml:space="preserve"> D16 - 14</f>
        <v>21</v>
      </c>
      <c r="F17" t="str">
        <v>L0 21</v>
      </c>
    </row>
    <row r="18" spans="2:6">
      <c r="B18" t="s">
        <v>1731</v>
      </c>
      <c r="C18">
        <f xml:space="preserve"> C16</f>
        <v>-35</v>
      </c>
      <c r="D18">
        <f t="shared" ref="D18:D21" si="0" xml:space="preserve"> D17 - 14</f>
        <v>7</v>
      </c>
      <c r="F18" t="str">
        <v>L-35 7</v>
      </c>
    </row>
    <row r="19" spans="2:6">
      <c r="B19" t="s">
        <v>1731</v>
      </c>
      <c r="C19">
        <f t="shared" ref="C19:C21" si="1" xml:space="preserve"> C17</f>
        <v>0</v>
      </c>
      <c r="D19">
        <f t="shared" si="0"/>
        <v>-7</v>
      </c>
      <c r="F19" t="str">
        <v>L0 -7</v>
      </c>
    </row>
    <row r="20" spans="2:6">
      <c r="B20" t="s">
        <v>1731</v>
      </c>
      <c r="C20">
        <f t="shared" si="1"/>
        <v>-35</v>
      </c>
      <c r="D20">
        <f t="shared" si="0"/>
        <v>-21</v>
      </c>
      <c r="F20" t="str">
        <v>L-35 -21</v>
      </c>
    </row>
    <row r="21" spans="2:6">
      <c r="B21" t="s">
        <v>1731</v>
      </c>
      <c r="C21">
        <f t="shared" si="1"/>
        <v>0</v>
      </c>
      <c r="D21">
        <f t="shared" si="0"/>
        <v>-35</v>
      </c>
      <c r="F21" t="str">
        <v>L0 -35</v>
      </c>
    </row>
    <row r="22" spans="2:6">
      <c r="B22" t="s">
        <v>1731</v>
      </c>
      <c r="C22" s="54">
        <f xml:space="preserve"> C15</f>
        <v>-48</v>
      </c>
      <c r="D22">
        <f xml:space="preserve"> D21</f>
        <v>-35</v>
      </c>
      <c r="F22" t="str">
        <v>H-48Z</v>
      </c>
    </row>
    <row r="24" spans="2:6">
      <c r="B24" t="s">
        <v>1731</v>
      </c>
      <c r="C24" s="1">
        <f t="shared" ref="C24:D31" si="2" xml:space="preserve"> - C15</f>
        <v>48</v>
      </c>
      <c r="D24" s="1">
        <f t="shared" si="2"/>
        <v>-35</v>
      </c>
      <c r="F24" t="str" cm="1">
        <f t="array" ref="F24:F31" xml:space="preserve"> svgpath($C24:$C31, $D24:$D31, BHD.DecimalPlaces)</f>
        <v>M48 -35</v>
      </c>
    </row>
    <row r="25" spans="2:6">
      <c r="B25" t="s">
        <v>1731</v>
      </c>
      <c r="C25" s="1">
        <f t="shared" si="2"/>
        <v>35</v>
      </c>
      <c r="D25" s="1">
        <f t="shared" si="2"/>
        <v>-35</v>
      </c>
      <c r="F25" t="str">
        <v>H35</v>
      </c>
    </row>
    <row r="26" spans="2:6">
      <c r="B26" t="s">
        <v>1731</v>
      </c>
      <c r="C26" s="1">
        <f t="shared" si="2"/>
        <v>0</v>
      </c>
      <c r="D26" s="1">
        <f t="shared" si="2"/>
        <v>-21</v>
      </c>
      <c r="F26" t="str">
        <v>L0 -21</v>
      </c>
    </row>
    <row r="27" spans="2:6">
      <c r="B27" t="s">
        <v>1731</v>
      </c>
      <c r="C27" s="1">
        <f t="shared" si="2"/>
        <v>35</v>
      </c>
      <c r="D27" s="1">
        <f t="shared" si="2"/>
        <v>-7</v>
      </c>
      <c r="F27" t="str">
        <v>L35 -7</v>
      </c>
    </row>
    <row r="28" spans="2:6">
      <c r="B28" t="s">
        <v>1731</v>
      </c>
      <c r="C28" s="1">
        <f t="shared" si="2"/>
        <v>0</v>
      </c>
      <c r="D28" s="1">
        <f t="shared" si="2"/>
        <v>7</v>
      </c>
      <c r="F28" t="str">
        <v>L0 7</v>
      </c>
    </row>
    <row r="29" spans="2:6">
      <c r="B29" t="s">
        <v>1731</v>
      </c>
      <c r="C29" s="1">
        <f t="shared" si="2"/>
        <v>35</v>
      </c>
      <c r="D29" s="1">
        <f t="shared" si="2"/>
        <v>21</v>
      </c>
      <c r="F29" t="str">
        <v>L35 21</v>
      </c>
    </row>
    <row r="30" spans="2:6">
      <c r="B30" t="s">
        <v>1731</v>
      </c>
      <c r="C30" s="1">
        <f t="shared" si="2"/>
        <v>0</v>
      </c>
      <c r="D30" s="1">
        <f t="shared" si="2"/>
        <v>35</v>
      </c>
      <c r="F30" t="str">
        <v>L0 35</v>
      </c>
    </row>
    <row r="31" spans="2:6">
      <c r="B31" t="s">
        <v>1731</v>
      </c>
      <c r="C31" s="1">
        <f t="shared" si="2"/>
        <v>48</v>
      </c>
      <c r="D31" s="1">
        <f t="shared" si="2"/>
        <v>35</v>
      </c>
      <c r="F31" t="str">
        <v>H48Z</v>
      </c>
    </row>
    <row r="34" spans="4:6">
      <c r="E34" s="4" t="s">
        <v>2372</v>
      </c>
      <c r="F34" cm="1">
        <f t="array" ref="F34" xml:space="preserve"> ROUND( MIN(BHD.RawX), BHD.DecimalPlaces)</f>
        <v>-61</v>
      </c>
    </row>
    <row r="35" spans="4:6">
      <c r="E35" s="4" t="s">
        <v>2373</v>
      </c>
      <c r="F35" cm="1">
        <f t="array" ref="F35" xml:space="preserve"> ROUND(MAX(BHD.RawX), BHD.DecimalPlaces)</f>
        <v>61</v>
      </c>
    </row>
    <row r="36" spans="4:6">
      <c r="E36" s="4" t="s">
        <v>2374</v>
      </c>
      <c r="F36" cm="1">
        <f t="array" ref="F36" xml:space="preserve"> ROUND( MIN(BHD.RawY), BHD.DecimalPlaces)</f>
        <v>-48</v>
      </c>
    </row>
    <row r="37" spans="4:6">
      <c r="E37" s="4" t="s">
        <v>2375</v>
      </c>
      <c r="F37" cm="1">
        <f t="array" ref="F37" xml:space="preserve"> ROUND(MAX(BHD.RawY), BHD.DecimalPlaces)</f>
        <v>48</v>
      </c>
    </row>
    <row r="39" spans="4:6">
      <c r="E39" s="4" t="s">
        <v>2376</v>
      </c>
      <c r="F39" s="26">
        <v>0.8</v>
      </c>
    </row>
    <row r="40" spans="4:6">
      <c r="E40" s="4" t="s">
        <v>2377</v>
      </c>
      <c r="F40" cm="1">
        <f t="array" ref="F40" xml:space="preserve">  MAX(BHD.MaxY, - BHD.MinY)   /   MAX(BHD.MaxX, - BHD.MinX)</f>
        <v>0.78688524590163933</v>
      </c>
    </row>
    <row r="41" spans="4:6">
      <c r="E41" s="4" t="s">
        <v>2378</v>
      </c>
      <c r="F41" cm="1">
        <f t="array" ref="F41" xml:space="preserve"> VALUE(TEXT(SQRT(BHD.AreaMultiplier * BasicBBoxArea * BHD.Aspect), SVG.NumberFormatHeight))</f>
        <v>7.9</v>
      </c>
    </row>
    <row r="42" spans="4:6">
      <c r="E42" s="4" t="s">
        <v>2379</v>
      </c>
      <c r="F42" cm="1">
        <f t="array" ref="F42" xml:space="preserve"> BHD.Height / BHD.Aspect</f>
        <v>10.039583333333335</v>
      </c>
    </row>
    <row r="43" spans="4:6">
      <c r="E43" s="4"/>
      <c r="F43" s="5"/>
    </row>
    <row r="44" spans="4:6">
      <c r="E44" s="4" t="s">
        <v>2380</v>
      </c>
      <c r="F44" s="5" t="s">
        <v>2383</v>
      </c>
    </row>
    <row r="45" spans="4:6">
      <c r="E45" s="4" t="s">
        <v>2381</v>
      </c>
      <c r="F45" s="5" t="s">
        <v>2073</v>
      </c>
    </row>
    <row r="47" spans="4:6" ht="17" thickBot="1">
      <c r="F47" s="3" t="s">
        <v>2382</v>
      </c>
    </row>
    <row r="48" spans="4:6">
      <c r="D48" cm="1">
        <f t="array" ref="D48" xml:space="preserve"> SVG_length(BHD.svg)</f>
        <v>271</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width='10.03958' height='7.9' viewBox='-61 -48 122 96'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width='10.03958' height='7.9' viewBox='-61 -48 122 96'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1649</v>
      </c>
      <c r="D2" s="3" t="s">
        <v>1639</v>
      </c>
      <c r="F2" s="3" t="s">
        <v>1628</v>
      </c>
      <c r="H2" s="3" t="s">
        <v>1656</v>
      </c>
    </row>
    <row r="3" spans="2:18">
      <c r="B3">
        <v>3</v>
      </c>
      <c r="D3">
        <v>6</v>
      </c>
      <c r="F3">
        <f xml:space="preserve"> DecimalPlaces - INT(LOG(3 * KWD.Multiplier, 10) + 0.2)</f>
        <v>4</v>
      </c>
      <c r="H3">
        <f xml:space="preserve"> KWD.Multiplier * (Sqrt13 + 2) / 9</f>
        <v>1.8685170918213301</v>
      </c>
    </row>
    <row r="5" spans="2:18" ht="17" thickBot="1">
      <c r="B5" s="3" t="s">
        <v>1629</v>
      </c>
      <c r="C5" s="3" t="s">
        <v>1630</v>
      </c>
      <c r="D5" s="3" t="s">
        <v>1631</v>
      </c>
      <c r="F5" s="3" t="s">
        <v>1730</v>
      </c>
      <c r="H5" s="3" t="s">
        <v>1638</v>
      </c>
      <c r="M5" s="3" t="s">
        <v>1632</v>
      </c>
      <c r="N5" s="3" t="s">
        <v>1633</v>
      </c>
      <c r="O5" s="3" t="s">
        <v>1634</v>
      </c>
      <c r="P5" s="3" t="s">
        <v>1635</v>
      </c>
      <c r="Q5" s="3" t="s">
        <v>1636</v>
      </c>
      <c r="R5" s="3" t="s">
        <v>1637</v>
      </c>
    </row>
    <row r="6" spans="2:18">
      <c r="B6" t="s">
        <v>1555</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1557</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1562</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1556</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1640</v>
      </c>
      <c r="F34">
        <f xml:space="preserve"> ROUND( MIN(KWD.RawX), KWD.DecimalPlaces)</f>
        <v>-9</v>
      </c>
    </row>
    <row r="35" spans="5:6">
      <c r="E35" s="4" t="s">
        <v>1641</v>
      </c>
      <c r="F35">
        <f xml:space="preserve"> ROUND(MAX(KWD.RawX), KWD.DecimalPlaces)</f>
        <v>9</v>
      </c>
    </row>
    <row r="36" spans="5:6">
      <c r="E36" s="4" t="s">
        <v>1642</v>
      </c>
      <c r="F36">
        <f xml:space="preserve"> ROUND( MIN(KWD.RawY), KWD.DecimalPlaces)</f>
        <v>-9</v>
      </c>
    </row>
    <row r="37" spans="5:6">
      <c r="E37" s="4" t="s">
        <v>1643</v>
      </c>
      <c r="F37">
        <f xml:space="preserve"> ROUND(MAX(KWD.RawY), KWD.DecimalPlaces)</f>
        <v>9</v>
      </c>
    </row>
    <row r="39" spans="5:6">
      <c r="E39" s="4" t="s">
        <v>1644</v>
      </c>
      <c r="F39" s="26">
        <f xml:space="preserve"> FR.AreaMultiplier</f>
        <v>1.0625</v>
      </c>
    </row>
    <row r="40" spans="5:6">
      <c r="E40" s="4" t="s">
        <v>1645</v>
      </c>
      <c r="F40" cm="1">
        <f t="array" ref="F40" xml:space="preserve">  MAX(KWD.MaxY, - KWD.MinY)   /   MAX(KWD.MaxX, - KWD.MinX)</f>
        <v>1</v>
      </c>
    </row>
    <row r="41" spans="5:6">
      <c r="E41" s="4" t="s">
        <v>1646</v>
      </c>
      <c r="F41" cm="1">
        <f t="array" ref="F41" xml:space="preserve"> VALUE(TEXT(SQRT(KWD.AreaMultiplier* BasicBBoxArea * KWD.Aspect), SVG.NumberFormatHeight))</f>
        <v>10.3</v>
      </c>
    </row>
    <row r="42" spans="5:6">
      <c r="E42" s="4" t="s">
        <v>1647</v>
      </c>
      <c r="F42" cm="1">
        <f t="array" ref="F42" xml:space="preserve"> KWD.Height / KWD.Aspect</f>
        <v>10.3</v>
      </c>
    </row>
    <row r="44" spans="5:6">
      <c r="E44" s="4" t="s">
        <v>1650</v>
      </c>
      <c r="F44" t="s">
        <v>719</v>
      </c>
    </row>
    <row r="45" spans="5:6">
      <c r="E45" s="4" t="s">
        <v>1651</v>
      </c>
      <c r="F45" t="s">
        <v>745</v>
      </c>
    </row>
    <row r="46" spans="5:6">
      <c r="E46" s="4" t="s">
        <v>1652</v>
      </c>
      <c r="F46" t="s">
        <v>2073</v>
      </c>
    </row>
    <row r="47" spans="5:6">
      <c r="E47" s="4" t="s">
        <v>1653</v>
      </c>
      <c r="F47" t="s">
        <v>1655</v>
      </c>
    </row>
    <row r="49" spans="4:6" ht="17" thickBot="1">
      <c r="F49" s="3" t="s">
        <v>1648</v>
      </c>
    </row>
    <row r="50" spans="4:6">
      <c r="D50" cm="1">
        <f t="array" ref="D50" xml:space="preserve"> SVG_length(KWD.svg)</f>
        <v>349</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width='10.3' height='10.3' viewBox='-9 -9 18 18'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2015</v>
      </c>
      <c r="C2" s="3" t="s">
        <v>2016</v>
      </c>
    </row>
    <row r="3" spans="2:6">
      <c r="B3">
        <v>6</v>
      </c>
      <c r="C3">
        <v>16</v>
      </c>
    </row>
    <row r="5" spans="2:6" ht="17" thickBot="1">
      <c r="B5" s="3" t="s">
        <v>2013</v>
      </c>
      <c r="C5" s="3" t="s">
        <v>2014</v>
      </c>
      <c r="E5" s="3" t="s">
        <v>1992</v>
      </c>
      <c r="F5" s="35" t="s">
        <v>1993</v>
      </c>
    </row>
    <row r="6" spans="2:6">
      <c r="E6" t="s">
        <v>23</v>
      </c>
      <c r="F6" s="5" t="s">
        <v>2017</v>
      </c>
    </row>
    <row r="7" spans="2:6">
      <c r="E7" t="s">
        <v>23</v>
      </c>
      <c r="F7" s="5" t="s">
        <v>2005</v>
      </c>
    </row>
    <row r="8" spans="2:6">
      <c r="E8" t="s">
        <v>23</v>
      </c>
      <c r="F8" s="5" t="s">
        <v>2006</v>
      </c>
    </row>
    <row r="9" spans="2:6">
      <c r="F9" s="5"/>
    </row>
    <row r="10" spans="2:6">
      <c r="F10" s="5"/>
    </row>
    <row r="11" spans="2:6">
      <c r="E11" t="s">
        <v>23</v>
      </c>
      <c r="F11" s="5" t="s">
        <v>2007</v>
      </c>
    </row>
    <row r="12" spans="2:6">
      <c r="E12" t="s">
        <v>23</v>
      </c>
      <c r="F12" s="5" t="s">
        <v>2008</v>
      </c>
    </row>
    <row r="13" spans="2:6">
      <c r="E13" t="s">
        <v>23</v>
      </c>
      <c r="F13" s="5" t="s">
        <v>2009</v>
      </c>
    </row>
    <row r="14" spans="2:6">
      <c r="F14" s="5"/>
    </row>
    <row r="15" spans="2:6">
      <c r="F15" s="5"/>
    </row>
    <row r="16" spans="2:6">
      <c r="E16" t="s">
        <v>23</v>
      </c>
      <c r="F16" s="5" t="s">
        <v>557</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1994</v>
      </c>
      <c r="F30">
        <v>20</v>
      </c>
    </row>
    <row r="31" spans="2:6">
      <c r="E31" s="4" t="s">
        <v>1995</v>
      </c>
      <c r="F31">
        <v>30</v>
      </c>
    </row>
    <row r="32" spans="2:6">
      <c r="E32" s="4" t="s">
        <v>1996</v>
      </c>
      <c r="F32">
        <f xml:space="preserve"> - F30</f>
        <v>-20</v>
      </c>
    </row>
    <row r="33" spans="4:6">
      <c r="E33" s="4" t="s">
        <v>1997</v>
      </c>
      <c r="F33">
        <f xml:space="preserve"> - F31</f>
        <v>-30</v>
      </c>
    </row>
    <row r="35" spans="4:6">
      <c r="E35" s="4" t="s">
        <v>1998</v>
      </c>
      <c r="F35" s="5" t="s">
        <v>2010</v>
      </c>
    </row>
    <row r="36" spans="4:6">
      <c r="E36" s="4" t="s">
        <v>1999</v>
      </c>
      <c r="F36" s="5" t="s">
        <v>719</v>
      </c>
    </row>
    <row r="38" spans="4:6">
      <c r="E38" s="4" t="s">
        <v>2000</v>
      </c>
      <c r="F38">
        <f xml:space="preserve"> 17 / 16</f>
        <v>1.0625</v>
      </c>
    </row>
    <row r="39" spans="4:6">
      <c r="E39" s="4" t="s">
        <v>2001</v>
      </c>
      <c r="F39" cm="1">
        <f t="array" ref="F39" xml:space="preserve">  MAX(YER.MaxY, - YER.MinY)   /   MAX(YER.MaxX, - YER.MinX)</f>
        <v>1.5</v>
      </c>
    </row>
    <row r="40" spans="4:6">
      <c r="E40" s="4" t="s">
        <v>2002</v>
      </c>
      <c r="F40" cm="1">
        <f t="array" ref="F40" xml:space="preserve"> VALUE(TEXT(SQRT( YER.AreaMultiplier * BasicBBoxArea *  YER.Aspect), SVG.NumberFormatHeight))</f>
        <v>12.6</v>
      </c>
    </row>
    <row r="41" spans="4:6">
      <c r="E41" s="4" t="s">
        <v>2003</v>
      </c>
      <c r="F41" cm="1">
        <f t="array" ref="F41" xml:space="preserve">  YER.Height /  YER.Aspect</f>
        <v>8.4</v>
      </c>
    </row>
    <row r="44" spans="4:6" ht="17" thickBot="1">
      <c r="F44" s="3" t="s">
        <v>2004</v>
      </c>
    </row>
    <row r="45" spans="4:6">
      <c r="D45" cm="1">
        <f t="array" ref="D45" xml:space="preserve"> SVG_length(YER.svg)</f>
        <v>293</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width='8.4' height='12.6' viewBox='-20 -30 40 60'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1774</v>
      </c>
      <c r="F2" s="3" t="s">
        <v>1775</v>
      </c>
    </row>
    <row r="3" spans="2:6">
      <c r="B3">
        <v>5.77</v>
      </c>
      <c r="F3">
        <f xml:space="preserve"> DecimalPlaces - INT(LOG(EGP.Multiplier, 10) + 0.2)</f>
        <v>5</v>
      </c>
    </row>
    <row r="5" spans="2:6" ht="17" thickBot="1">
      <c r="B5" s="3" t="s">
        <v>1776</v>
      </c>
      <c r="C5" s="3" t="s">
        <v>1777</v>
      </c>
      <c r="D5" s="3" t="s">
        <v>1778</v>
      </c>
      <c r="F5" s="3" t="s">
        <v>1779</v>
      </c>
    </row>
    <row r="6" spans="2:6">
      <c r="B6" t="s">
        <v>1791</v>
      </c>
      <c r="C6">
        <f xml:space="preserve"> EGP.Multiplier</f>
        <v>5.77</v>
      </c>
      <c r="D6">
        <f xml:space="preserve"> EGP.Multiplier</f>
        <v>5.77</v>
      </c>
      <c r="F6" s="42" t="str">
        <f t="array" ref="F6:F9" xml:space="preserve">  svgpath($C6:$C9, $D6:$D9, EGP.DecimalPlaces)</f>
        <v>M5.77 5.77</v>
      </c>
    </row>
    <row r="7" spans="2:6">
      <c r="B7" t="s">
        <v>1791</v>
      </c>
      <c r="C7">
        <f xml:space="preserve"> - EGP.Multiplier</f>
        <v>-5.77</v>
      </c>
      <c r="D7">
        <f xml:space="preserve"> EGP.Multiplier</f>
        <v>5.77</v>
      </c>
      <c r="F7" t="str">
        <v>H-5.77</v>
      </c>
    </row>
    <row r="8" spans="2:6">
      <c r="B8" t="s">
        <v>1791</v>
      </c>
      <c r="C8">
        <f xml:space="preserve"> - EGP.Multiplier</f>
        <v>-5.77</v>
      </c>
      <c r="D8">
        <f xml:space="preserve"> - EGP.Multiplier</f>
        <v>-5.77</v>
      </c>
      <c r="F8" t="str">
        <v>V-5.77</v>
      </c>
    </row>
    <row r="9" spans="2:6">
      <c r="B9" t="s">
        <v>1791</v>
      </c>
      <c r="C9">
        <f xml:space="preserve"> EGP.Multiplier</f>
        <v>5.77</v>
      </c>
      <c r="D9">
        <f xml:space="preserve"> - EGP.Multiplier</f>
        <v>-5.77</v>
      </c>
      <c r="F9" t="str">
        <v>H5.77Z</v>
      </c>
    </row>
    <row r="11" spans="2:6">
      <c r="B11" t="s">
        <v>1792</v>
      </c>
      <c r="C11">
        <f xml:space="preserve"> EGP.Multiplier * Sqrt2 / 10</f>
        <v>0.81600122548927578</v>
      </c>
      <c r="D11">
        <v>0</v>
      </c>
      <c r="F11" s="42" t="str">
        <f t="array" ref="F11:F13" xml:space="preserve">  svgpath($C11:$C13, $D11:$D13, EGP.DecimalPlaces)</f>
        <v>M.816 0</v>
      </c>
    </row>
    <row r="12" spans="2:6">
      <c r="B12" t="s">
        <v>1792</v>
      </c>
      <c r="C12">
        <f xml:space="preserve"> EGP.Multiplier * 4 / 5</f>
        <v>4.6159999999999997</v>
      </c>
      <c r="D12">
        <f xml:space="preserve"> EGP.Multiplier * (4 / 5  -  Sqrt2 / 10)</f>
        <v>3.7999987745107244</v>
      </c>
      <c r="F12" t="str">
        <v>l3.8 3.8</v>
      </c>
    </row>
    <row r="13" spans="2:6">
      <c r="B13" t="s">
        <v>1792</v>
      </c>
      <c r="C13">
        <f xml:space="preserve"> EGP.Multiplier * 4 / 5</f>
        <v>4.6159999999999997</v>
      </c>
      <c r="D13">
        <f xml:space="preserve"> EGP.Multiplier * (Sqrt2 / 10  -  4 / 5)</f>
        <v>-3.7999987745107244</v>
      </c>
      <c r="F13" t="str">
        <v>V-3.8Z</v>
      </c>
    </row>
    <row r="15" spans="2:6">
      <c r="B15" t="s">
        <v>1792</v>
      </c>
      <c r="C15">
        <f xml:space="preserve"> D11</f>
        <v>0</v>
      </c>
      <c r="D15">
        <f xml:space="preserve"> C11</f>
        <v>0.81600122548927578</v>
      </c>
      <c r="F15" s="42" t="str">
        <f t="array" ref="F15:F17" xml:space="preserve">  svgpath($C15:$C17, $D15:$D17, EGP.DecimalPlaces)</f>
        <v>M0 .816</v>
      </c>
    </row>
    <row r="16" spans="2:6">
      <c r="B16" t="s">
        <v>1792</v>
      </c>
      <c r="C16">
        <f t="shared" ref="C16:C17" si="0" xml:space="preserve"> D12</f>
        <v>3.7999987745107244</v>
      </c>
      <c r="D16">
        <f t="shared" ref="D16:D17" si="1" xml:space="preserve"> C12</f>
        <v>4.6159999999999997</v>
      </c>
      <c r="F16" t="str">
        <v>l3.8 3.8</v>
      </c>
    </row>
    <row r="17" spans="2:6">
      <c r="B17" t="s">
        <v>1792</v>
      </c>
      <c r="C17">
        <f t="shared" si="0"/>
        <v>-3.7999987745107244</v>
      </c>
      <c r="D17">
        <f t="shared" si="1"/>
        <v>4.6159999999999997</v>
      </c>
      <c r="F17" t="str">
        <v>H-3.8Z</v>
      </c>
    </row>
    <row r="18" spans="2:6">
      <c r="F18" s="42"/>
    </row>
    <row r="19" spans="2:6">
      <c r="B19" t="s">
        <v>1792</v>
      </c>
      <c r="C19">
        <f xml:space="preserve"> - C11</f>
        <v>-0.81600122548927578</v>
      </c>
      <c r="D19">
        <f xml:space="preserve"> - D11</f>
        <v>0</v>
      </c>
      <c r="F19" s="42" t="str">
        <f t="array" ref="F19:F21" xml:space="preserve">  svgpath($C19:$C21, $D19:$D21, EGP.DecimalPlaces)</f>
        <v>M-.816 0</v>
      </c>
    </row>
    <row r="20" spans="2:6">
      <c r="B20" t="s">
        <v>1792</v>
      </c>
      <c r="C20">
        <f t="shared" ref="C20:D21" si="2" xml:space="preserve"> - C12</f>
        <v>-4.6159999999999997</v>
      </c>
      <c r="D20">
        <f t="shared" si="2"/>
        <v>-3.7999987745107244</v>
      </c>
      <c r="F20" t="str">
        <v>l-3.8 -3.8</v>
      </c>
    </row>
    <row r="21" spans="2:6">
      <c r="B21" t="s">
        <v>1792</v>
      </c>
      <c r="C21">
        <f t="shared" si="2"/>
        <v>-4.6159999999999997</v>
      </c>
      <c r="D21">
        <f t="shared" si="2"/>
        <v>3.7999987745107244</v>
      </c>
      <c r="F21" t="str">
        <v>V3.8Z</v>
      </c>
    </row>
    <row r="23" spans="2:6">
      <c r="B23" t="s">
        <v>1792</v>
      </c>
      <c r="C23">
        <f xml:space="preserve"> - C15</f>
        <v>0</v>
      </c>
      <c r="D23">
        <f xml:space="preserve"> - D15</f>
        <v>-0.81600122548927578</v>
      </c>
      <c r="F23" s="42" t="str">
        <f t="array" ref="F23:F25" xml:space="preserve">  svgpath($C23:$C25, $D23:$D25, EGP.DecimalPlaces)</f>
        <v>M0 -.816</v>
      </c>
    </row>
    <row r="24" spans="2:6">
      <c r="B24" t="s">
        <v>1792</v>
      </c>
      <c r="C24">
        <f t="shared" ref="C24:D24" si="3" xml:space="preserve"> - C16</f>
        <v>-3.7999987745107244</v>
      </c>
      <c r="D24">
        <f t="shared" si="3"/>
        <v>-4.6159999999999997</v>
      </c>
      <c r="F24" t="str">
        <v>l-3.8 -3.8</v>
      </c>
    </row>
    <row r="25" spans="2:6">
      <c r="B25" t="s">
        <v>1792</v>
      </c>
      <c r="C25">
        <f t="shared" ref="C25:D25" si="4" xml:space="preserve"> - C17</f>
        <v>3.7999987745107244</v>
      </c>
      <c r="D25">
        <f t="shared" si="4"/>
        <v>-4.6159999999999997</v>
      </c>
      <c r="F25" t="str">
        <v>H3.8Z</v>
      </c>
    </row>
    <row r="28" spans="2:6">
      <c r="E28" s="4" t="s">
        <v>1780</v>
      </c>
      <c r="F28" cm="1">
        <f t="array" ref="F28" xml:space="preserve"> ROUND( MIN(EGP.RawX), EGP.DecimalPlaces)</f>
        <v>-5.77</v>
      </c>
    </row>
    <row r="29" spans="2:6">
      <c r="E29" s="4" t="s">
        <v>1781</v>
      </c>
      <c r="F29" cm="1">
        <f t="array" ref="F29" xml:space="preserve"> ROUND(MAX(EGP.RawX), EGP.DecimalPlaces)</f>
        <v>5.77</v>
      </c>
    </row>
    <row r="30" spans="2:6">
      <c r="E30" s="4" t="s">
        <v>1782</v>
      </c>
      <c r="F30" cm="1">
        <f t="array" ref="F30" xml:space="preserve"> ROUND( MIN(EGP.RawY), EGP.DecimalPlaces)</f>
        <v>-5.77</v>
      </c>
    </row>
    <row r="31" spans="2:6">
      <c r="E31" s="4" t="s">
        <v>1783</v>
      </c>
      <c r="F31" cm="1">
        <f t="array" ref="F31" xml:space="preserve"> ROUND(MAX(EGP.RawY), EGP.DecimalPlaces)</f>
        <v>5.77</v>
      </c>
    </row>
    <row r="33" spans="4:6">
      <c r="E33" s="4" t="s">
        <v>1784</v>
      </c>
      <c r="F33" s="26">
        <f xml:space="preserve"> MODE(Squares.AreaMultiplier)</f>
        <v>0.85</v>
      </c>
    </row>
    <row r="34" spans="4:6">
      <c r="E34" s="4" t="s">
        <v>1785</v>
      </c>
      <c r="F34" cm="1">
        <f t="array" ref="F34" xml:space="preserve">  MAX(EGP.MaxY, - EGP.MinY)   /   MAX(EGP.MaxX, - EGP.MinX)</f>
        <v>1</v>
      </c>
    </row>
    <row r="35" spans="4:6">
      <c r="E35" s="4" t="s">
        <v>1786</v>
      </c>
      <c r="F35" cm="1">
        <f t="array" ref="F35" xml:space="preserve"> VALUE(TEXT(SQRT(EGP.AreaMultiplier* BasicBBoxArea * EGP.Aspect), SVG.NumberFormatHeight))</f>
        <v>9.1999999999999993</v>
      </c>
    </row>
    <row r="36" spans="4:6">
      <c r="E36" s="4" t="s">
        <v>1787</v>
      </c>
      <c r="F36" cm="1">
        <f t="array" ref="F36" xml:space="preserve"> EGP.Height / EGP.Aspect</f>
        <v>9.1999999999999993</v>
      </c>
    </row>
    <row r="38" spans="4:6">
      <c r="E38" s="4" t="s">
        <v>1788</v>
      </c>
      <c r="F38" t="s">
        <v>719</v>
      </c>
    </row>
    <row r="39" spans="4:6">
      <c r="E39" s="4" t="s">
        <v>1789</v>
      </c>
      <c r="F39" t="s">
        <v>2073</v>
      </c>
    </row>
    <row r="41" spans="4:6" ht="17" thickBot="1">
      <c r="F41" s="3" t="s">
        <v>1790</v>
      </c>
    </row>
    <row r="42" spans="4:6">
      <c r="D42" cm="1">
        <f t="array" ref="D42" xml:space="preserve"> SVG_length(EGP.svg)</f>
        <v>275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width='9.2' height='9.2' viewBox='-5.77 -5.77 11.54 11.54'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1446</v>
      </c>
      <c r="F2" s="3" t="s">
        <v>868</v>
      </c>
      <c r="G2" s="3" t="s">
        <v>869</v>
      </c>
      <c r="H2" s="3" t="s">
        <v>870</v>
      </c>
      <c r="I2" s="3" t="s">
        <v>871</v>
      </c>
      <c r="J2" s="3" t="s">
        <v>872</v>
      </c>
      <c r="K2" s="3" t="s">
        <v>873</v>
      </c>
      <c r="L2" s="3" t="s">
        <v>874</v>
      </c>
      <c r="M2" s="3" t="s">
        <v>875</v>
      </c>
      <c r="O2" s="36" t="s">
        <v>1447</v>
      </c>
    </row>
    <row r="3" spans="2:15">
      <c r="B3" s="4" t="s">
        <v>878</v>
      </c>
      <c r="C3">
        <f xml:space="preserve"> MAX(IQD.X0, IQD.X1, IQD.X2, IQD.X3)</f>
        <v>72</v>
      </c>
    </row>
    <row r="4" spans="2:15">
      <c r="B4" s="4" t="s">
        <v>880</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877</v>
      </c>
      <c r="C5">
        <f xml:space="preserve">  MIN(IQD.X0, IQD.X1, IQD.X2, IQD.X3)</f>
        <v>-72</v>
      </c>
    </row>
    <row r="6" spans="2:15">
      <c r="B6" s="4" t="s">
        <v>879</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881</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882</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883</v>
      </c>
      <c r="C11">
        <f xml:space="preserve">  MAX(IQD.MaxY, - IQD.MinY)   /   MAX(IQD.MaxX, - IQD.MinX)</f>
        <v>1</v>
      </c>
    </row>
    <row r="12" spans="2:15">
      <c r="B12" s="4" t="s">
        <v>884</v>
      </c>
      <c r="C12">
        <f xml:space="preserve"> VALUE(TEXT(SQRT(IQD.AreaMultiplier* BasicBBoxArea * IQD.Aspect), SVG.NumberFormatHeight))</f>
        <v>10.6</v>
      </c>
    </row>
    <row r="13" spans="2:15">
      <c r="B13" s="4" t="s">
        <v>885</v>
      </c>
      <c r="C13" cm="1">
        <f t="array" ref="C13" xml:space="preserve"> IQD.Height / IQD.Aspect</f>
        <v>10.6</v>
      </c>
    </row>
    <row r="15" spans="2:15">
      <c r="B15" s="4" t="s">
        <v>886</v>
      </c>
      <c r="C15" t="s">
        <v>890</v>
      </c>
    </row>
    <row r="16" spans="2:15">
      <c r="B16" s="4" t="s">
        <v>887</v>
      </c>
      <c r="C16" t="s">
        <v>889</v>
      </c>
    </row>
    <row r="20" spans="15:15">
      <c r="O20" s="21" cm="1">
        <f t="array" ref="O20" xml:space="preserve"> SVG_length(IQD.svg)</f>
        <v>609</v>
      </c>
    </row>
    <row r="22" spans="15:15" ht="17" thickBot="1">
      <c r="O22" s="36" t="s">
        <v>876</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width='10.6' height='10.6' viewBox='-72 -72 144 144'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2251</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491</v>
      </c>
      <c r="D2" s="2" t="s">
        <v>492</v>
      </c>
      <c r="F2" s="3" t="s">
        <v>493</v>
      </c>
    </row>
    <row r="3" spans="2:6">
      <c r="C3" t="b">
        <v>0</v>
      </c>
      <c r="D3" t="b">
        <f xml:space="preserve"> ILS.ReflectX</f>
        <v>0</v>
      </c>
      <c r="F3">
        <f xml:space="preserve"> DecimalPlaces - INT(LOG(MIN(  MAX(ILS.RawX) - MIN(ILS.RawX),  MAX(ILS.RawY) - MIN(ILS.RawY)  )/2, 10) + 0.2)</f>
        <v>4</v>
      </c>
    </row>
    <row r="5" spans="2:6" ht="17" thickBot="1">
      <c r="B5" s="3" t="s">
        <v>494</v>
      </c>
      <c r="C5" s="3" t="s">
        <v>495</v>
      </c>
      <c r="D5" s="3" t="s">
        <v>496</v>
      </c>
      <c r="F5" s="3" t="s">
        <v>1743</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503</v>
      </c>
      <c r="F51">
        <f xml:space="preserve"> ROUND( MIN(ILS.RawX), ILS.DecimalPlaces)</f>
        <v>-9</v>
      </c>
    </row>
    <row r="52" spans="5:6">
      <c r="E52" s="4" t="s">
        <v>504</v>
      </c>
      <c r="F52">
        <f xml:space="preserve"> ROUND(MAX(ILS.RawX), ILS.DecimalPlaces)</f>
        <v>9</v>
      </c>
    </row>
    <row r="53" spans="5:6">
      <c r="E53" s="4" t="s">
        <v>505</v>
      </c>
      <c r="F53">
        <f xml:space="preserve"> ROUND( MIN(ILS.RawY), ILS.DecimalPlaces)</f>
        <v>-10.392300000000001</v>
      </c>
    </row>
    <row r="54" spans="5:6">
      <c r="E54" s="4" t="s">
        <v>506</v>
      </c>
      <c r="F54">
        <f xml:space="preserve"> ROUND(MAX(ILS.RawY), ILS.DecimalPlaces)</f>
        <v>10.392300000000001</v>
      </c>
    </row>
    <row r="56" spans="5:6">
      <c r="E56" s="4" t="s">
        <v>497</v>
      </c>
      <c r="F56" s="26">
        <v>1.25</v>
      </c>
    </row>
    <row r="57" spans="5:6">
      <c r="E57" s="4" t="s">
        <v>498</v>
      </c>
      <c r="F57">
        <f xml:space="preserve">  MAX(ILS.MaxY, - ILS.MinY)   /   MAX(ILS.MaxX, - ILS.MinX)</f>
        <v>1.1547000000000001</v>
      </c>
    </row>
    <row r="58" spans="5:6">
      <c r="E58" s="4" t="s">
        <v>499</v>
      </c>
      <c r="F58">
        <f xml:space="preserve"> VALUE(TEXT(SQRT(ILS.AreaMultiplier * BasicBBoxArea * ILS.Aspect), SVG.NumberFormatHeight))</f>
        <v>12</v>
      </c>
    </row>
    <row r="59" spans="5:6">
      <c r="E59" s="4" t="s">
        <v>500</v>
      </c>
      <c r="F59" cm="1">
        <f t="array" ref="F59" xml:space="preserve"> ILS.Height / ILS.Aspect</f>
        <v>10.392309690828785</v>
      </c>
    </row>
    <row r="60" spans="5:6">
      <c r="E60" s="4"/>
      <c r="F60" s="5"/>
    </row>
    <row r="61" spans="5:6">
      <c r="E61" s="4" t="s">
        <v>501</v>
      </c>
      <c r="F61" s="5" t="s">
        <v>763</v>
      </c>
    </row>
    <row r="62" spans="5:6">
      <c r="E62" s="4" t="s">
        <v>502</v>
      </c>
      <c r="F62" s="5" t="s">
        <v>2073</v>
      </c>
    </row>
    <row r="64" spans="5:6" ht="17" thickBot="1">
      <c r="F64" s="3" t="s">
        <v>507</v>
      </c>
    </row>
    <row r="65" spans="4:6">
      <c r="D65" cm="1">
        <f t="array" ref="D65" xml:space="preserve"> SVG_length(ILS.svg)</f>
        <v>286</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width='10.39231' height='12' viewBox='-9 -10.3923 18 20.7846'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8"/>
  <sheetViews>
    <sheetView workbookViewId="0">
      <selection activeCell="B2" sqref="B2"/>
    </sheetView>
  </sheetViews>
  <sheetFormatPr baseColWidth="10" defaultRowHeight="16"/>
  <sheetData>
    <row r="2" spans="2:16" ht="17" thickBot="1">
      <c r="C2" s="2" t="s">
        <v>406</v>
      </c>
      <c r="D2" s="2" t="s">
        <v>407</v>
      </c>
      <c r="F2" s="3" t="s">
        <v>408</v>
      </c>
    </row>
    <row r="3" spans="2:16">
      <c r="C3" t="b">
        <v>0</v>
      </c>
      <c r="D3" t="b">
        <v>0</v>
      </c>
      <c r="F3">
        <f xml:space="preserve"> DecimalPlaces - INT(LOG(MIN(  MAX(ZAR.RawX) - MIN(ZAR.RawX),  MAX(ZAR.RawY) - MIN(ZAR.RawY)  )/2, 10) + 0.2)</f>
        <v>5</v>
      </c>
    </row>
    <row r="5" spans="2:16" ht="17" thickBot="1">
      <c r="B5" s="3" t="s">
        <v>409</v>
      </c>
      <c r="C5" s="3" t="s">
        <v>410</v>
      </c>
      <c r="D5" s="3" t="s">
        <v>411</v>
      </c>
      <c r="F5" s="3" t="s">
        <v>1729</v>
      </c>
      <c r="K5" s="3" t="s">
        <v>414</v>
      </c>
      <c r="L5" s="3" t="s">
        <v>415</v>
      </c>
      <c r="M5" s="3" t="s">
        <v>416</v>
      </c>
      <c r="N5" s="3" t="s">
        <v>417</v>
      </c>
      <c r="O5" s="3" t="s">
        <v>418</v>
      </c>
      <c r="P5" s="3" t="s">
        <v>419</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412</v>
      </c>
      <c r="I19">
        <v>0.12</v>
      </c>
    </row>
    <row r="20" spans="2:16">
      <c r="H20" s="4" t="s">
        <v>413</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426</v>
      </c>
      <c r="F36">
        <f xml:space="preserve"> ROUND( MIN(ZAR.RawX), ZAR.DecimalPlaces)</f>
        <v>-0.59150999999999998</v>
      </c>
    </row>
    <row r="37" spans="2:16">
      <c r="E37" s="4" t="s">
        <v>427</v>
      </c>
      <c r="F37">
        <f xml:space="preserve"> ROUND(MAX(ZAR.RawX), ZAR.DecimalPlaces)</f>
        <v>1</v>
      </c>
    </row>
    <row r="38" spans="2:16">
      <c r="E38" s="4" t="s">
        <v>428</v>
      </c>
      <c r="F38">
        <f xml:space="preserve"> ROUND( MIN(ZAR.RawY), ZAR.DecimalPlaces)</f>
        <v>-0.86602999999999997</v>
      </c>
    </row>
    <row r="39" spans="2:16">
      <c r="E39" s="4" t="s">
        <v>429</v>
      </c>
      <c r="F39">
        <f xml:space="preserve"> ROUND(MAX(ZAR.RawY), ZAR.DecimalPlaces)</f>
        <v>0.86602999999999997</v>
      </c>
    </row>
    <row r="41" spans="2:16">
      <c r="E41" s="4" t="s">
        <v>420</v>
      </c>
      <c r="F41" s="26">
        <v>2</v>
      </c>
    </row>
    <row r="42" spans="2:16">
      <c r="E42" s="4" t="s">
        <v>421</v>
      </c>
      <c r="F42">
        <f xml:space="preserve">  MAX(ZAR.MaxY, - ZAR.MinY)   /   MAX(ZAR.MaxX, - ZAR.MinX)</f>
        <v>0.86602999999999997</v>
      </c>
    </row>
    <row r="43" spans="2:16">
      <c r="E43" s="4" t="s">
        <v>422</v>
      </c>
      <c r="F43">
        <f xml:space="preserve"> VALUE(TEXT(SQRT(ZAR.AreaMultiplier* BasicBBoxArea * ZAR.Aspect), SVG.NumberFormatHeight))</f>
        <v>13.2</v>
      </c>
    </row>
    <row r="44" spans="2:16">
      <c r="E44" s="4" t="s">
        <v>423</v>
      </c>
      <c r="F44" cm="1">
        <f t="array" ref="F44" xml:space="preserve"> ZAR.Height / ZAR.Aspect</f>
        <v>15.241966213641559</v>
      </c>
    </row>
    <row r="46" spans="2:16">
      <c r="E46" s="4" t="s">
        <v>424</v>
      </c>
      <c r="F46" t="s">
        <v>759</v>
      </c>
    </row>
    <row r="47" spans="2:16">
      <c r="E47" s="4" t="s">
        <v>425</v>
      </c>
      <c r="F47" t="s">
        <v>781</v>
      </c>
    </row>
    <row r="49" spans="3:6">
      <c r="E49" s="4" t="s">
        <v>2758</v>
      </c>
      <c r="F49">
        <f xml:space="preserve"> ROUND(_xlfn.SINGLE(ZAR.Width) * (_xlfn.SINGLE(ZAR.MaxX) - _xlfn.SINGLE(ZAR.MinX)) / MAX(_xlfn.SINGLE(ZAR.MaxX),  -_xlfn.SINGLE(ZAR.MinX)) / 2, svgSizeDecimalPlaces)</f>
        <v>12.128869999999999</v>
      </c>
    </row>
    <row r="50" spans="3:6">
      <c r="E50" s="4" t="s">
        <v>2759</v>
      </c>
      <c r="F50">
        <f xml:space="preserve"> ROUND(_xlfn.SINGLE(ZAR.Height) * (_xlfn.SINGLE(ZAR.MaxY) - _xlfn.SINGLE(ZAR.MinY)) / MAX(_xlfn.SINGLE(ZAR.MaxY),  -_xlfn.SINGLE(ZAR.MinY)) / 2, svgSizeDecimalPlaces)</f>
        <v>13.2</v>
      </c>
    </row>
    <row r="51" spans="3:6">
      <c r="E51" s="4" t="s">
        <v>2730</v>
      </c>
      <c r="F51" s="5" t="str">
        <f xml:space="preserve"> _xlfn.LET(_xlpm.multLinear,IF(SizeConstant, SQRT(AreaMultiplier_Max / _xlfn.SINGLE(ZAR.AreaMultiplier)), 1),   _xlpm.dp,_xlfn.SINGLE(ZAR.DecimalPlaces),
_xlpm.minX,ROUND(_xlpm.multLinear * _xlfn.SINGLE(ZAR.MinX), _xlpm.dp),
_xlpm.minY,ROUND(_xlpm.multLinear * _xlfn.SINGLE(ZAR.MinY), _xlpm.dp),
_xlpm.maxX,ROUND(_xlpm.multLinear * _xlfn.SINGLE(ZAR.MaxX), _xlpm.dp),
_xlpm.maxY,ROUND(_xlpm.multLinear * _xlfn.SINGLE(ZAR.MaxY), _xlpm.dp),  _xlpm.minX &amp; " " &amp; _xlpm.minY &amp; " " &amp; ROUND(_xlpm.maxX - _xlpm.minX, _xlpm.dp) &amp; " " &amp; ROUND(_xlpm.maxY - _xlpm.minY, _xlpm.dp) )</f>
        <v>-0.59151 -0.86603 1.59151 1.73206</v>
      </c>
    </row>
    <row r="54" spans="3:6" ht="17" thickBot="1">
      <c r="F54" s="3" t="s">
        <v>430</v>
      </c>
    </row>
    <row r="55" spans="3:6">
      <c r="C55" cm="1">
        <f t="array" ref="C55" xml:space="preserve"> SVG_length(ZAR.svg)</f>
        <v>449</v>
      </c>
      <c r="F55"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width='15.24197' height='13.2' viewBox='-1 -0.86603 2 1.73206'  id='%thisID%' xmlns='http://www.w3.org/2000/svg'&gt;</v>
      </c>
    </row>
    <row r="56" spans="3:6">
      <c r="F56" s="5" t="str" cm="1">
        <f t="array" ref="F56"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7" spans="3:6">
      <c r="F57" s="5" t="str" cm="1">
        <f t="array" ref="F57"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8" spans="3:6">
      <c r="F58" s="5" t="s">
        <v>15</v>
      </c>
    </row>
  </sheetData>
  <pageMargins left="0.7" right="0.7" top="0.75" bottom="0.75" header="0.3" footer="0.3"/>
  <pageSetup paperSize="9" orientation="portrait" horizontalDpi="0" verticalDpi="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1974</v>
      </c>
    </row>
    <row r="3" spans="2:6">
      <c r="F3">
        <f xml:space="preserve"> DecimalPlaces - INT(LOG(MAX(SDG.RawX, SDG.RawY), 10) + 0.2)</f>
        <v>5</v>
      </c>
    </row>
    <row r="5" spans="2:6" ht="17" thickBot="1">
      <c r="B5" s="3" t="s">
        <v>1975</v>
      </c>
      <c r="C5" s="3" t="s">
        <v>1976</v>
      </c>
      <c r="D5" s="3" t="s">
        <v>1977</v>
      </c>
      <c r="F5" s="3" t="s">
        <v>1978</v>
      </c>
    </row>
    <row r="6" spans="2:6">
      <c r="B6" t="s">
        <v>1791</v>
      </c>
      <c r="C6">
        <v>5</v>
      </c>
      <c r="D6">
        <f xml:space="preserve"> $C$6</f>
        <v>5</v>
      </c>
      <c r="F6" s="42"/>
    </row>
    <row r="7" spans="2:6">
      <c r="B7" t="s">
        <v>1791</v>
      </c>
      <c r="C7">
        <f xml:space="preserve"> C6</f>
        <v>5</v>
      </c>
      <c r="D7">
        <f xml:space="preserve"> - D6</f>
        <v>-5</v>
      </c>
    </row>
    <row r="8" spans="2:6">
      <c r="B8" t="s">
        <v>1791</v>
      </c>
      <c r="C8">
        <f xml:space="preserve"> - C7</f>
        <v>-5</v>
      </c>
      <c r="D8">
        <f xml:space="preserve"> D7</f>
        <v>-5</v>
      </c>
    </row>
    <row r="9" spans="2:6">
      <c r="B9" t="s">
        <v>1791</v>
      </c>
      <c r="C9">
        <f xml:space="preserve"> C8</f>
        <v>-5</v>
      </c>
      <c r="D9">
        <f xml:space="preserve"> - D8</f>
        <v>5</v>
      </c>
    </row>
    <row r="11" spans="2:6">
      <c r="B11" t="s">
        <v>1990</v>
      </c>
      <c r="C11">
        <f xml:space="preserve"> $C$6 - 1</f>
        <v>4</v>
      </c>
      <c r="D11">
        <f xml:space="preserve"> $C$6 - 2</f>
        <v>3</v>
      </c>
      <c r="F11" s="42" t="str">
        <f t="array" ref="F11:F14" xml:space="preserve">  svgpath($C11:$C14, $D11:$D14, SDG.DecimalPlaces, 1, -1)</f>
        <v>M4 -3</v>
      </c>
    </row>
    <row r="12" spans="2:6">
      <c r="B12" t="s">
        <v>1990</v>
      </c>
      <c r="C12">
        <f xml:space="preserve"> $C$6 - 1</f>
        <v>4</v>
      </c>
      <c r="D12">
        <f xml:space="preserve"> D11 - 2</f>
        <v>1</v>
      </c>
      <c r="F12" t="str">
        <v>v2</v>
      </c>
    </row>
    <row r="13" spans="2:6">
      <c r="B13" t="s">
        <v>1990</v>
      </c>
      <c r="C13">
        <f xml:space="preserve"> - $D12</f>
        <v>-1</v>
      </c>
      <c r="D13">
        <f xml:space="preserve"> - $C11</f>
        <v>-4</v>
      </c>
      <c r="F13" t="str">
        <v>L-1 4</v>
      </c>
    </row>
    <row r="14" spans="2:6">
      <c r="B14" t="s">
        <v>1990</v>
      </c>
      <c r="C14">
        <f xml:space="preserve"> - D11</f>
        <v>-3</v>
      </c>
      <c r="D14">
        <f xml:space="preserve"> - C11</f>
        <v>-4</v>
      </c>
      <c r="F14" t="str">
        <v>H-3Z</v>
      </c>
    </row>
    <row r="15" spans="2:6">
      <c r="F15" s="42"/>
    </row>
    <row r="16" spans="2:6">
      <c r="B16" t="s">
        <v>1990</v>
      </c>
      <c r="C16">
        <f xml:space="preserve"> $C$6 - 1</f>
        <v>4</v>
      </c>
      <c r="D16">
        <f xml:space="preserve"> D12 - 2</f>
        <v>-1</v>
      </c>
      <c r="F16" s="42" t="str">
        <f t="array" ref="F16:F19" xml:space="preserve">  svgpath($C16:$C19, $D16:$D19, SDG.DecimalPlaces, 1, -1)</f>
        <v>M4 1</v>
      </c>
    </row>
    <row r="17" spans="2:6">
      <c r="B17" t="s">
        <v>1990</v>
      </c>
      <c r="C17">
        <f xml:space="preserve"> $C$6 - 1</f>
        <v>4</v>
      </c>
      <c r="D17">
        <f xml:space="preserve"> D16 - 2</f>
        <v>-3</v>
      </c>
      <c r="F17" t="str">
        <v>V3</v>
      </c>
    </row>
    <row r="18" spans="2:6">
      <c r="B18" t="s">
        <v>1990</v>
      </c>
      <c r="C18">
        <f xml:space="preserve"> - $D17</f>
        <v>3</v>
      </c>
      <c r="D18">
        <f xml:space="preserve"> - $C16</f>
        <v>-4</v>
      </c>
      <c r="F18" t="str">
        <v>L3 4</v>
      </c>
    </row>
    <row r="19" spans="2:6">
      <c r="B19" t="s">
        <v>1990</v>
      </c>
      <c r="C19">
        <f xml:space="preserve"> - D16</f>
        <v>1</v>
      </c>
      <c r="D19">
        <f xml:space="preserve"> - C16</f>
        <v>-4</v>
      </c>
      <c r="F19" t="str">
        <v>H1Z</v>
      </c>
    </row>
    <row r="21" spans="2:6">
      <c r="B21" t="s">
        <v>1990</v>
      </c>
      <c r="C21">
        <f t="shared" ref="C21:D24" si="0" xml:space="preserve"> - C11</f>
        <v>-4</v>
      </c>
      <c r="D21">
        <f t="shared" si="0"/>
        <v>-3</v>
      </c>
      <c r="F21" s="42" t="str">
        <f t="array" ref="F21:F24" xml:space="preserve">  svgpath($C21:$C24, $D21:$D24, SDG.DecimalPlaces, 1, -1)</f>
        <v>M-4 3</v>
      </c>
    </row>
    <row r="22" spans="2:6">
      <c r="B22" t="s">
        <v>1990</v>
      </c>
      <c r="C22">
        <f t="shared" si="0"/>
        <v>-4</v>
      </c>
      <c r="D22">
        <f t="shared" si="0"/>
        <v>-1</v>
      </c>
      <c r="F22" t="str">
        <v>V1</v>
      </c>
    </row>
    <row r="23" spans="2:6">
      <c r="B23" t="s">
        <v>1990</v>
      </c>
      <c r="C23">
        <f t="shared" si="0"/>
        <v>1</v>
      </c>
      <c r="D23">
        <f t="shared" si="0"/>
        <v>4</v>
      </c>
      <c r="F23" t="str">
        <v>L1 -4</v>
      </c>
    </row>
    <row r="24" spans="2:6">
      <c r="B24" t="s">
        <v>1990</v>
      </c>
      <c r="C24">
        <f t="shared" si="0"/>
        <v>3</v>
      </c>
      <c r="D24">
        <f t="shared" si="0"/>
        <v>4</v>
      </c>
      <c r="F24" t="str">
        <v>H3Z</v>
      </c>
    </row>
    <row r="26" spans="2:6">
      <c r="B26" t="s">
        <v>1990</v>
      </c>
      <c r="C26">
        <f t="shared" ref="C26:D29" si="1" xml:space="preserve"> - C16</f>
        <v>-4</v>
      </c>
      <c r="D26">
        <f t="shared" si="1"/>
        <v>1</v>
      </c>
      <c r="F26" s="42" t="str">
        <f t="array" ref="F26:F29" xml:space="preserve">  svgpath($C26:$C29, $D26:$D29, SDG.DecimalPlaces, 1, -1)</f>
        <v>M-4 -1</v>
      </c>
    </row>
    <row r="27" spans="2:6">
      <c r="B27" t="s">
        <v>1990</v>
      </c>
      <c r="C27">
        <f t="shared" si="1"/>
        <v>-4</v>
      </c>
      <c r="D27">
        <f t="shared" si="1"/>
        <v>3</v>
      </c>
      <c r="F27" t="str">
        <v>V-3</v>
      </c>
    </row>
    <row r="28" spans="2:6">
      <c r="B28" t="s">
        <v>1990</v>
      </c>
      <c r="C28">
        <f t="shared" si="1"/>
        <v>-3</v>
      </c>
      <c r="D28">
        <f t="shared" si="1"/>
        <v>4</v>
      </c>
      <c r="F28" t="str">
        <v>l1 -1</v>
      </c>
    </row>
    <row r="29" spans="2:6">
      <c r="B29" t="s">
        <v>1990</v>
      </c>
      <c r="C29">
        <f t="shared" si="1"/>
        <v>-1</v>
      </c>
      <c r="D29">
        <f t="shared" si="1"/>
        <v>4</v>
      </c>
      <c r="F29" t="str">
        <v>h2Z</v>
      </c>
    </row>
    <row r="32" spans="2:6">
      <c r="E32" s="4" t="s">
        <v>1979</v>
      </c>
      <c r="F32" cm="1">
        <f t="array" ref="F32" xml:space="preserve"> ROUND( MIN(SDG.RawX), SDG.DecimalPlaces)</f>
        <v>-5</v>
      </c>
    </row>
    <row r="33" spans="4:6">
      <c r="E33" s="4" t="s">
        <v>1980</v>
      </c>
      <c r="F33" cm="1">
        <f t="array" ref="F33" xml:space="preserve"> ROUND(MAX(SDG.RawX), SDG.DecimalPlaces)</f>
        <v>5</v>
      </c>
    </row>
    <row r="34" spans="4:6">
      <c r="E34" s="4" t="s">
        <v>1981</v>
      </c>
      <c r="F34" cm="1">
        <f t="array" ref="F34" xml:space="preserve"> ROUND( MIN(SDG.RawY), SDG.DecimalPlaces)</f>
        <v>-5</v>
      </c>
    </row>
    <row r="35" spans="4:6">
      <c r="E35" s="4" t="s">
        <v>1982</v>
      </c>
      <c r="F35" cm="1">
        <f t="array" ref="F35" xml:space="preserve"> ROUND(MAX(SDG.RawY), SDG.DecimalPlaces)</f>
        <v>5</v>
      </c>
    </row>
    <row r="37" spans="4:6">
      <c r="E37" s="4" t="s">
        <v>1983</v>
      </c>
      <c r="F37" s="26">
        <f xml:space="preserve"> MODE(Squares.AreaMultiplier)</f>
        <v>0.85</v>
      </c>
    </row>
    <row r="38" spans="4:6">
      <c r="E38" s="4" t="s">
        <v>1984</v>
      </c>
      <c r="F38" cm="1">
        <f t="array" ref="F38" xml:space="preserve">  MAX(SDG.MaxY, - SDG.MinY)   /   MAX(SDG.MaxX, - SDG.MinX)</f>
        <v>1</v>
      </c>
    </row>
    <row r="39" spans="4:6">
      <c r="E39" s="4" t="s">
        <v>1985</v>
      </c>
      <c r="F39" cm="1">
        <f t="array" ref="F39" xml:space="preserve"> VALUE(TEXT(SQRT(SDG.AreaMultiplier* BasicBBoxArea * SDG.Aspect), SVG.NumberFormatHeight))</f>
        <v>9.1999999999999993</v>
      </c>
    </row>
    <row r="40" spans="4:6">
      <c r="E40" s="4" t="s">
        <v>1986</v>
      </c>
      <c r="F40" cm="1">
        <f t="array" ref="F40" xml:space="preserve"> SDG.Height / SDG.Aspect</f>
        <v>9.1999999999999993</v>
      </c>
    </row>
    <row r="42" spans="4:6">
      <c r="E42" s="4" t="s">
        <v>1987</v>
      </c>
      <c r="F42" t="s">
        <v>719</v>
      </c>
    </row>
    <row r="43" spans="4:6">
      <c r="E43" s="4" t="s">
        <v>1988</v>
      </c>
      <c r="F43" t="s">
        <v>2073</v>
      </c>
    </row>
    <row r="45" spans="4:6" ht="17" thickBot="1">
      <c r="F45" s="3" t="s">
        <v>1989</v>
      </c>
    </row>
    <row r="46" spans="4:6">
      <c r="D46" cm="1">
        <f t="array" ref="D46" xml:space="preserve"> SVG_length(SDG.svg)</f>
        <v>221</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width='9.2' height='9.2' viewBox='-5 -5 10 10'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1674</v>
      </c>
      <c r="F2" s="3" t="s">
        <v>509</v>
      </c>
    </row>
    <row r="3" spans="2:6">
      <c r="D3">
        <v>4</v>
      </c>
      <c r="F3">
        <f xml:space="preserve"> DecimalPlaces - INT(LOG(MXN.Multiplier, 10) + 0.2)</f>
        <v>5</v>
      </c>
    </row>
    <row r="5" spans="2:6" ht="17" thickBot="1">
      <c r="B5" s="3" t="s">
        <v>510</v>
      </c>
      <c r="C5" s="3" t="s">
        <v>511</v>
      </c>
      <c r="D5" s="3" t="s">
        <v>512</v>
      </c>
      <c r="F5" s="3" t="s">
        <v>1744</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519</v>
      </c>
      <c r="F24">
        <f xml:space="preserve"> ROUND( MIN(MXN.RawX), MXN.DecimalPlaces)</f>
        <v>-1</v>
      </c>
    </row>
    <row r="25" spans="2:7">
      <c r="E25" s="4" t="s">
        <v>520</v>
      </c>
      <c r="F25">
        <f xml:space="preserve"> ROUND(MAX(MXN.RawX), MXN.DecimalPlaces)</f>
        <v>1</v>
      </c>
    </row>
    <row r="26" spans="2:7">
      <c r="E26" s="4" t="s">
        <v>521</v>
      </c>
      <c r="F26">
        <f xml:space="preserve"> ROUND( MIN(MXN.RawY), MXN.DecimalPlaces)</f>
        <v>-1</v>
      </c>
    </row>
    <row r="27" spans="2:7">
      <c r="E27" s="4" t="s">
        <v>522</v>
      </c>
      <c r="F27">
        <f xml:space="preserve"> ROUND(MAX(MXN.RawY), MXN.DecimalPlaces)</f>
        <v>1</v>
      </c>
    </row>
    <row r="29" spans="2:7">
      <c r="E29" s="4" t="s">
        <v>513</v>
      </c>
      <c r="F29" s="26">
        <v>1.375</v>
      </c>
    </row>
    <row r="30" spans="2:7">
      <c r="E30" s="4" t="s">
        <v>514</v>
      </c>
      <c r="F30">
        <f xml:space="preserve">  MAX(MXN.MaxY, - MXN.MinY)   /   MAX(MXN.MaxX, - MXN.MinX)</f>
        <v>1</v>
      </c>
    </row>
    <row r="31" spans="2:7">
      <c r="E31" s="4" t="s">
        <v>515</v>
      </c>
      <c r="F31">
        <f xml:space="preserve"> VALUE(TEXT(SQRT(MXN.AreaMultiplier * BasicBBoxArea * MXN.Aspect), SVG.NumberFormatHeight))</f>
        <v>11.7</v>
      </c>
      <c r="G31" s="5"/>
    </row>
    <row r="32" spans="2:7">
      <c r="E32" s="4" t="s">
        <v>516</v>
      </c>
      <c r="F32" cm="1">
        <f t="array" ref="F32" xml:space="preserve"> MXN.Height / MXN.Aspect</f>
        <v>11.7</v>
      </c>
    </row>
    <row r="33" spans="3:6">
      <c r="E33" s="4"/>
      <c r="F33" s="5"/>
    </row>
    <row r="34" spans="3:6">
      <c r="E34" s="4" t="s">
        <v>517</v>
      </c>
      <c r="F34" s="5" t="s">
        <v>766</v>
      </c>
    </row>
    <row r="35" spans="3:6">
      <c r="E35" s="4" t="s">
        <v>525</v>
      </c>
      <c r="F35" s="5" t="s">
        <v>2073</v>
      </c>
    </row>
    <row r="36" spans="3:6">
      <c r="E36" s="4" t="s">
        <v>518</v>
      </c>
      <c r="F36" s="5" t="s">
        <v>721</v>
      </c>
    </row>
    <row r="38" spans="3:6" ht="17" thickBot="1">
      <c r="F38" s="3" t="s">
        <v>523</v>
      </c>
    </row>
    <row r="39" spans="3:6">
      <c r="C39" cm="1">
        <f t="array" ref="C39" xml:space="preserve"> SVG_length(MXN.svg)</f>
        <v>438</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width='11.7' height='11.7' viewBox='-1 -1 2 2'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527</v>
      </c>
      <c r="C2" s="3" t="s">
        <v>528</v>
      </c>
      <c r="D2" s="3" t="s">
        <v>529</v>
      </c>
      <c r="F2" s="3" t="s">
        <v>530</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1054</v>
      </c>
      <c r="C32" s="1">
        <v>13</v>
      </c>
      <c r="D32" s="1">
        <v>13</v>
      </c>
    </row>
    <row r="33" spans="2:7">
      <c r="B33" t="s">
        <v>1054</v>
      </c>
      <c r="C33" s="1">
        <v>-13</v>
      </c>
      <c r="D33" s="1">
        <v>13</v>
      </c>
    </row>
    <row r="34" spans="2:7">
      <c r="B34" t="s">
        <v>1054</v>
      </c>
      <c r="C34" s="1">
        <v>-13</v>
      </c>
      <c r="D34" s="1">
        <v>-13</v>
      </c>
    </row>
    <row r="35" spans="2:7">
      <c r="B35" t="s">
        <v>1054</v>
      </c>
      <c r="C35" s="1">
        <v>13</v>
      </c>
      <c r="D35" s="1">
        <v>-13</v>
      </c>
    </row>
    <row r="38" spans="2:7">
      <c r="E38" s="4" t="s">
        <v>537</v>
      </c>
      <c r="F38">
        <f xml:space="preserve"> MIN(UYU.RawX)</f>
        <v>-34</v>
      </c>
    </row>
    <row r="39" spans="2:7">
      <c r="E39" s="4" t="s">
        <v>538</v>
      </c>
      <c r="F39">
        <f xml:space="preserve"> MAX(UYU.RawX)</f>
        <v>34</v>
      </c>
    </row>
    <row r="40" spans="2:7">
      <c r="E40" s="4" t="s">
        <v>539</v>
      </c>
      <c r="F40">
        <f xml:space="preserve"> MIN(UYU.RawY)</f>
        <v>-34</v>
      </c>
    </row>
    <row r="41" spans="2:7">
      <c r="E41" s="4" t="s">
        <v>540</v>
      </c>
      <c r="F41">
        <f xml:space="preserve"> MAX(UYU.RawY)</f>
        <v>34</v>
      </c>
    </row>
    <row r="43" spans="2:7">
      <c r="E43" s="4" t="s">
        <v>531</v>
      </c>
      <c r="F43" s="26">
        <v>1</v>
      </c>
    </row>
    <row r="44" spans="2:7">
      <c r="E44" s="4" t="s">
        <v>532</v>
      </c>
      <c r="F44">
        <f xml:space="preserve">  MAX(UYU.MaxY, - UYU.MinY)   /   MAX(UYU.MaxX, - UYU.MinX)</f>
        <v>1</v>
      </c>
      <c r="G44" s="5"/>
    </row>
    <row r="45" spans="2:7">
      <c r="E45" s="4" t="s">
        <v>533</v>
      </c>
      <c r="F45">
        <f xml:space="preserve"> VALUE(TEXT(SQRT(UYU.AreaMultiplier * BasicBBoxArea * UYU.Aspect), SVG.NumberFormatHeight))</f>
        <v>10</v>
      </c>
    </row>
    <row r="46" spans="2:7">
      <c r="E46" s="4" t="s">
        <v>534</v>
      </c>
      <c r="F46" cm="1">
        <f t="array" ref="F46" xml:space="preserve"> UYU.Height / UYU.Aspect</f>
        <v>10</v>
      </c>
    </row>
    <row r="47" spans="2:7">
      <c r="E47" s="4"/>
      <c r="F47" s="5"/>
    </row>
    <row r="48" spans="2:7">
      <c r="E48" s="4" t="s">
        <v>535</v>
      </c>
      <c r="F48" s="5" t="s">
        <v>1053</v>
      </c>
    </row>
    <row r="49" spans="3:6">
      <c r="E49" s="4" t="s">
        <v>536</v>
      </c>
      <c r="F49" s="5" t="s">
        <v>2073</v>
      </c>
    </row>
    <row r="51" spans="3:6" ht="17" thickBot="1">
      <c r="F51" s="3" t="s">
        <v>541</v>
      </c>
    </row>
    <row r="52" spans="3:6">
      <c r="C52" cm="1">
        <f t="array" ref="C52" xml:space="preserve"> SVG_length(UYU.svg)</f>
        <v>267</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width='10' height='10' viewBox='-34 -34 68 68'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1007</v>
      </c>
      <c r="C2" s="3" t="s">
        <v>543</v>
      </c>
      <c r="D2" s="3" t="s">
        <v>544</v>
      </c>
      <c r="F2" s="3" t="s">
        <v>545</v>
      </c>
    </row>
    <row r="3" spans="2:6">
      <c r="B3" t="s">
        <v>1009</v>
      </c>
      <c r="C3">
        <v>4</v>
      </c>
      <c r="D3">
        <v>0</v>
      </c>
      <c r="F3" t="str">
        <f t="array" ref="F3:F22" xml:space="preserve"> svgpath($C3:$C22, $D3:$D22, 5)</f>
        <v>M4 0</v>
      </c>
    </row>
    <row r="4" spans="2:6">
      <c r="B4" t="s">
        <v>1009</v>
      </c>
      <c r="C4">
        <v>5</v>
      </c>
      <c r="D4">
        <v>1</v>
      </c>
      <c r="F4" t="str">
        <v>L5 1</v>
      </c>
    </row>
    <row r="5" spans="2:6">
      <c r="B5" t="s">
        <v>1009</v>
      </c>
      <c r="C5">
        <v>5</v>
      </c>
      <c r="D5">
        <v>3</v>
      </c>
      <c r="F5" t="str">
        <v>V3</v>
      </c>
    </row>
    <row r="6" spans="2:6">
      <c r="B6" t="s">
        <v>1009</v>
      </c>
      <c r="C6">
        <v>3</v>
      </c>
      <c r="D6">
        <v>5</v>
      </c>
      <c r="F6" t="str">
        <v>L3 5</v>
      </c>
    </row>
    <row r="7" spans="2:6">
      <c r="B7" t="s">
        <v>1009</v>
      </c>
      <c r="C7">
        <v>1</v>
      </c>
      <c r="D7">
        <v>5</v>
      </c>
      <c r="F7" t="str">
        <v>H1</v>
      </c>
    </row>
    <row r="8" spans="2:6">
      <c r="B8" t="s">
        <v>1009</v>
      </c>
      <c r="C8">
        <v>0</v>
      </c>
      <c r="D8">
        <v>4</v>
      </c>
      <c r="F8" t="str">
        <v>L0 4</v>
      </c>
    </row>
    <row r="9" spans="2:6">
      <c r="B9" t="s">
        <v>1009</v>
      </c>
      <c r="C9">
        <v>-1</v>
      </c>
      <c r="D9">
        <v>5</v>
      </c>
      <c r="F9" t="str">
        <v>L-1 5</v>
      </c>
    </row>
    <row r="10" spans="2:6">
      <c r="B10" t="s">
        <v>1009</v>
      </c>
      <c r="C10">
        <v>-3</v>
      </c>
      <c r="D10">
        <v>5</v>
      </c>
      <c r="F10" t="str">
        <v>H-3</v>
      </c>
    </row>
    <row r="11" spans="2:6">
      <c r="B11" t="s">
        <v>1009</v>
      </c>
      <c r="C11">
        <v>-5</v>
      </c>
      <c r="D11">
        <v>3</v>
      </c>
      <c r="F11" t="str">
        <v>L-5 3</v>
      </c>
    </row>
    <row r="12" spans="2:6">
      <c r="B12" t="s">
        <v>1009</v>
      </c>
      <c r="C12">
        <v>-5</v>
      </c>
      <c r="D12">
        <v>1</v>
      </c>
      <c r="F12" t="str">
        <v>V1</v>
      </c>
    </row>
    <row r="13" spans="2:6">
      <c r="B13" t="s">
        <v>1009</v>
      </c>
      <c r="C13">
        <f xml:space="preserve"> - C3</f>
        <v>-4</v>
      </c>
      <c r="D13">
        <f xml:space="preserve"> - D3</f>
        <v>0</v>
      </c>
      <c r="F13" t="str">
        <v>L-4 0</v>
      </c>
    </row>
    <row r="14" spans="2:6">
      <c r="B14" t="s">
        <v>1009</v>
      </c>
      <c r="C14">
        <f t="shared" ref="C14:D22" si="0" xml:space="preserve"> - C4</f>
        <v>-5</v>
      </c>
      <c r="D14">
        <f t="shared" si="0"/>
        <v>-1</v>
      </c>
      <c r="F14" t="str">
        <v>L-5 -1</v>
      </c>
    </row>
    <row r="15" spans="2:6">
      <c r="B15" t="s">
        <v>1009</v>
      </c>
      <c r="C15">
        <f t="shared" si="0"/>
        <v>-5</v>
      </c>
      <c r="D15">
        <f t="shared" si="0"/>
        <v>-3</v>
      </c>
      <c r="F15" t="str">
        <v>V-3</v>
      </c>
    </row>
    <row r="16" spans="2:6">
      <c r="B16" t="s">
        <v>1009</v>
      </c>
      <c r="C16">
        <f t="shared" si="0"/>
        <v>-3</v>
      </c>
      <c r="D16">
        <f t="shared" si="0"/>
        <v>-5</v>
      </c>
      <c r="F16" t="str">
        <v>l2 -2</v>
      </c>
    </row>
    <row r="17" spans="2:6">
      <c r="B17" t="s">
        <v>1009</v>
      </c>
      <c r="C17">
        <f t="shared" si="0"/>
        <v>-1</v>
      </c>
      <c r="D17">
        <f t="shared" si="0"/>
        <v>-5</v>
      </c>
      <c r="F17" t="str">
        <v>h2</v>
      </c>
    </row>
    <row r="18" spans="2:6">
      <c r="B18" t="s">
        <v>1009</v>
      </c>
      <c r="C18">
        <f t="shared" si="0"/>
        <v>0</v>
      </c>
      <c r="D18">
        <f t="shared" si="0"/>
        <v>-4</v>
      </c>
      <c r="F18" t="str">
        <v>l1 1</v>
      </c>
    </row>
    <row r="19" spans="2:6">
      <c r="B19" t="s">
        <v>1009</v>
      </c>
      <c r="C19">
        <f t="shared" si="0"/>
        <v>1</v>
      </c>
      <c r="D19">
        <f t="shared" si="0"/>
        <v>-5</v>
      </c>
      <c r="F19" t="str">
        <v>L1 -5</v>
      </c>
    </row>
    <row r="20" spans="2:6">
      <c r="B20" t="s">
        <v>1009</v>
      </c>
      <c r="C20">
        <f t="shared" si="0"/>
        <v>3</v>
      </c>
      <c r="D20">
        <f t="shared" si="0"/>
        <v>-5</v>
      </c>
      <c r="F20" t="str">
        <v>H3</v>
      </c>
    </row>
    <row r="21" spans="2:6">
      <c r="B21" t="s">
        <v>1009</v>
      </c>
      <c r="C21">
        <f t="shared" si="0"/>
        <v>5</v>
      </c>
      <c r="D21">
        <f t="shared" si="0"/>
        <v>-3</v>
      </c>
      <c r="F21" t="str">
        <v>l2 2</v>
      </c>
    </row>
    <row r="22" spans="2:6">
      <c r="B22" t="s">
        <v>1009</v>
      </c>
      <c r="C22">
        <f t="shared" si="0"/>
        <v>5</v>
      </c>
      <c r="D22">
        <f t="shared" si="0"/>
        <v>-1</v>
      </c>
      <c r="F22" t="str">
        <v>v2Z</v>
      </c>
    </row>
    <row r="24" spans="2:6">
      <c r="B24" t="s">
        <v>1008</v>
      </c>
      <c r="C24" s="1">
        <v>5</v>
      </c>
      <c r="D24" s="1">
        <v>5</v>
      </c>
      <c r="F24" t="str">
        <f t="array" ref="F24:F35" xml:space="preserve"> svgpath($C24:$C35, $D24:$D35, 5)</f>
        <v>M5 5</v>
      </c>
    </row>
    <row r="25" spans="2:6">
      <c r="B25" t="s">
        <v>1008</v>
      </c>
      <c r="C25" s="1">
        <v>5</v>
      </c>
      <c r="D25" s="1">
        <v>3</v>
      </c>
      <c r="F25" t="str">
        <v>V3</v>
      </c>
    </row>
    <row r="26" spans="2:6">
      <c r="B26" t="s">
        <v>1008</v>
      </c>
      <c r="C26" s="1">
        <v>-5</v>
      </c>
      <c r="D26" s="1">
        <v>3</v>
      </c>
      <c r="F26" t="str">
        <v>H-5</v>
      </c>
    </row>
    <row r="27" spans="2:6">
      <c r="B27" t="s">
        <v>1008</v>
      </c>
      <c r="C27" s="1">
        <v>-5</v>
      </c>
      <c r="D27" s="1">
        <v>5</v>
      </c>
      <c r="F27" t="str">
        <v>V5</v>
      </c>
    </row>
    <row r="28" spans="2:6">
      <c r="B28" t="s">
        <v>1008</v>
      </c>
      <c r="C28" s="1">
        <v>-3</v>
      </c>
      <c r="D28" s="1">
        <v>5</v>
      </c>
      <c r="F28" t="str">
        <v>h2</v>
      </c>
    </row>
    <row r="29" spans="2:6">
      <c r="B29" t="s">
        <v>1008</v>
      </c>
      <c r="C29" s="1">
        <v>-3</v>
      </c>
      <c r="D29" s="1">
        <v>-5</v>
      </c>
      <c r="F29" t="str">
        <v>V-5</v>
      </c>
    </row>
    <row r="30" spans="2:6">
      <c r="B30" t="s">
        <v>1008</v>
      </c>
      <c r="C30" s="1">
        <v>-5</v>
      </c>
      <c r="D30" s="1">
        <v>-5</v>
      </c>
      <c r="F30" t="str">
        <v>H-5</v>
      </c>
    </row>
    <row r="31" spans="2:6">
      <c r="B31" t="s">
        <v>1008</v>
      </c>
      <c r="C31">
        <v>-5</v>
      </c>
      <c r="D31" s="1">
        <v>-3</v>
      </c>
      <c r="F31" t="str">
        <v>v2</v>
      </c>
    </row>
    <row r="32" spans="2:6">
      <c r="B32" t="s">
        <v>1008</v>
      </c>
      <c r="C32">
        <v>5</v>
      </c>
      <c r="D32">
        <v>-3</v>
      </c>
      <c r="F32" t="str">
        <v>H5</v>
      </c>
    </row>
    <row r="33" spans="2:6">
      <c r="B33" t="s">
        <v>1008</v>
      </c>
      <c r="C33">
        <v>5</v>
      </c>
      <c r="D33">
        <v>-5</v>
      </c>
      <c r="F33" t="str">
        <v>V-5</v>
      </c>
    </row>
    <row r="34" spans="2:6">
      <c r="B34" t="s">
        <v>1008</v>
      </c>
      <c r="C34">
        <v>3</v>
      </c>
      <c r="D34">
        <v>-5</v>
      </c>
      <c r="F34" t="str">
        <v>H3</v>
      </c>
    </row>
    <row r="35" spans="2:6">
      <c r="B35" t="s">
        <v>1008</v>
      </c>
      <c r="C35">
        <v>3</v>
      </c>
      <c r="D35">
        <v>5</v>
      </c>
      <c r="F35" t="str">
        <v>V5Z</v>
      </c>
    </row>
    <row r="37" spans="2:6">
      <c r="B37" t="s">
        <v>1008</v>
      </c>
      <c r="C37">
        <v>5</v>
      </c>
      <c r="D37">
        <v>1</v>
      </c>
      <c r="F37" t="str">
        <f t="array" ref="F37:F40" xml:space="preserve"> svgpath($C37:$C40, $D37:$D40, 5)</f>
        <v>M5 1</v>
      </c>
    </row>
    <row r="38" spans="2:6">
      <c r="B38" t="s">
        <v>1008</v>
      </c>
      <c r="C38">
        <v>5</v>
      </c>
      <c r="D38">
        <v>-1</v>
      </c>
      <c r="F38" t="str">
        <v>V-1</v>
      </c>
    </row>
    <row r="39" spans="2:6">
      <c r="B39" t="s">
        <v>1008</v>
      </c>
      <c r="C39">
        <v>-5</v>
      </c>
      <c r="D39">
        <v>-1</v>
      </c>
      <c r="F39" t="str">
        <v>H-5</v>
      </c>
    </row>
    <row r="40" spans="2:6">
      <c r="B40" t="s">
        <v>1008</v>
      </c>
      <c r="C40">
        <v>-5</v>
      </c>
      <c r="D40">
        <v>1</v>
      </c>
      <c r="F40" t="str">
        <v>V1Z</v>
      </c>
    </row>
    <row r="42" spans="2:6">
      <c r="B42" t="s">
        <v>1008</v>
      </c>
      <c r="C42">
        <v>-1</v>
      </c>
      <c r="D42">
        <v>5</v>
      </c>
      <c r="F42" t="str">
        <f t="array" ref="F42:F45" xml:space="preserve"> svgpath($C42:$C45, $D42:$D45, 5)</f>
        <v>M-1 5</v>
      </c>
    </row>
    <row r="43" spans="2:6">
      <c r="B43" t="s">
        <v>1008</v>
      </c>
      <c r="C43">
        <v>1</v>
      </c>
      <c r="D43">
        <v>5</v>
      </c>
      <c r="F43" t="str">
        <v>H1</v>
      </c>
    </row>
    <row r="44" spans="2:6">
      <c r="B44" t="s">
        <v>1008</v>
      </c>
      <c r="C44">
        <v>1</v>
      </c>
      <c r="D44">
        <v>-5</v>
      </c>
      <c r="F44" t="str">
        <v>V-5</v>
      </c>
    </row>
    <row r="45" spans="2:6">
      <c r="B45" t="s">
        <v>1008</v>
      </c>
      <c r="C45">
        <v>-1</v>
      </c>
      <c r="D45">
        <v>-5</v>
      </c>
      <c r="F45" t="str">
        <v>H-1Z</v>
      </c>
    </row>
    <row r="48" spans="2:6">
      <c r="E48" s="4" t="s">
        <v>552</v>
      </c>
      <c r="F48">
        <f xml:space="preserve"> MIN(BOB.RawX)</f>
        <v>-5</v>
      </c>
    </row>
    <row r="49" spans="3:7">
      <c r="E49" s="4" t="s">
        <v>553</v>
      </c>
      <c r="F49">
        <f xml:space="preserve"> MAX(BOB.RawX)</f>
        <v>5</v>
      </c>
    </row>
    <row r="50" spans="3:7">
      <c r="E50" s="4" t="s">
        <v>554</v>
      </c>
      <c r="F50">
        <f xml:space="preserve"> MIN(BOB.RawY)</f>
        <v>-5</v>
      </c>
    </row>
    <row r="51" spans="3:7">
      <c r="E51" s="4" t="s">
        <v>555</v>
      </c>
      <c r="F51">
        <f xml:space="preserve"> MAX(BOB.RawY)</f>
        <v>5</v>
      </c>
    </row>
    <row r="53" spans="3:7">
      <c r="E53" s="4" t="s">
        <v>546</v>
      </c>
      <c r="F53" s="26">
        <f xml:space="preserve"> MODE(Squares.AreaMultiplier)</f>
        <v>0.85</v>
      </c>
    </row>
    <row r="54" spans="3:7">
      <c r="E54" s="4" t="s">
        <v>547</v>
      </c>
      <c r="F54">
        <f xml:space="preserve">  MAX(BOB.MaxY, - BOB.MinY)   /   MAX(BOB.MaxX, - BOB.MinX)</f>
        <v>1</v>
      </c>
      <c r="G54" s="5"/>
    </row>
    <row r="55" spans="3:7">
      <c r="E55" s="4" t="s">
        <v>548</v>
      </c>
      <c r="F55">
        <f xml:space="preserve"> VALUE(TEXT(SQRT(BOB.AreaMultiplier * BasicBBoxArea * BOB.Aspect), SVG.NumberFormatHeight))</f>
        <v>9.1999999999999993</v>
      </c>
    </row>
    <row r="56" spans="3:7">
      <c r="E56" s="4" t="s">
        <v>549</v>
      </c>
      <c r="F56" cm="1">
        <f t="array" ref="F56" xml:space="preserve"> BOB.Height / BOB.Aspect</f>
        <v>9.1999999999999993</v>
      </c>
    </row>
    <row r="57" spans="3:7">
      <c r="E57" s="4"/>
      <c r="F57" s="5"/>
    </row>
    <row r="58" spans="3:7">
      <c r="E58" s="4" t="s">
        <v>550</v>
      </c>
      <c r="F58" s="5" t="str">
        <f>"fill='#FFF'"</f>
        <v>fill='#FFF'</v>
      </c>
    </row>
    <row r="59" spans="3:7">
      <c r="E59" s="4" t="s">
        <v>551</v>
      </c>
      <c r="F59" s="5" t="s">
        <v>719</v>
      </c>
    </row>
    <row r="61" spans="3:7" ht="17" thickBot="1">
      <c r="F61" s="3" t="s">
        <v>556</v>
      </c>
    </row>
    <row r="62" spans="3:7">
      <c r="C62" cm="1">
        <f t="array" ref="C62" xml:space="preserve"> SVG_length(BOB.svg)</f>
        <v>278</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width='9.2' height='9.2' viewBox='-5 -5 10 10'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575</v>
      </c>
      <c r="F2">
        <f xml:space="preserve"> DecimalPlaces - INT(LOG(MIN(  MAX(FR.RawX) - MIN(FR.RawX),  MAX(FR.RawY) - MIN(FR.RawY)  )/2, 10) + 0.2)</f>
        <v>5</v>
      </c>
    </row>
    <row r="4" spans="2:6" ht="17" thickBot="1">
      <c r="B4" s="3" t="s">
        <v>576</v>
      </c>
      <c r="C4" s="3" t="s">
        <v>577</v>
      </c>
      <c r="D4" s="3" t="s">
        <v>578</v>
      </c>
      <c r="F4" s="3" t="s">
        <v>1728</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586</v>
      </c>
      <c r="F13">
        <f xml:space="preserve"> ROUND( MIN(FR.RawX), FR.DecimalPlaces)</f>
        <v>-3.4641000000000002</v>
      </c>
    </row>
    <row r="14" spans="2:6">
      <c r="E14" s="4" t="s">
        <v>587</v>
      </c>
      <c r="F14">
        <f xml:space="preserve"> ROUND(MAX(FR.RawX), FR.DecimalPlaces)</f>
        <v>3.4641000000000002</v>
      </c>
    </row>
    <row r="15" spans="2:6">
      <c r="E15" s="4" t="s">
        <v>588</v>
      </c>
      <c r="F15">
        <f xml:space="preserve"> ROUND( MIN(FR.RawY), FR.DecimalPlaces)</f>
        <v>-4</v>
      </c>
    </row>
    <row r="16" spans="2:6">
      <c r="E16" s="4" t="s">
        <v>589</v>
      </c>
      <c r="F16">
        <f xml:space="preserve"> ROUND(MAX(FR.RawY), FR.DecimalPlaces)</f>
        <v>4</v>
      </c>
    </row>
    <row r="18" spans="2:8">
      <c r="E18" s="4" t="s">
        <v>579</v>
      </c>
      <c r="F18" s="26">
        <f xml:space="preserve"> 17 / 16</f>
        <v>1.0625</v>
      </c>
    </row>
    <row r="19" spans="2:8">
      <c r="E19" s="4" t="s">
        <v>580</v>
      </c>
      <c r="F19">
        <f xml:space="preserve">  MAX(FR.MaxY, - FR.MinY)   /   MAX(FR.MaxX, - FR.MinX)</f>
        <v>1.154701076758754</v>
      </c>
    </row>
    <row r="20" spans="2:8">
      <c r="E20" s="4" t="s">
        <v>581</v>
      </c>
      <c r="F20">
        <f xml:space="preserve"> VALUE(TEXT(SQRT(FR.AreaMultiplier * BasicBBoxArea * FR.Aspect), SVG.NumberFormatHeight))</f>
        <v>11.1</v>
      </c>
    </row>
    <row r="21" spans="2:8">
      <c r="E21" s="4" t="s">
        <v>582</v>
      </c>
      <c r="F21" cm="1">
        <f t="array" ref="F21" xml:space="preserve"> FR.Height / FR.Aspect</f>
        <v>9.6128774999999997</v>
      </c>
    </row>
    <row r="23" spans="2:8">
      <c r="E23" s="4" t="s">
        <v>583</v>
      </c>
      <c r="F23" t="s">
        <v>767</v>
      </c>
    </row>
    <row r="24" spans="2:8">
      <c r="E24" s="4" t="s">
        <v>584</v>
      </c>
      <c r="F24" t="s">
        <v>2073</v>
      </c>
    </row>
    <row r="25" spans="2:8">
      <c r="E25" s="4" t="s">
        <v>585</v>
      </c>
      <c r="F25" t="s">
        <v>768</v>
      </c>
    </row>
    <row r="27" spans="2:8" ht="17" thickBot="1">
      <c r="F27" s="3" t="s">
        <v>590</v>
      </c>
      <c r="H27" s="3" t="s">
        <v>2255</v>
      </c>
    </row>
    <row r="28" spans="2:8">
      <c r="B28" cm="1">
        <f t="array" ref="B28" xml:space="preserve"> SVG_length(FR.svg)</f>
        <v>334</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1701</v>
      </c>
      <c r="D2" s="2" t="s">
        <v>1702</v>
      </c>
      <c r="F2" s="3" t="s">
        <v>1703</v>
      </c>
    </row>
    <row r="3" spans="2:16">
      <c r="C3" t="b">
        <v>1</v>
      </c>
      <c r="D3" t="b" cm="1">
        <f t="array" ref="D3" xml:space="preserve"> NL.ReflectX</f>
        <v>1</v>
      </c>
      <c r="F3">
        <f xml:space="preserve"> DecimalPlaces - INT(LOG(MIN(  MAX(NL.RawX) - MIN(NL.RawX),  MAX(NL.RawY) - MIN(NL.RawY)  )/2, 10) + 0.2)</f>
        <v>4</v>
      </c>
    </row>
    <row r="5" spans="2:16" ht="17" thickBot="1">
      <c r="B5" s="3" t="s">
        <v>1704</v>
      </c>
      <c r="C5" s="3" t="s">
        <v>1705</v>
      </c>
      <c r="D5" s="3" t="s">
        <v>1706</v>
      </c>
      <c r="F5" s="3" t="s">
        <v>1727</v>
      </c>
      <c r="K5" s="3" t="s">
        <v>1707</v>
      </c>
      <c r="L5" s="3" t="s">
        <v>1708</v>
      </c>
      <c r="M5" s="3" t="s">
        <v>1709</v>
      </c>
      <c r="N5" s="3" t="s">
        <v>1710</v>
      </c>
      <c r="O5" s="3" t="s">
        <v>1711</v>
      </c>
      <c r="P5" s="3" t="s">
        <v>1712</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1713</v>
      </c>
      <c r="I23">
        <v>-1</v>
      </c>
    </row>
    <row r="24" spans="2:16">
      <c r="H24" s="4" t="s">
        <v>1714</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1715</v>
      </c>
      <c r="F43">
        <f xml:space="preserve"> ROUND( MIN(NL.RawX), NL.DecimalPlaces)</f>
        <v>-10</v>
      </c>
    </row>
    <row r="44" spans="2:16">
      <c r="E44" s="4" t="s">
        <v>1716</v>
      </c>
      <c r="F44">
        <f xml:space="preserve"> ROUND(MAX(NL.RawX), NL.DecimalPlaces)</f>
        <v>10</v>
      </c>
    </row>
    <row r="45" spans="2:16">
      <c r="E45" s="4" t="s">
        <v>1717</v>
      </c>
      <c r="F45">
        <f xml:space="preserve"> ROUND( MIN(NL.RawY), NL.DecimalPlaces)</f>
        <v>-7</v>
      </c>
    </row>
    <row r="46" spans="2:16">
      <c r="E46" s="4" t="s">
        <v>1718</v>
      </c>
      <c r="F46">
        <f xml:space="preserve"> ROUND(MAX(NL.RawY), NL.DecimalPlaces)</f>
        <v>7</v>
      </c>
    </row>
    <row r="48" spans="2:16">
      <c r="E48" s="4" t="s">
        <v>1719</v>
      </c>
      <c r="F48" s="26">
        <v>0.875</v>
      </c>
    </row>
    <row r="49" spans="4:7">
      <c r="E49" s="4" t="s">
        <v>1720</v>
      </c>
      <c r="F49" cm="1">
        <f t="array" ref="F49" xml:space="preserve">  MAX(NL.MaxY, - NL.MinY)   /   MAX(NL.MaxX, - NL.MinX)</f>
        <v>0.7</v>
      </c>
    </row>
    <row r="50" spans="4:7">
      <c r="E50" s="4" t="s">
        <v>1721</v>
      </c>
      <c r="F50" cm="1">
        <f t="array" ref="F50" xml:space="preserve"> VALUE(TEXT(SQRT(NL.AreaMultiplier* BasicBBoxArea * NL.Aspect), SVG.NumberFormatHeight))</f>
        <v>7.8</v>
      </c>
    </row>
    <row r="51" spans="4:7">
      <c r="E51" s="4" t="s">
        <v>1722</v>
      </c>
      <c r="F51" cm="1">
        <f t="array" ref="F51" xml:space="preserve"> NL.Height / NL.Aspect</f>
        <v>11.142857142857144</v>
      </c>
    </row>
    <row r="53" spans="4:7">
      <c r="E53" s="4" t="s">
        <v>1723</v>
      </c>
      <c r="F53" t="s">
        <v>714</v>
      </c>
    </row>
    <row r="54" spans="4:7">
      <c r="E54" s="4" t="s">
        <v>1724</v>
      </c>
      <c r="F54" t="s">
        <v>1726</v>
      </c>
    </row>
    <row r="55" spans="4:7">
      <c r="E55" s="4" t="s">
        <v>2266</v>
      </c>
      <c r="F55" t="s">
        <v>2268</v>
      </c>
    </row>
    <row r="57" spans="4:7" ht="17" thickBot="1">
      <c r="F57" s="3" t="s">
        <v>1725</v>
      </c>
      <c r="G57" s="3" t="s">
        <v>2267</v>
      </c>
    </row>
    <row r="58" spans="4:7">
      <c r="D58" cm="1">
        <f t="array" ref="D58" xml:space="preserve"> SVG_length(NL.svg)</f>
        <v>326</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642</v>
      </c>
      <c r="C2" cm="1">
        <f t="array" ref="C2" xml:space="preserve"> DecimalPlaces - INT(LOG(MIN(  2*BE.RadiusOuter  )/2, 10) + 0.2)</f>
        <v>4</v>
      </c>
    </row>
    <row r="4" spans="2:6">
      <c r="B4" s="4" t="s">
        <v>636</v>
      </c>
      <c r="C4" cm="1">
        <f t="array" ref="C4" xml:space="preserve"> BE.RadiusOuter</f>
        <v>10</v>
      </c>
    </row>
    <row r="5" spans="2:6">
      <c r="B5" s="4" t="s">
        <v>637</v>
      </c>
      <c r="C5" cm="1">
        <f t="array" ref="C5" xml:space="preserve"> BE.MaxX</f>
        <v>10</v>
      </c>
    </row>
    <row r="6" spans="2:6">
      <c r="B6" s="4" t="s">
        <v>638</v>
      </c>
      <c r="C6" cm="1">
        <f t="array" ref="C6" xml:space="preserve"> - BE.MaxX</f>
        <v>-10</v>
      </c>
    </row>
    <row r="7" spans="2:6">
      <c r="B7" s="4" t="s">
        <v>639</v>
      </c>
      <c r="C7" cm="1">
        <f t="array" ref="C7" xml:space="preserve"> - BE.MaxY</f>
        <v>-10</v>
      </c>
    </row>
    <row r="9" spans="2:6">
      <c r="B9" s="4" t="s">
        <v>630</v>
      </c>
      <c r="C9" s="26">
        <f xml:space="preserve"> MODE(Circles.AreaMultiplier)</f>
        <v>1</v>
      </c>
      <c r="F9"/>
    </row>
    <row r="10" spans="2:6">
      <c r="B10" s="4" t="s">
        <v>631</v>
      </c>
      <c r="C10">
        <f xml:space="preserve"> MAX(BE.MaxY, - BE.MinY)   /   MAX(BE.MaxX, - BE.MinX)</f>
        <v>1</v>
      </c>
    </row>
    <row r="11" spans="2:6">
      <c r="B11" s="4" t="s">
        <v>632</v>
      </c>
      <c r="C11">
        <f xml:space="preserve"> VALUE(TEXT(SQRT(BE.AreaMultiplier * BasicBBoxArea * BE.Aspect), SVG.NumberFormatHeight))</f>
        <v>10</v>
      </c>
    </row>
    <row r="12" spans="2:6">
      <c r="B12" s="4" t="s">
        <v>633</v>
      </c>
      <c r="C12" cm="1">
        <f t="array" ref="C12" xml:space="preserve"> BE.Height / BE.Aspect</f>
        <v>10</v>
      </c>
    </row>
    <row r="14" spans="2:6">
      <c r="B14" s="4" t="s">
        <v>634</v>
      </c>
      <c r="C14" t="str">
        <f xml:space="preserve"> "='#FFCC33'"</f>
        <v>='#FFCC33'</v>
      </c>
    </row>
    <row r="15" spans="2:6">
      <c r="B15" s="4" t="s">
        <v>635</v>
      </c>
      <c r="C15" t="str">
        <f xml:space="preserve"> "='#663319'"</f>
        <v>='#663319'</v>
      </c>
    </row>
    <row r="17" spans="2:7" ht="17" thickBot="1">
      <c r="B17" s="3" t="s">
        <v>640</v>
      </c>
      <c r="C17" s="3" t="s">
        <v>641</v>
      </c>
      <c r="D17" s="3" t="s">
        <v>644</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645</v>
      </c>
      <c r="C20" s="3" t="s">
        <v>646</v>
      </c>
      <c r="D20" s="3" t="s">
        <v>647</v>
      </c>
      <c r="F20" s="36" t="s">
        <v>1494</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643</v>
      </c>
      <c r="G27" s="36" t="s">
        <v>2270</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1552</v>
      </c>
      <c r="J2" t="b">
        <v>1</v>
      </c>
    </row>
    <row r="3" spans="9:11">
      <c r="I3" s="4" t="s">
        <v>1479</v>
      </c>
      <c r="J3" s="21" t="s">
        <v>1480</v>
      </c>
      <c r="K3" s="21"/>
    </row>
    <row r="4" spans="9:11">
      <c r="I4" s="4" t="s">
        <v>1553</v>
      </c>
      <c r="J4" s="21" t="s">
        <v>1476</v>
      </c>
    </row>
    <row r="6" spans="9:11">
      <c r="I6" s="4" t="s">
        <v>1550</v>
      </c>
      <c r="J6">
        <f xml:space="preserve"> VALUE("100.6598934115317093127546795530849115415227559341255318889896735120632206040829530102514681")</f>
        <v>100.659893411531</v>
      </c>
    </row>
    <row r="7" spans="9:11">
      <c r="I7" s="4" t="s">
        <v>659</v>
      </c>
      <c r="J7">
        <f xml:space="preserve"> DecimalPlaces - INT(LOG(MIN(  2*IE.RadiusShamrock  )/2, 10) + 0.2)</f>
        <v>3</v>
      </c>
    </row>
    <row r="8" spans="9:11">
      <c r="I8" s="4" t="s">
        <v>1551</v>
      </c>
      <c r="J8">
        <f xml:space="preserve"> IF(IE.BoundingCircle, ROUND(1.083 * IE.RadiusShamrock, IE.DecimalPlaces - 2), #N/A)</f>
        <v>109</v>
      </c>
    </row>
    <row r="10" spans="9:11">
      <c r="I10" s="4" t="s">
        <v>655</v>
      </c>
      <c r="J10" cm="1">
        <f t="array" ref="J10" xml:space="preserve"> IF(IE.BoundingCircle, IE.Radius, CEILING( ( (16315 + 2128*Sqrt3)^1.5  -  458634*Sqrt3  -  2028376 ) / (17019 - 9792*Sqrt3), 10^-IE.DecimalPlaces) )</f>
        <v>109</v>
      </c>
    </row>
    <row r="11" spans="9:11">
      <c r="I11" s="4" t="s">
        <v>656</v>
      </c>
      <c r="J11">
        <f xml:space="preserve"> IF(IE.BoundingCircle, IE.Radius, CEILING(2 * (3817^1.5 - 110510) / 2601, 10^-IE.DecimalPlaces) )</f>
        <v>109</v>
      </c>
    </row>
    <row r="12" spans="9:11">
      <c r="I12" s="4" t="s">
        <v>657</v>
      </c>
      <c r="J12" cm="1">
        <f t="array" ref="J12" xml:space="preserve"> - IE.MaxX</f>
        <v>-109</v>
      </c>
    </row>
    <row r="13" spans="9:11">
      <c r="I13" s="4" t="s">
        <v>658</v>
      </c>
      <c r="J13" cm="1">
        <f t="array" ref="J13" xml:space="preserve"> - IE.MaxY</f>
        <v>-109</v>
      </c>
    </row>
    <row r="15" spans="9:11">
      <c r="I15" s="4" t="s">
        <v>1478</v>
      </c>
      <c r="J15" t="e">
        <f>IF(IE.BoundingCircle, #N/A, (19^1.5 - 28 ) * 2 / 9)</f>
        <v>#N/A</v>
      </c>
    </row>
    <row r="17" spans="2:12">
      <c r="I17" s="4" t="s">
        <v>651</v>
      </c>
      <c r="J17" s="26">
        <f xml:space="preserve"> IF(IE.BoundingCircle, MODE(Circles.AreaMultiplier), 1.5)</f>
        <v>1</v>
      </c>
    </row>
    <row r="18" spans="2:12">
      <c r="I18" s="4" t="s">
        <v>652</v>
      </c>
      <c r="J18">
        <f xml:space="preserve"> MAX(IE.MaxY, - IE.MinY)   /   MAX(IE.MaxX, - IE.MinX)</f>
        <v>1</v>
      </c>
    </row>
    <row r="19" spans="2:12">
      <c r="I19" s="4" t="s">
        <v>653</v>
      </c>
      <c r="J19">
        <f xml:space="preserve"> VALUE(TEXT(SQRT(IE.AreaMultiplier * BasicBBoxArea * IE.Aspect), SVG.NumberFormatHeight))</f>
        <v>10</v>
      </c>
    </row>
    <row r="20" spans="2:12">
      <c r="I20" s="4" t="s">
        <v>654</v>
      </c>
      <c r="J20" cm="1">
        <f t="array" ref="J20" xml:space="preserve"> IE.Height / IE.Aspect</f>
        <v>10</v>
      </c>
    </row>
    <row r="22" spans="2:12" ht="17" thickBot="1">
      <c r="B22" s="3" t="s">
        <v>1477</v>
      </c>
      <c r="C22" s="3" t="s">
        <v>661</v>
      </c>
      <c r="D22" s="3"/>
      <c r="E22" s="3" t="s">
        <v>662</v>
      </c>
      <c r="F22" s="3" t="s">
        <v>663</v>
      </c>
      <c r="G22" s="3" t="s">
        <v>664</v>
      </c>
      <c r="H22" s="3" t="s">
        <v>665</v>
      </c>
      <c r="I22" s="3" t="s">
        <v>666</v>
      </c>
      <c r="J22" s="3" t="s">
        <v>667</v>
      </c>
      <c r="L22" s="36" t="s">
        <v>1475</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-122.72689603142601</v>
      </c>
      <c r="H27">
        <f xml:space="preserve"> H$25 * COS(IE.Ang*PI()/180) - G$25 * SIN(IE.Ang*PI()/180)</f>
        <v>15.430780618346922</v>
      </c>
      <c r="I27">
        <f xml:space="preserve"> I$25 * COS(IE.Ang*PI()/180) + J$25 * SIN(IE.Ang*PI()/180)</f>
        <v>-77.94228634059948</v>
      </c>
      <c r="J27">
        <f xml:space="preserve"> J$25 * COS(IE.Ang*PI()/180) - I$25 * SIN(IE.Ang*PI()/180)</f>
        <v>44.999999999999986</v>
      </c>
      <c r="L27" s="21" t="str">
        <f t="shared" si="0"/>
        <v>C -98.024 -35.782 -122.727 15.431 -77.942 45</v>
      </c>
    </row>
    <row r="28" spans="2:12">
      <c r="B28" t="s">
        <v>23</v>
      </c>
      <c r="C28">
        <f xml:space="preserve"> C27</f>
        <v>120</v>
      </c>
      <c r="E28">
        <f xml:space="preserve"> E$26 * COS(IE.Ang*PI()/180) + F$26 * SIN(IE.Ang*PI()/180)</f>
        <v>-74.726896031426008</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557</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557</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13.636429062810528</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82.672722258275456</v>
      </c>
      <c r="G42">
        <f xml:space="preserve"> G$36 * COS(IE.Ang*PI()/180) + H$36 * SIN(IE.Ang*PI()/180)</f>
        <v>-29.249513288665085</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557</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557</v>
      </c>
    </row>
    <row r="51" spans="2:13">
      <c r="L51" cm="1">
        <f t="array" ref="L51">SVG_length(IE.svg)</f>
        <v>314</v>
      </c>
    </row>
    <row r="53" spans="2:13" ht="17" thickBot="1">
      <c r="L53" s="36" t="s">
        <v>660</v>
      </c>
      <c r="M53" s="36" t="s">
        <v>2265</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2118</v>
      </c>
    </row>
    <row r="3" spans="2:5">
      <c r="E3">
        <f xml:space="preserve"> DecimalPlaces - INT(LOG(MIN(  MAX(GR.RawX) - MIN(GR.RawX),  MAX(GR.RawY) - MIN(GR.RawY)  )/2, 10) + 0.2)</f>
        <v>5</v>
      </c>
    </row>
    <row r="5" spans="2:5" ht="17" thickBot="1">
      <c r="B5" s="3" t="s">
        <v>2119</v>
      </c>
      <c r="C5" s="3" t="s">
        <v>2120</v>
      </c>
      <c r="E5" s="3" t="s">
        <v>2121</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2123</v>
      </c>
      <c r="E20">
        <f xml:space="preserve"> ROUND(MAX(GR.RawX), GR.DecimalPlaces) + 1</f>
        <v>6</v>
      </c>
    </row>
    <row r="21" spans="2:5">
      <c r="D21" s="4" t="s">
        <v>2125</v>
      </c>
      <c r="E21">
        <f xml:space="preserve"> GR.MaxX</f>
        <v>6</v>
      </c>
    </row>
    <row r="22" spans="2:5">
      <c r="D22" s="4" t="s">
        <v>2122</v>
      </c>
      <c r="E22">
        <f xml:space="preserve"> - GR.MaxX</f>
        <v>-6</v>
      </c>
    </row>
    <row r="23" spans="2:5">
      <c r="D23" s="4" t="s">
        <v>2124</v>
      </c>
      <c r="E23">
        <f xml:space="preserve"> - GR.MaxY</f>
        <v>-6</v>
      </c>
    </row>
    <row r="25" spans="2:5">
      <c r="D25" s="4" t="s">
        <v>2126</v>
      </c>
      <c r="E25" s="26">
        <f xml:space="preserve"> MODE(Squares.AreaMultiplier)</f>
        <v>0.85</v>
      </c>
    </row>
    <row r="26" spans="2:5">
      <c r="D26" s="4" t="s">
        <v>2127</v>
      </c>
      <c r="E26" cm="1">
        <f t="array" ref="E26" xml:space="preserve">  MAX(GR.MaxY, - GR.MinY)   /   MAX(GR.MaxX, - GR.MinX)</f>
        <v>1</v>
      </c>
    </row>
    <row r="27" spans="2:5">
      <c r="D27" s="4" t="s">
        <v>2128</v>
      </c>
      <c r="E27" cm="1">
        <f t="array" ref="E27" xml:space="preserve"> VALUE(TEXT(SQRT(GR.AreaMultiplier * BasicBBoxArea * GR.Aspect), SVG.NumberFormatHeight))</f>
        <v>9.1999999999999993</v>
      </c>
    </row>
    <row r="28" spans="2:5">
      <c r="D28" s="4" t="s">
        <v>2129</v>
      </c>
      <c r="E28" cm="1">
        <f t="array" ref="E28" xml:space="preserve"> GR.Height / GR.Aspect</f>
        <v>9.1999999999999993</v>
      </c>
    </row>
    <row r="29" spans="2:5">
      <c r="D29" s="4"/>
      <c r="E29" s="5"/>
    </row>
    <row r="30" spans="2:5">
      <c r="D30" s="4" t="s">
        <v>2130</v>
      </c>
      <c r="E30" s="5" t="s">
        <v>778</v>
      </c>
    </row>
    <row r="31" spans="2:5">
      <c r="D31" s="4" t="s">
        <v>2131</v>
      </c>
      <c r="E31" s="5" t="s">
        <v>2073</v>
      </c>
    </row>
    <row r="32" spans="2:5">
      <c r="D32" s="4" t="s">
        <v>2277</v>
      </c>
      <c r="E32" s="5" t="s">
        <v>2283</v>
      </c>
    </row>
    <row r="34" spans="5:6">
      <c r="E34" cm="1">
        <f t="array" ref="E34" xml:space="preserve"> SVG_length(GR.svg)</f>
        <v>203</v>
      </c>
    </row>
    <row r="36" spans="5:6" ht="17" thickBot="1">
      <c r="E36" s="3" t="s">
        <v>2132</v>
      </c>
      <c r="F36" s="3" t="s">
        <v>2278</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609</v>
      </c>
      <c r="C2" s="2" t="s">
        <v>608</v>
      </c>
      <c r="F2" s="3" t="s">
        <v>592</v>
      </c>
    </row>
    <row r="3" spans="2:6">
      <c r="B3">
        <v>8</v>
      </c>
      <c r="C3">
        <f xml:space="preserve"> SI.OuterRadius / 2</f>
        <v>4</v>
      </c>
      <c r="F3">
        <f xml:space="preserve"> DecimalPlaces - INT(LOG(MIN(  MAX(SI.RawX) - MIN(SI.RawX),  MAX(SI.RawY) - MIN(SI.RawY)  )/2, 10) + 0.2)</f>
        <v>4</v>
      </c>
    </row>
    <row r="5" spans="2:6" ht="17" thickBot="1">
      <c r="B5" s="3" t="s">
        <v>610</v>
      </c>
      <c r="C5" s="3" t="s">
        <v>593</v>
      </c>
      <c r="D5" s="3" t="s">
        <v>594</v>
      </c>
      <c r="F5" s="3" t="s">
        <v>595</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2.4492935982947064E-16</v>
      </c>
      <c r="F9" t="str">
        <v>L4 0</v>
      </c>
    </row>
    <row r="10" spans="2:6">
      <c r="B10">
        <f t="shared" si="2"/>
        <v>4</v>
      </c>
      <c r="C10" s="1">
        <f t="shared" si="0"/>
        <v>6.9282032302755097</v>
      </c>
      <c r="D10" s="1">
        <f t="shared" si="1"/>
        <v>-3.9999999999999987</v>
      </c>
      <c r="F10" t="str">
        <v>L6.9282 -4</v>
      </c>
    </row>
    <row r="11" spans="2:6">
      <c r="B11">
        <f t="shared" si="2"/>
        <v>5</v>
      </c>
      <c r="C11" s="1">
        <f t="shared" si="0"/>
        <v>1.9999999999999998</v>
      </c>
      <c r="D11" s="1">
        <f t="shared" si="1"/>
        <v>-3.4641016151377548</v>
      </c>
      <c r="F11" t="str">
        <v>L2 -3.4641</v>
      </c>
    </row>
    <row r="12" spans="2:6">
      <c r="B12">
        <f t="shared" si="2"/>
        <v>6</v>
      </c>
      <c r="C12" s="1">
        <f t="shared" si="0"/>
        <v>9.7971743931788257E-16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-7.3478807948841188E-16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602</v>
      </c>
      <c r="F20">
        <f xml:space="preserve"> ROUND( MIN(SI.RawX), SI.DecimalPlaces)</f>
        <v>-6.9282000000000004</v>
      </c>
    </row>
    <row r="21" spans="2:6">
      <c r="E21" s="4" t="s">
        <v>603</v>
      </c>
      <c r="F21">
        <f xml:space="preserve"> ROUND(MAX(SI.RawX), SI.DecimalPlaces)</f>
        <v>6.9282000000000004</v>
      </c>
    </row>
    <row r="22" spans="2:6">
      <c r="E22" s="4" t="s">
        <v>604</v>
      </c>
      <c r="F22">
        <f xml:space="preserve"> ROUND( MIN(SI.RawY), SI.DecimalPlaces)</f>
        <v>-8</v>
      </c>
    </row>
    <row r="23" spans="2:6">
      <c r="E23" s="4" t="s">
        <v>605</v>
      </c>
      <c r="F23">
        <f xml:space="preserve"> ROUND(MAX(SI.RawY), SI.DecimalPlaces)</f>
        <v>8</v>
      </c>
    </row>
    <row r="25" spans="2:6">
      <c r="E25" s="4" t="s">
        <v>596</v>
      </c>
      <c r="F25" s="26">
        <v>1.125</v>
      </c>
    </row>
    <row r="26" spans="2:6">
      <c r="E26" s="4" t="s">
        <v>597</v>
      </c>
      <c r="F26">
        <f xml:space="preserve">  MAX(SI.MaxY, - SI.MinY)   /   MAX(SI.MaxX, - SI.MinX)</f>
        <v>1.154701076758754</v>
      </c>
    </row>
    <row r="27" spans="2:6">
      <c r="E27" s="4" t="s">
        <v>598</v>
      </c>
      <c r="F27">
        <f xml:space="preserve"> VALUE(TEXT(SQRT(SI.AreaMultiplier * BasicBBoxArea * SI.Aspect), SVG.NumberFormatHeight))</f>
        <v>11.4</v>
      </c>
    </row>
    <row r="28" spans="2:6">
      <c r="E28" s="4" t="s">
        <v>599</v>
      </c>
      <c r="F28" cm="1">
        <f t="array" ref="F28" xml:space="preserve"> SI.Height / SI.Aspect</f>
        <v>9.8726850000000006</v>
      </c>
    </row>
    <row r="29" spans="2:6">
      <c r="E29" s="4"/>
      <c r="F29" s="5"/>
    </row>
    <row r="30" spans="2:6">
      <c r="E30" s="4" t="s">
        <v>600</v>
      </c>
      <c r="F30" s="5" t="s">
        <v>764</v>
      </c>
    </row>
    <row r="31" spans="2:6">
      <c r="E31" s="4" t="s">
        <v>601</v>
      </c>
      <c r="F31" s="5" t="s">
        <v>765</v>
      </c>
    </row>
    <row r="33" spans="6:7">
      <c r="F33" cm="1">
        <f t="array" ref="F33" xml:space="preserve"> SVG_length(SI.svg)</f>
        <v>346</v>
      </c>
    </row>
    <row r="35" spans="6:7" ht="17" thickBot="1">
      <c r="F35" s="3" t="s">
        <v>606</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width='9.87269' height='11.4' viewBox='-6.9282 -8 13.8564 16'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612</v>
      </c>
      <c r="G45" s="5" t="s">
        <v>613</v>
      </c>
    </row>
    <row r="46" spans="6:7">
      <c r="F46" t="s">
        <v>611</v>
      </c>
      <c r="G46" s="5" t="s">
        <v>614</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1486</v>
      </c>
      <c r="I2" s="5" t="s">
        <v>1489</v>
      </c>
    </row>
    <row r="3" spans="2:11">
      <c r="H3" s="4" t="s">
        <v>1487</v>
      </c>
      <c r="I3" s="5" t="s">
        <v>1484</v>
      </c>
    </row>
    <row r="5" spans="2:11">
      <c r="H5" s="4" t="s">
        <v>1525</v>
      </c>
      <c r="I5">
        <f xml:space="preserve"> 39*4*10</f>
        <v>1560</v>
      </c>
    </row>
    <row r="6" spans="2:11">
      <c r="H6" s="4" t="s">
        <v>674</v>
      </c>
      <c r="I6">
        <f xml:space="preserve"> DecimalPlaces - INT(LOG(CY.Rescale) + 0.2)</f>
        <v>2</v>
      </c>
    </row>
    <row r="7" spans="2:11">
      <c r="B7" s="4" t="s">
        <v>688</v>
      </c>
      <c r="C7">
        <f xml:space="preserve"> MATCH(MAX(CY.Y1), CY.Y1, 0)</f>
        <v>10</v>
      </c>
      <c r="H7" s="4" t="s">
        <v>1488</v>
      </c>
      <c r="I7">
        <f xml:space="preserve"> CY.Y_Max / 4</f>
        <v>161.77081323372275</v>
      </c>
      <c r="J7" s="5"/>
      <c r="K7" s="5"/>
    </row>
    <row r="8" spans="2:11">
      <c r="B8" s="4" t="s">
        <v>690</v>
      </c>
      <c r="C8" cm="1">
        <f t="array" ref="C8" xml:space="preserve"> INDEX(CY.Y3, CY.Points_RowNum - 1)</f>
        <v>600</v>
      </c>
      <c r="H8" s="4" t="s">
        <v>675</v>
      </c>
      <c r="I8">
        <f xml:space="preserve"> CEILING(MAX($D$26:$D$31, $F$26:$F$31, $H$26:$H$31) + CY.RectExtra, 10^(2-CY.DecimalPlaces))</f>
        <v>882</v>
      </c>
    </row>
    <row r="9" spans="2:11">
      <c r="B9" s="4" t="s">
        <v>691</v>
      </c>
      <c r="C9" cm="1">
        <f t="array" ref="C9" xml:space="preserve"> 3 * INDEX(CY.Y1, CY.Points_RowNum) - 3 * INDEX(CY.Y3, CY.Points_RowNum - 1)</f>
        <v>495</v>
      </c>
      <c r="H9" s="4" t="s">
        <v>676</v>
      </c>
      <c r="I9">
        <f xml:space="preserve"> CEILING( ABS(CY.Y_Max) + CY.RectExtra, 10^(2-CY.DecimalPlaces))</f>
        <v>809</v>
      </c>
    </row>
    <row r="10" spans="2:11">
      <c r="B10" s="4" t="s">
        <v>692</v>
      </c>
      <c r="C10" cm="1">
        <f t="array" ref="C10" xml:space="preserve"> 3 * INDEX(CY.Y2, CY.Points_RowNum)  -  6 * INDEX(CY.Y1, CY.Points_RowNum) + 3 * INDEX(CY.Y3, CY.Points_RowNum - 1)</f>
        <v>-1350</v>
      </c>
      <c r="H10" s="4" t="s">
        <v>677</v>
      </c>
      <c r="I10" cm="1">
        <f t="array" ref="I10" xml:space="preserve"> - CY.MaxX</f>
        <v>-882</v>
      </c>
    </row>
    <row r="11" spans="2:11">
      <c r="B11" s="4" t="s">
        <v>693</v>
      </c>
      <c r="C11" cm="1">
        <f t="array" ref="C11" xml:space="preserve"> INDEX(CY.Y3, CY.Points_RowNum)  -  3 * INDEX(CY.Y2, CY.Points_RowNum)  + 3 * INDEX(CY.Y1, CY.Points_RowNum) - INDEX(CY.Y3, CY.Points_RowNum - 1)</f>
        <v>255</v>
      </c>
      <c r="H11" s="4" t="s">
        <v>678</v>
      </c>
      <c r="I11" cm="1">
        <f t="array" ref="I11" xml:space="preserve"> - CY.MaxY</f>
        <v>-809</v>
      </c>
    </row>
    <row r="12" spans="2:11">
      <c r="B12" s="4" t="s">
        <v>689</v>
      </c>
      <c r="C12">
        <f xml:space="preserve"> (-2*CY.Y_Coeff2 - SQRT( (2*CY.Y_Coeff2)^2 - 4*CY.Y_Coeff1*3*CY.Y_Coeff3) ) / (2*3*CY.Y_Coeff3)</f>
        <v>0.19399647966838945</v>
      </c>
    </row>
    <row r="13" spans="2:11">
      <c r="B13" s="4" t="s">
        <v>694</v>
      </c>
      <c r="C13">
        <f xml:space="preserve"> ((CY.Y_Coeff3*CY.t_Turn + CY.Y_Coeff2)*CY.t_Turn + CY.Y_Coeff1)*CY.t_Turn + CY.Y_Coeff0</f>
        <v>647.08325293489099</v>
      </c>
      <c r="H13" s="4" t="s">
        <v>670</v>
      </c>
      <c r="I13" s="26">
        <f xml:space="preserve"> MODE(Squares.AreaMultiplier)</f>
        <v>0.85</v>
      </c>
    </row>
    <row r="14" spans="2:11">
      <c r="H14" s="4" t="s">
        <v>671</v>
      </c>
      <c r="I14">
        <f xml:space="preserve"> MAX(CY.MaxY, -CY.MinY) / MAX(CY.MaxX, -CY.MinX)</f>
        <v>0.91723356009070289</v>
      </c>
    </row>
    <row r="15" spans="2:11">
      <c r="H15" s="4" t="s">
        <v>672</v>
      </c>
      <c r="I15">
        <f xml:space="preserve"> VALUE(TEXT(SQRT(CY.AreaMultiplier * BasicBBoxArea * CY.Aspect), SVG.NumberFormatHeight))</f>
        <v>8.8000000000000007</v>
      </c>
    </row>
    <row r="16" spans="2:11">
      <c r="H16" s="4" t="s">
        <v>673</v>
      </c>
      <c r="I16" cm="1">
        <f t="array" ref="I16" xml:space="preserve"> CY.Height / CY.Aspect</f>
        <v>9.5940667490729314</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679</v>
      </c>
      <c r="C21" s="3" t="s">
        <v>1524</v>
      </c>
      <c r="D21" s="3" t="s">
        <v>680</v>
      </c>
      <c r="E21" s="3" t="s">
        <v>681</v>
      </c>
      <c r="F21" s="3" t="s">
        <v>682</v>
      </c>
      <c r="G21" s="3" t="s">
        <v>683</v>
      </c>
      <c r="H21" s="3" t="s">
        <v>684</v>
      </c>
      <c r="I21" s="3" t="s">
        <v>685</v>
      </c>
      <c r="K21" s="36" t="s">
        <v>1485</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557</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557</v>
      </c>
    </row>
    <row r="35" spans="11:11" ht="17" thickBot="1">
      <c r="K35" s="36" t="s">
        <v>686</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width='9.59407' height='8.8' viewBox='-882 -809 1764 1618'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695</v>
      </c>
      <c r="E2">
        <f xml:space="preserve"> DecimalPlaces - INT(LOG(MIN(  MAX(MT.RawX) - MIN(MT.RawX),  MAX(MT.RawY) - MIN(MT.RawY)  )/2, 10) + 0.2)</f>
        <v>5</v>
      </c>
    </row>
    <row r="4" spans="2:5" ht="17" thickBot="1">
      <c r="B4" s="3" t="s">
        <v>696</v>
      </c>
      <c r="C4" s="3" t="s">
        <v>697</v>
      </c>
      <c r="E4" s="3" t="s">
        <v>1745</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702</v>
      </c>
      <c r="E21">
        <f xml:space="preserve"> ROUND( MIN(MT.RawX), MT.DecimalPlaces)</f>
        <v>-1</v>
      </c>
    </row>
    <row r="22" spans="2:5">
      <c r="D22" s="4" t="s">
        <v>703</v>
      </c>
      <c r="E22">
        <f xml:space="preserve"> ROUND(MAX(MT.RawX), MT.DecimalPlaces)</f>
        <v>1</v>
      </c>
    </row>
    <row r="23" spans="2:5">
      <c r="D23" s="4" t="s">
        <v>704</v>
      </c>
      <c r="E23">
        <f xml:space="preserve"> ROUND( MIN(MT.RawY), MT.DecimalPlaces)</f>
        <v>-1</v>
      </c>
    </row>
    <row r="24" spans="2:5">
      <c r="D24" s="4" t="s">
        <v>705</v>
      </c>
      <c r="E24">
        <f xml:space="preserve"> ROUND(MAX(MT.RawY), MT.DecimalPlaces)</f>
        <v>1</v>
      </c>
    </row>
    <row r="26" spans="2:5">
      <c r="D26" s="4" t="s">
        <v>698</v>
      </c>
      <c r="E26" s="26">
        <f xml:space="preserve"> MODE(Squares.AreaMultiplier)</f>
        <v>0.85</v>
      </c>
    </row>
    <row r="27" spans="2:5">
      <c r="D27" s="4" t="s">
        <v>699</v>
      </c>
      <c r="E27">
        <f xml:space="preserve"> MAX(MT.MaxY, - MT.MinY) / MAX(MT.MaxX, - MT.MinX)</f>
        <v>1</v>
      </c>
    </row>
    <row r="28" spans="2:5">
      <c r="D28" s="4" t="s">
        <v>700</v>
      </c>
      <c r="E28">
        <f xml:space="preserve"> VALUE(TEXT(SQRT(MT.AreaMultiplier * BasicBBoxArea * MT.Aspect), SVG.NumberFormatHeight))</f>
        <v>9.1999999999999993</v>
      </c>
    </row>
    <row r="29" spans="2:5">
      <c r="D29" s="4" t="s">
        <v>701</v>
      </c>
      <c r="E29" cm="1">
        <f t="array" ref="E29" xml:space="preserve"> MT.Height / MT.Aspect</f>
        <v>9.1999999999999993</v>
      </c>
    </row>
    <row r="31" spans="2:5">
      <c r="D31" s="4" t="s">
        <v>1481</v>
      </c>
      <c r="E31" s="5" t="s">
        <v>1483</v>
      </c>
    </row>
    <row r="32" spans="2:5">
      <c r="D32" s="4" t="s">
        <v>1482</v>
      </c>
      <c r="E32" s="5" t="s">
        <v>2073</v>
      </c>
    </row>
    <row r="34" spans="3:5" ht="17" thickBot="1">
      <c r="E34" s="3" t="s">
        <v>706</v>
      </c>
    </row>
    <row r="35" spans="3:5">
      <c r="C35" cm="1">
        <f t="array" ref="C35" xml:space="preserve"> SVG_length(MT.svg)</f>
        <v>297</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width='9.2' height='9.2' viewBox='-1 -1 2 2'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1498</v>
      </c>
      <c r="H5" s="3" t="s">
        <v>1497</v>
      </c>
    </row>
    <row r="6" spans="2:8">
      <c r="B6" s="4" t="s">
        <v>945</v>
      </c>
      <c r="C6">
        <v>8</v>
      </c>
      <c r="G6" t="s">
        <v>23</v>
      </c>
      <c r="H6" s="5" t="str">
        <f xml:space="preserve"> "M 0 " &amp; _EBRD.yIntersection</f>
        <v>M 0 10.3923</v>
      </c>
    </row>
    <row r="7" spans="2:8">
      <c r="B7" s="4" t="s">
        <v>946</v>
      </c>
      <c r="C7">
        <v>12</v>
      </c>
      <c r="G7" t="s">
        <v>23</v>
      </c>
      <c r="H7" s="5" t="str">
        <f xml:space="preserve"> "A " &amp; _EBRD.OvalHalfWidth &amp; " " &amp; _EBRD.OvalHalfHeight &amp; " 0 1 0 0 " &amp; (- _EBRD.yIntersection)</f>
        <v>A 8 12 0 1 0 0 -10.3923</v>
      </c>
    </row>
    <row r="8" spans="2:8">
      <c r="B8" s="4" t="s">
        <v>947</v>
      </c>
      <c r="C8">
        <v>4</v>
      </c>
      <c r="G8" t="s">
        <v>23</v>
      </c>
      <c r="H8" s="5" t="str">
        <f xml:space="preserve"> "A " &amp; _EBRD.OvalHalfWidth &amp; " " &amp; _EBRD.OvalHalfHeight &amp; " 0 1 0 0 " &amp; (_EBRD.yIntersection)</f>
        <v>A 8 12 0 1 0 0 10.3923</v>
      </c>
    </row>
    <row r="9" spans="2:8">
      <c r="G9" t="s">
        <v>23</v>
      </c>
      <c r="H9" s="5" t="s">
        <v>557</v>
      </c>
    </row>
    <row r="10" spans="2:8">
      <c r="B10" s="4" t="s">
        <v>949</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948</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557</v>
      </c>
    </row>
    <row r="15" spans="2:8">
      <c r="B15" s="4" t="s">
        <v>955</v>
      </c>
      <c r="C15">
        <f xml:space="preserve"> _EBRD.OvalHalfSeparation + _EBRD.OvalHalfWidth</f>
        <v>12</v>
      </c>
    </row>
    <row r="16" spans="2:8">
      <c r="B16" s="4" t="s">
        <v>957</v>
      </c>
      <c r="C16">
        <f xml:space="preserve"> _EBRD.OvalHalfHeight</f>
        <v>12</v>
      </c>
    </row>
    <row r="17" spans="2:3">
      <c r="B17" s="4" t="s">
        <v>954</v>
      </c>
      <c r="C17">
        <f xml:space="preserve"> - _EBRD.MaxX</f>
        <v>-12</v>
      </c>
    </row>
    <row r="18" spans="2:3">
      <c r="B18" s="4" t="s">
        <v>956</v>
      </c>
      <c r="C18">
        <f xml:space="preserve"> - _EBRD.MaxY</f>
        <v>-12</v>
      </c>
    </row>
    <row r="20" spans="2:3">
      <c r="B20" s="4" t="s">
        <v>950</v>
      </c>
      <c r="C20" s="26">
        <f xml:space="preserve"> MODE(Circles.AreaMultiplier)</f>
        <v>1</v>
      </c>
    </row>
    <row r="21" spans="2:3">
      <c r="B21" s="4" t="s">
        <v>951</v>
      </c>
      <c r="C21">
        <f xml:space="preserve"> MAX( _EBRD.MaxY, -  _EBRD.MinY) / MAX( _EBRD.MaxX, -  _EBRD.MinX)</f>
        <v>1</v>
      </c>
    </row>
    <row r="22" spans="2:3">
      <c r="B22" s="4" t="s">
        <v>952</v>
      </c>
      <c r="C22">
        <f xml:space="preserve"> VALUE(TEXT(SQRT(_EBRD.AreaMultiplier * BasicBBoxArea * _EBRD.Aspect), SVG.NumberFormatHeight))</f>
        <v>10</v>
      </c>
    </row>
    <row r="23" spans="2:3">
      <c r="B23" s="4" t="s">
        <v>953</v>
      </c>
      <c r="C23" cm="1">
        <f t="array" ref="C23" xml:space="preserve"> _EBRD.Height / _EBRD.Aspect</f>
        <v>10</v>
      </c>
    </row>
    <row r="25" spans="2:3">
      <c r="B25" s="4" t="s">
        <v>960</v>
      </c>
      <c r="C25" s="5" t="s">
        <v>1490</v>
      </c>
    </row>
    <row r="26" spans="2:3">
      <c r="B26" s="4" t="s">
        <v>961</v>
      </c>
      <c r="C26" s="5" t="s">
        <v>2073</v>
      </c>
    </row>
    <row r="29" spans="2:3" ht="17" thickBot="1">
      <c r="C29" s="3" t="s">
        <v>958</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width='10' height='10' viewBox='-12 -12 24 24'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981</v>
      </c>
    </row>
    <row r="3" spans="2:16">
      <c r="F3">
        <f xml:space="preserve"> DecimalPlaces - INT(LOG(MIN(  MAX(_NIB.RawX) - MIN(_NIB.RawX),  MAX(_NIB.RawY) - MIN(_NIB.RawY)  )/2, 10) + 0.2)</f>
        <v>4</v>
      </c>
    </row>
    <row r="5" spans="2:16" ht="17" thickBot="1">
      <c r="B5" s="3" t="s">
        <v>982</v>
      </c>
      <c r="C5" s="3" t="s">
        <v>983</v>
      </c>
      <c r="D5" s="3" t="s">
        <v>984</v>
      </c>
      <c r="F5" s="3" t="s">
        <v>1746</v>
      </c>
      <c r="K5" s="3" t="s">
        <v>994</v>
      </c>
      <c r="L5" s="3" t="s">
        <v>995</v>
      </c>
      <c r="M5" s="3" t="s">
        <v>996</v>
      </c>
      <c r="N5" s="3" t="s">
        <v>997</v>
      </c>
      <c r="O5" s="3" t="s">
        <v>998</v>
      </c>
      <c r="P5" s="3" t="s">
        <v>999</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1000</v>
      </c>
      <c r="I17">
        <v>1</v>
      </c>
    </row>
    <row r="18" spans="2:16">
      <c r="H18" s="4" t="s">
        <v>1001</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989</v>
      </c>
      <c r="F32">
        <f xml:space="preserve"> ROUND( MIN(_NIB.RawX), _NIB.DecimalPlaces)</f>
        <v>-9</v>
      </c>
    </row>
    <row r="33" spans="4:6">
      <c r="E33" s="4" t="s">
        <v>990</v>
      </c>
      <c r="F33">
        <f xml:space="preserve"> ROUND(MAX(_NIB.RawX), _NIB.DecimalPlaces)</f>
        <v>9</v>
      </c>
    </row>
    <row r="34" spans="4:6">
      <c r="E34" s="4" t="s">
        <v>991</v>
      </c>
      <c r="F34">
        <f xml:space="preserve"> ROUND( MIN(_NIB.RawY), _NIB.DecimalPlaces)</f>
        <v>-9</v>
      </c>
    </row>
    <row r="35" spans="4:6">
      <c r="E35" s="4" t="s">
        <v>992</v>
      </c>
      <c r="F35">
        <f xml:space="preserve"> ROUND(MAX(_NIB.RawY), _NIB.DecimalPlaces)</f>
        <v>9</v>
      </c>
    </row>
    <row r="37" spans="4:6">
      <c r="E37" s="4" t="s">
        <v>985</v>
      </c>
      <c r="F37" s="26">
        <f xml:space="preserve"> MODE(Squares.AreaMultiplier)</f>
        <v>0.85</v>
      </c>
    </row>
    <row r="38" spans="4:6">
      <c r="E38" s="4" t="s">
        <v>986</v>
      </c>
      <c r="F38">
        <f xml:space="preserve"> MAX( _NIB.MaxY, -  _NIB.MinY) / MAX( _NIB.MaxX, -  _NIB.MinX)</f>
        <v>1</v>
      </c>
    </row>
    <row r="39" spans="4:6">
      <c r="E39" s="4" t="s">
        <v>987</v>
      </c>
      <c r="F39">
        <f xml:space="preserve"> VALUE(TEXT(SQRT(_NIB.AreaMultiplier* BasicBBoxArea * _NIB.Aspect), SVG.NumberFormatHeight))</f>
        <v>9.1999999999999993</v>
      </c>
    </row>
    <row r="40" spans="4:6">
      <c r="E40" s="4" t="s">
        <v>988</v>
      </c>
      <c r="F40" cm="1">
        <f t="array" ref="F40" xml:space="preserve"> _NIB.Height / _NIB.Aspect</f>
        <v>9.1999999999999993</v>
      </c>
    </row>
    <row r="42" spans="4:6">
      <c r="E42" s="4" t="s">
        <v>1002</v>
      </c>
      <c r="F42" t="s">
        <v>1004</v>
      </c>
    </row>
    <row r="43" spans="4:6">
      <c r="E43" s="4" t="s">
        <v>1003</v>
      </c>
      <c r="F43" t="s">
        <v>1005</v>
      </c>
    </row>
    <row r="45" spans="4:6" ht="17" thickBot="1">
      <c r="F45" s="3" t="s">
        <v>993</v>
      </c>
    </row>
    <row r="46" spans="4:6">
      <c r="D46" cm="1">
        <f t="array" ref="D46" xml:space="preserve"> SVG_length(_NIB.svg)</f>
        <v>229</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width='9.2' height='9.2' viewBox='-9 -9 18 18'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1679</v>
      </c>
      <c r="C2">
        <v>6</v>
      </c>
    </row>
    <row r="3" spans="2:3">
      <c r="B3" s="4" t="s">
        <v>1680</v>
      </c>
      <c r="C3">
        <f xml:space="preserve"> _AIIB.RadiusOuter - 1</f>
        <v>5</v>
      </c>
    </row>
    <row r="5" spans="2:3">
      <c r="B5" s="4" t="s">
        <v>962</v>
      </c>
      <c r="C5">
        <f xml:space="preserve"> DecimalPlaces - INT(LOG(_AIIB.RadiusOuter, 10) + 0.2)</f>
        <v>5</v>
      </c>
    </row>
    <row r="7" spans="2:3">
      <c r="B7" s="4" t="s">
        <v>975</v>
      </c>
      <c r="C7">
        <v>1</v>
      </c>
    </row>
    <row r="8" spans="2:3">
      <c r="B8" s="4" t="s">
        <v>976</v>
      </c>
      <c r="C8">
        <f xml:space="preserve"> _AIIB.X1 + _AIIB.RadiusOuter - _AIIB.RadiusInner</f>
        <v>2</v>
      </c>
    </row>
    <row r="9" spans="2:3">
      <c r="B9" s="4" t="s">
        <v>977</v>
      </c>
      <c r="C9">
        <f xml:space="preserve"> ROUND(SQRT( AVERAGE(_AIIB.RadiusOuter, _AIIB.RadiusInner)^2 - _AIIB.X1^2 ), _AIIB.DecimalPlaces - 4)</f>
        <v>5.4</v>
      </c>
    </row>
    <row r="10" spans="2:3">
      <c r="B10" s="4" t="s">
        <v>978</v>
      </c>
      <c r="C10">
        <f xml:space="preserve"> ROUND(SQRT( AVERAGE(_AIIB.RadiusOuter, _AIIB.RadiusInner)^2 - _AIIB.X2^2 ), _AIIB.DecimalPlaces - 4)</f>
        <v>5.0999999999999996</v>
      </c>
    </row>
    <row r="12" spans="2:3">
      <c r="B12" s="4" t="s">
        <v>969</v>
      </c>
      <c r="C12">
        <f xml:space="preserve"> _AIIB.RadiusOuter</f>
        <v>6</v>
      </c>
    </row>
    <row r="13" spans="2:3">
      <c r="B13" s="4" t="s">
        <v>970</v>
      </c>
      <c r="C13">
        <f xml:space="preserve"> _AIIB.MaxX</f>
        <v>6</v>
      </c>
    </row>
    <row r="14" spans="2:3">
      <c r="B14" s="4" t="s">
        <v>971</v>
      </c>
      <c r="C14" cm="1">
        <f t="array" ref="C14" xml:space="preserve"> - _AIIB.MaxX</f>
        <v>-6</v>
      </c>
    </row>
    <row r="15" spans="2:3">
      <c r="B15" s="4" t="s">
        <v>972</v>
      </c>
      <c r="C15" cm="1">
        <f t="array" ref="C15" xml:space="preserve"> - _AIIB.MaxY</f>
        <v>-6</v>
      </c>
    </row>
    <row r="17" spans="2:3">
      <c r="B17" s="4" t="s">
        <v>963</v>
      </c>
      <c r="C17" s="26">
        <f xml:space="preserve"> MODE(Circles.AreaMultiplier)</f>
        <v>1</v>
      </c>
    </row>
    <row r="18" spans="2:3">
      <c r="B18" s="4" t="s">
        <v>964</v>
      </c>
      <c r="C18">
        <f xml:space="preserve"> MAX( _AIIB.MaxY, -  _AIIB.MinY) / MAX( _AIIB.MaxX, -  _AIIB.MinX)</f>
        <v>1</v>
      </c>
    </row>
    <row r="19" spans="2:3">
      <c r="B19" s="4" t="s">
        <v>965</v>
      </c>
      <c r="C19">
        <f xml:space="preserve"> VALUE(TEXT(SQRT(_AIIB.AreaMultiplier * BasicBBoxArea * _AIIB.Aspect), SVG.NumberFormatHeight))</f>
        <v>10</v>
      </c>
    </row>
    <row r="20" spans="2:3">
      <c r="B20" s="4" t="s">
        <v>966</v>
      </c>
      <c r="C20" cm="1">
        <f t="array" ref="C20" xml:space="preserve"> _AIIB.Height / _AIIB.Aspect</f>
        <v>10</v>
      </c>
    </row>
    <row r="22" spans="2:3">
      <c r="B22" s="4" t="s">
        <v>967</v>
      </c>
      <c r="C22" s="5" t="s">
        <v>974</v>
      </c>
    </row>
    <row r="23" spans="2:3">
      <c r="B23" s="4" t="s">
        <v>968</v>
      </c>
      <c r="C23" s="5" t="s">
        <v>2073</v>
      </c>
    </row>
    <row r="25" spans="2:3" ht="17" thickBot="1">
      <c r="C25" s="3" t="s">
        <v>973</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width='10' height='10' viewBox='-6 -6 12 12'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1662</v>
      </c>
      <c r="E2" t="s">
        <v>929</v>
      </c>
    </row>
    <row r="3" spans="2:5">
      <c r="B3" s="34">
        <v>6</v>
      </c>
      <c r="E3" s="34">
        <f xml:space="preserve"> DecimalPlaces - INT(LOG(MIN(  MAX(_IsDB.RawX) - MIN(_IsDB.RawX),  MAX(_IsDB.RawY) - MIN(_IsDB.RawY)  )/2, 10) + 0.2)</f>
        <v>5</v>
      </c>
    </row>
    <row r="5" spans="2:5" ht="17" thickBot="1">
      <c r="B5" s="3" t="s">
        <v>930</v>
      </c>
      <c r="C5" s="3" t="s">
        <v>931</v>
      </c>
      <c r="E5" s="3" t="s">
        <v>1747</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938</v>
      </c>
      <c r="E14">
        <f xml:space="preserve"> ROUND( MIN(_IsDB.RawX), _IsDB.DecimalPlaces)</f>
        <v>-6.9282000000000004</v>
      </c>
    </row>
    <row r="15" spans="2:5">
      <c r="D15" s="4" t="s">
        <v>939</v>
      </c>
      <c r="E15">
        <f xml:space="preserve"> ROUND(MAX(_IsDB.RawX), _IsDB.DecimalPlaces)</f>
        <v>6.9282000000000004</v>
      </c>
    </row>
    <row r="16" spans="2:5">
      <c r="D16" s="4" t="s">
        <v>940</v>
      </c>
      <c r="E16">
        <f xml:space="preserve"> ROUND( MIN(_IsDB.RawY), _IsDB.DecimalPlaces)</f>
        <v>-6</v>
      </c>
    </row>
    <row r="17" spans="3:5">
      <c r="D17" s="4" t="s">
        <v>941</v>
      </c>
      <c r="E17">
        <f xml:space="preserve"> ROUND(MAX(_IsDB.RawY), _IsDB.DecimalPlaces)</f>
        <v>6</v>
      </c>
    </row>
    <row r="19" spans="3:5">
      <c r="D19" s="4" t="s">
        <v>932</v>
      </c>
      <c r="E19" s="26">
        <f xml:space="preserve"> FR.AreaMultiplier</f>
        <v>1.0625</v>
      </c>
    </row>
    <row r="20" spans="3:5">
      <c r="D20" s="4" t="s">
        <v>933</v>
      </c>
      <c r="E20">
        <f xml:space="preserve"> MAX( _IsDB.MaxY, -  _IsDB.MinY) / MAX( _IsDB.MaxX, -  _IsDB.MinX)</f>
        <v>0.86602580756906555</v>
      </c>
    </row>
    <row r="21" spans="3:5">
      <c r="D21" s="4" t="s">
        <v>934</v>
      </c>
      <c r="E21">
        <f xml:space="preserve"> VALUE(TEXT(SQRT(_IsDB.AreaMultiplier * BasicBBoxArea * _IsDB.Aspect), SVG.NumberFormatHeight))</f>
        <v>9.6</v>
      </c>
    </row>
    <row r="22" spans="3:5">
      <c r="D22" s="4" t="s">
        <v>935</v>
      </c>
      <c r="E22" cm="1">
        <f t="array" ref="E22" xml:space="preserve"> _IsDB.Height / _IsDB.Aspect</f>
        <v>11.08512</v>
      </c>
    </row>
    <row r="24" spans="3:5">
      <c r="D24" s="4" t="s">
        <v>936</v>
      </c>
      <c r="E24" t="s">
        <v>730</v>
      </c>
    </row>
    <row r="25" spans="3:5">
      <c r="D25" s="4" t="s">
        <v>937</v>
      </c>
      <c r="E25" t="s">
        <v>2073</v>
      </c>
    </row>
    <row r="27" spans="3:5">
      <c r="D27" s="4" t="s">
        <v>944</v>
      </c>
      <c r="E27" cm="1">
        <f t="array" ref="E27" xml:space="preserve"> ROUND( MAX(_IsDB.MaxX,_IsDB.MaxY) * (Sqrt3 / 2) * (2/3), _IsDB.DecimalPlaces )</f>
        <v>4</v>
      </c>
    </row>
    <row r="30" spans="3:5" ht="17" thickBot="1">
      <c r="E30" s="3" t="s">
        <v>942</v>
      </c>
    </row>
    <row r="31" spans="3:5">
      <c r="C31" cm="1">
        <f t="array" ref="C31" xml:space="preserve"> SVG_length(_IsDB.svg)</f>
        <v>231</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width='11.08512' height='9.6' viewBox='-6.9282 -6 13.8564 12'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9"/>
  <sheetViews>
    <sheetView workbookViewId="0">
      <selection activeCell="B2" sqref="B2"/>
    </sheetView>
  </sheetViews>
  <sheetFormatPr baseColWidth="10" defaultRowHeight="16"/>
  <cols>
    <col min="15" max="15" width="10.83203125" style="5"/>
  </cols>
  <sheetData>
    <row r="2" spans="2:15" ht="17" thickBot="1">
      <c r="F2" s="3" t="s">
        <v>1017</v>
      </c>
      <c r="G2" s="3" t="s">
        <v>1035</v>
      </c>
      <c r="H2" s="3" t="s">
        <v>1019</v>
      </c>
      <c r="I2" s="3" t="s">
        <v>1018</v>
      </c>
      <c r="K2" s="3" t="s">
        <v>1015</v>
      </c>
      <c r="L2" s="3" t="s">
        <v>1016</v>
      </c>
      <c r="M2" s="3" t="s">
        <v>1021</v>
      </c>
      <c r="O2" s="35" t="s">
        <v>1030</v>
      </c>
    </row>
    <row r="3" spans="2:15">
      <c r="B3" s="4" t="s">
        <v>1036</v>
      </c>
      <c r="C3">
        <v>90</v>
      </c>
    </row>
    <row r="4" spans="2:15">
      <c r="B4" s="4" t="s">
        <v>1032</v>
      </c>
      <c r="C4">
        <f xml:space="preserve"> _NDB.RadiusMaster * 8/3</f>
        <v>240</v>
      </c>
      <c r="F4" t="s">
        <v>1033</v>
      </c>
      <c r="K4">
        <f xml:space="preserve"> _NDB.TriangleEdge / 2 -_NDB.Radius</f>
        <v>30</v>
      </c>
      <c r="L4" cm="1">
        <f t="array" ref="L4" xml:space="preserve"> - _NDB.TriangleEdge * Sqrt3 / 6</f>
        <v>-69.282032302755084</v>
      </c>
      <c r="M4">
        <f xml:space="preserve"> _NDB.RadiusMaster</f>
        <v>90</v>
      </c>
    </row>
    <row r="5" spans="2:15">
      <c r="B5" s="4" t="s">
        <v>1045</v>
      </c>
      <c r="C5">
        <f xml:space="preserve"> _NDB.TriangleEdge^2 / _NDB.RadiusMaster / 8  -  _NDB.RadiusMaster / 2</f>
        <v>35</v>
      </c>
      <c r="F5" t="s">
        <v>1033</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1046</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1020</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1042</v>
      </c>
      <c r="C14" s="5" t="s">
        <v>1039</v>
      </c>
    </row>
    <row r="15" spans="2:15">
      <c r="B15" s="4" t="s">
        <v>1043</v>
      </c>
      <c r="C15" s="5" t="s">
        <v>1040</v>
      </c>
    </row>
    <row r="16" spans="2:15">
      <c r="F16" t="s">
        <v>1044</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1026</v>
      </c>
      <c r="C17">
        <f xml:space="preserve"> CEILING( _xlfn.MAXIFS(_NDB.RawX,   _NDB.Part,"Outer"), 10^-_NDB.DecimalPlaces )</f>
        <v>70.203000000000003</v>
      </c>
      <c r="F17" t="s">
        <v>1044</v>
      </c>
      <c r="G17">
        <v>120</v>
      </c>
      <c r="H17">
        <f xml:space="preserve"> COS(_NDB.Degrees * PI() / 180)</f>
        <v>-0.49999999999999983</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1027</v>
      </c>
      <c r="C18">
        <f xml:space="preserve"> CEILING(_xlfn.MAXIFS(_NDB.RawY,   _NDB.Part,"Outer"), 10^-_NDB.DecimalPlaces)</f>
        <v>74.686000000000007</v>
      </c>
    </row>
    <row r="19" spans="2:17">
      <c r="B19" s="4" t="s">
        <v>1028</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1029</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1022</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1023</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1024</v>
      </c>
      <c r="C24">
        <f xml:space="preserve"> VALUE(TEXT( SQRT(_NDB.AreaMultiplier * BasicBBoxArea * _NDB.Aspect), SVG.NumberFormatHeight))</f>
        <v>11.2</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1025</v>
      </c>
      <c r="C25">
        <f xml:space="preserve"> _NDB.Height / _NDB.Aspect</f>
        <v>11.2</v>
      </c>
    </row>
    <row r="28" spans="2:17">
      <c r="C28" cm="1">
        <f t="array" ref="C28" xml:space="preserve"> SVG_length(_NDB.svg)</f>
        <v>568</v>
      </c>
      <c r="F28" t="s">
        <v>1034</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1034</v>
      </c>
      <c r="G29">
        <v>120</v>
      </c>
      <c r="H29">
        <f xml:space="preserve"> COS(_NDB.Degrees * PI() / 180)</f>
        <v>-0.49999999999999983</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2: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2: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2: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2: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2:15">
      <c r="F38" t="s">
        <v>1041</v>
      </c>
      <c r="G38" t="e">
        <f xml:space="preserve"> NA()</f>
        <v>#N/A</v>
      </c>
      <c r="H38" t="e">
        <f t="shared" si="5"/>
        <v>#N/A</v>
      </c>
      <c r="I38" t="e">
        <f t="shared" si="6"/>
        <v>#N/A</v>
      </c>
      <c r="M38" s="42" t="e">
        <f xml:space="preserve"> NA()</f>
        <v>#N/A</v>
      </c>
    </row>
    <row r="40" spans="2:15">
      <c r="B40" s="4" t="s">
        <v>2760</v>
      </c>
      <c r="C40">
        <f xml:space="preserve"> ROUND(_xlfn.SINGLE(_NDB.Width) * (_xlfn.SINGLE(_NDB.MaxX) - _xlfn.SINGLE(_NDB.MinX)) / MAX(_xlfn.SINGLE(_NDB.MaxX),  -_xlfn.SINGLE(_NDB.MinX)) / 2, svgSizeDecimalPlaces)</f>
        <v>10.863860000000001</v>
      </c>
    </row>
    <row r="41" spans="2:15">
      <c r="B41" s="4" t="s">
        <v>2761</v>
      </c>
      <c r="C41">
        <f xml:space="preserve"> ROUND(_xlfn.SINGLE(_NDB.Height) * (_xlfn.SINGLE(_NDB.MaxY) - _xlfn.SINGLE(_NDB.MinY)) / MAX(_xlfn.SINGLE(_NDB.MaxY),  -_xlfn.SINGLE(_NDB.MinY)) / 2, svgSizeDecimalPlaces)</f>
        <v>10.863860000000001</v>
      </c>
    </row>
    <row r="42" spans="2:15">
      <c r="B42" s="4" t="s">
        <v>2731</v>
      </c>
      <c r="C42" s="5" t="str">
        <f xml:space="preserve"> _xlfn.LET(_xlpm.multLinear,IF(SizeConstant, SQRT(AreaMultiplier_Max / _xlfn.SINGLE(_NDB.AreaMultiplier)), 1),   _xlpm.dp,_xlfn.SINGLE(_NDB.DecimalPlaces),
_xlpm.minX,ROUND(_xlpm.multLinear * _xlfn.SINGLE(_NDB.MinX), _xlpm.dp),
_xlpm.minY,ROUND(_xlpm.multLinear * _xlfn.SINGLE(_NDB.MinY), _xlpm.dp),
_xlpm.maxX,ROUND(_xlpm.multLinear * _xlfn.SINGLE(_NDB.MaxX), _xlpm.dp),
_xlpm.maxY,ROUND(_xlpm.multLinear * _xlfn.SINGLE(_NDB.MaxY), _xlpm.dp),  _xlpm.minX &amp; " " &amp; _xlpm.minY &amp; " " &amp; ROUND(_xlpm.maxX - _xlpm.minX, _xlpm.dp) &amp; " " &amp; ROUND(_xlpm.maxY - _xlpm.minY, _xlpm.dp) )</f>
        <v>-74.686 -70.203 144.889 144.889</v>
      </c>
    </row>
    <row r="44" spans="2:15" ht="17" thickBot="1">
      <c r="O44" s="35" t="s">
        <v>1037</v>
      </c>
    </row>
    <row r="45" spans="2:15">
      <c r="O45"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_NDB.DecimalPlaces) &amp; " "
&amp; ROUND(IF(SizeConstant, SQRT(AreaMultiplier_Max / _xlfn.SINGLE(_NDB.AreaMultiplier)), 1) * MIN(-_xlfn.SINGLE(_NDB.MaxY), _xlfn.SINGLE(_NDB.MinY)), _NDB.DecimalPlaces) &amp; " "
&amp; ROUND(IF(SizeConstant, SQRT(AreaMultiplier_Max / _xlfn.SINGLE(_NDB.AreaMultiplier)), 1) * MAX(_xlfn.SINGLE(_NDB.MaxX), -_xlfn.SINGLE(_NDB.MinX)), _NDB.DecimalPlaces)*2 &amp; " "
&amp; ROUND(IF(SizeConstant, SQRT(AreaMultiplier_Max / _xlfn.SINGLE(_NDB.AreaMultiplier)), 1) * MAX(_xlfn.SINGLE(_NDB.MaxY), -_xlfn.SINGLE(_NDB.MinY)), _NDB.DecimalPlaces)*2   &amp; "' " &amp; SVG.SVG_Attributes_repeated &amp; "&gt;"</f>
        <v>&lt;svg width='11.2' height='11.2' viewBox='-74.686 -74.686 149.372 149.372'  id='%thisID%' xmlns='http://www.w3.org/2000/svg'&gt;</v>
      </c>
    </row>
    <row r="46" spans="2:15">
      <c r="O46" s="5" t="str" cm="1">
        <f t="array" ref="O46"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7" spans="2:15">
      <c r="O47" s="5" t="str" cm="1">
        <f t="array" ref="O47"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8" spans="2:15">
      <c r="O48" s="5" t="str" cm="1">
        <f t="array" ref="O48"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9" spans="15:15">
      <c r="O49" s="5" t="s">
        <v>15</v>
      </c>
    </row>
  </sheetData>
  <pageMargins left="0.7" right="0.7" top="0.75" bottom="0.75" header="0.3" footer="0.3"/>
  <pageSetup paperSize="9" orientation="portrait" horizontalDpi="0" verticalDpi="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2165</v>
      </c>
      <c r="D2" s="3" t="s">
        <v>2166</v>
      </c>
      <c r="E2" s="3" t="s">
        <v>2197</v>
      </c>
      <c r="I2" t="s">
        <v>2149</v>
      </c>
    </row>
    <row r="3" spans="3:36">
      <c r="C3">
        <v>60</v>
      </c>
      <c r="D3">
        <f xml:space="preserve"> FLOOR(_IADB.RadiusI * 6/5, 1)</f>
        <v>72</v>
      </c>
      <c r="E3">
        <f xml:space="preserve"> _IADB.RadiusI * -0.073722838915784</f>
        <v>-4.4233703349470401</v>
      </c>
      <c r="I3" s="34">
        <f xml:space="preserve"> DecimalPlaces - INT(LOG(_IADB.RadiusO, 10) + 0.2)</f>
        <v>3</v>
      </c>
      <c r="T3" s="4" t="s">
        <v>2172</v>
      </c>
      <c r="U3">
        <f t="array" ref="U3:V5" xml:space="preserve"> $D$22:$E$24</f>
        <v>34.778228978880634</v>
      </c>
      <c r="V3">
        <v>17.493275692479227</v>
      </c>
      <c r="Z3" s="4" t="s">
        <v>2182</v>
      </c>
      <c r="AA3" cm="1">
        <f t="array" ref="AA3:AB6" xml:space="preserve"> D25:E28</f>
        <v>17.693481339788161</v>
      </c>
      <c r="AB3">
        <v>0</v>
      </c>
    </row>
    <row r="4" spans="3:36">
      <c r="T4" s="4" t="s">
        <v>2173</v>
      </c>
      <c r="U4">
        <v>43.759270416190446</v>
      </c>
      <c r="V4">
        <v>6.5164472691005715</v>
      </c>
      <c r="Z4" s="4" t="s">
        <v>2183</v>
      </c>
      <c r="AA4">
        <v>0</v>
      </c>
      <c r="AB4">
        <v>-4.4233703349470401</v>
      </c>
    </row>
    <row r="5" spans="3:36">
      <c r="T5" s="4" t="s">
        <v>2174</v>
      </c>
      <c r="U5">
        <v>30.000000000000004</v>
      </c>
      <c r="V5">
        <v>3.0766296650529608</v>
      </c>
      <c r="Z5" s="4" t="s">
        <v>2184</v>
      </c>
      <c r="AA5">
        <v>0</v>
      </c>
      <c r="AB5">
        <v>-4.4233703349470401</v>
      </c>
    </row>
    <row r="6" spans="3:36">
      <c r="E6">
        <v>-6.1629474202226898E-2</v>
      </c>
      <c r="F6">
        <v>5.0115259951281468</v>
      </c>
      <c r="Z6" s="4" t="s">
        <v>2193</v>
      </c>
      <c r="AA6">
        <v>0</v>
      </c>
      <c r="AB6">
        <v>-22.700000000000003</v>
      </c>
    </row>
    <row r="7" spans="3:36">
      <c r="E7">
        <v>-7.4999999999999997E-2</v>
      </c>
      <c r="F7">
        <v>6.1043176067272302</v>
      </c>
    </row>
    <row r="8" spans="3:36">
      <c r="E8">
        <f xml:space="preserve"> ( (F7-6)*E6 + (6-F6)*E7 ) / (F7 - F6)</f>
        <v>-7.3723653039514642E-2</v>
      </c>
      <c r="F8">
        <v>6.0000523400182324</v>
      </c>
      <c r="T8" s="4" t="s">
        <v>2175</v>
      </c>
      <c r="U8" cm="1">
        <f t="array" ref="U8:V8" xml:space="preserve"> _IADB.Quartic_Z0</f>
        <v>34.778228978880634</v>
      </c>
      <c r="V8">
        <v>17.493275692479227</v>
      </c>
      <c r="Z8" s="4" t="s">
        <v>2185</v>
      </c>
      <c r="AA8" cm="1">
        <f t="array" ref="AA8:AB8" xml:space="preserve"> _IADB.Cubic_Z0</f>
        <v>17.693481339788161</v>
      </c>
      <c r="AB8">
        <v>0</v>
      </c>
    </row>
    <row r="9" spans="3:36">
      <c r="E9">
        <f xml:space="preserve"> ( (F8-6)*E7 + (6-F7)*E8 ) / (F8 - F7)</f>
        <v>-7.3723012327364834E-2</v>
      </c>
      <c r="F9">
        <v>6.0000111486410219</v>
      </c>
      <c r="T9" s="4" t="s">
        <v>2176</v>
      </c>
      <c r="U9" cm="1">
        <f t="array" ref="U9:V9" xml:space="preserve"> 2 * (_IADB.Quartic_Z1 - _IADB.Quartic_Z0)</f>
        <v>17.962082874619625</v>
      </c>
      <c r="V9">
        <v>-21.953656846757312</v>
      </c>
      <c r="Z9" s="4" t="s">
        <v>2186</v>
      </c>
      <c r="AA9" cm="1">
        <f t="array" ref="AA9:AB9" xml:space="preserve"> 3 * (_IADB.Cubic_Z1 - _IADB.Cubic_Z0)</f>
        <v>-53.080444019364478</v>
      </c>
      <c r="AB9">
        <v>-13.270111004841119</v>
      </c>
    </row>
    <row r="10" spans="3:36">
      <c r="E10">
        <f xml:space="preserve"> ( (F9-6)*E8 + (6-F8)*E9 ) / (F9 - F8)</f>
        <v>-7.3722838915591796E-2</v>
      </c>
      <c r="F10">
        <v>5.999999999987641</v>
      </c>
      <c r="T10" s="4" t="s">
        <v>2177</v>
      </c>
      <c r="U10" cm="1">
        <f t="array" ref="U10:V10" xml:space="preserve"> _IADB.Quartic_Z2 + _IADB.Quartic_Z0 - 2*_IADB.Quartic_Z1</f>
        <v>-22.740311853500259</v>
      </c>
      <c r="V10">
        <v>7.5370108193310426</v>
      </c>
      <c r="Z10" s="4" t="s">
        <v>2187</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2194</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2203</v>
      </c>
      <c r="Z13" s="3" t="s">
        <v>2204</v>
      </c>
      <c r="AA13" s="3" t="s">
        <v>2205</v>
      </c>
      <c r="AB13" s="3" t="s">
        <v>2206</v>
      </c>
      <c r="AC13" s="3" t="s">
        <v>2207</v>
      </c>
      <c r="AG13" s="3" t="s">
        <v>2210</v>
      </c>
      <c r="AJ13" s="3" t="s">
        <v>2209</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2164</v>
      </c>
      <c r="D20" s="3" t="s">
        <v>2150</v>
      </c>
      <c r="E20" s="3" t="s">
        <v>2151</v>
      </c>
      <c r="F20" s="3" t="s">
        <v>2171</v>
      </c>
      <c r="I20" s="3" t="s">
        <v>2152</v>
      </c>
      <c r="S20" s="3" t="s">
        <v>2181</v>
      </c>
      <c r="T20" s="3" t="s">
        <v>2180</v>
      </c>
      <c r="U20" s="3" t="s">
        <v>2178</v>
      </c>
      <c r="V20" s="3" t="s">
        <v>2179</v>
      </c>
      <c r="Y20" s="3" t="s">
        <v>2188</v>
      </c>
      <c r="Z20" s="3" t="s">
        <v>2189</v>
      </c>
      <c r="AA20" s="3" t="s">
        <v>2190</v>
      </c>
      <c r="AB20" s="3" t="s">
        <v>2191</v>
      </c>
      <c r="AC20" s="3" t="s">
        <v>2192</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2167</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2168</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2169</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2170</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2208</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2169</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2168</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2170</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2208</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2154</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2156</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2153</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2155</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2157</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2158</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2159</v>
      </c>
      <c r="I46" cm="1">
        <f t="array" ref="I46" xml:space="preserve"> VALUE(TEXT(SQRT(_IADB.AreaMultiplier * BasicBBoxArea * _IADB.Aspect), SVG.NumberFormatHeight))</f>
        <v>10</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2160</v>
      </c>
      <c r="I47" cm="1">
        <f t="array" ref="I47" xml:space="preserve"> _IADB.Height / _IADB.Aspect</f>
        <v>10</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2161</v>
      </c>
      <c r="I49" s="5" t="s">
        <v>979</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2162</v>
      </c>
      <c r="I50" s="5" t="s">
        <v>2073</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2196</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2163</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2195</v>
      </c>
      <c r="E53" cm="1">
        <f t="array" ref="E53" xml:space="preserve"> SVG_length(_IADB.svg)</f>
        <v>340</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width='10' height='10'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2198</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2199</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2200</v>
      </c>
      <c r="I57" s="5" t="s">
        <v>15</v>
      </c>
    </row>
    <row r="58" spans="3:29">
      <c r="C58" t="s">
        <v>2200</v>
      </c>
    </row>
    <row r="59" spans="3:29">
      <c r="C59" t="s">
        <v>2201</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2202</v>
      </c>
      <c r="E65">
        <f xml:space="preserve"> ($E23 - $E21) / ($D23 - $D21)</f>
        <v>0.14891581160113579</v>
      </c>
    </row>
    <row r="66" spans="3:5">
      <c r="C66" t="s">
        <v>2202</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1506</v>
      </c>
      <c r="G2" s="3" t="s">
        <v>1507</v>
      </c>
      <c r="H2" s="3" t="s">
        <v>1508</v>
      </c>
      <c r="I2" s="3" t="s">
        <v>1509</v>
      </c>
      <c r="J2" s="3" t="s">
        <v>1510</v>
      </c>
      <c r="K2" s="3" t="s">
        <v>1511</v>
      </c>
      <c r="L2" s="3" t="s">
        <v>1512</v>
      </c>
      <c r="M2" s="3" t="s">
        <v>1513</v>
      </c>
      <c r="O2" s="3" t="s">
        <v>1519</v>
      </c>
      <c r="P2" s="35" t="s">
        <v>1505</v>
      </c>
    </row>
    <row r="3" spans="2:16">
      <c r="B3" s="4" t="s">
        <v>1514</v>
      </c>
      <c r="C3">
        <v>400</v>
      </c>
    </row>
    <row r="4" spans="2:16">
      <c r="B4" s="4" t="s">
        <v>1515</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1520</v>
      </c>
      <c r="P4" s="5" t="str">
        <f xml:space="preserve"> _xlfn.TEXTJOIN(" ",TRUE, "M", _xlfn.SINGLE(_IBRD.X1), _xlfn.SINGLE(_IBRD.Y1), " A ", _xlfn.SINGLE(_IBRD.Radius), _xlfn.SINGLE(_IBRD.Radius), 0, 0, 0, _xlfn.SINGLE(_IBRD.X2), _xlfn.SINGLE(_IBRD.Y2))</f>
        <v>M 309.027 219.416  A  530 530 0 0 0 -309.027 219.416</v>
      </c>
    </row>
    <row r="5" spans="2:16">
      <c r="B5" s="4" t="s">
        <v>1516</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1520</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1517</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1520</v>
      </c>
      <c r="P7" s="5" t="str">
        <f xml:space="preserve"> _xlfn.TEXTJOIN(" ",TRUE, "M", _xlfn.SINGLE(_IBRD.X1), _xlfn.SINGLE(_IBRD.Y1), " A ", _xlfn.SINGLE(_IBRD.Radius), _xlfn.SINGLE(_IBRD.Radius), 0, 0, 1, _xlfn.SINGLE(_IBRD.X2), _xlfn.SINGLE(_IBRD.Y2))</f>
        <v>M 309.027 -219.416  A  530 530 0 0 1 -309.027 -219.416</v>
      </c>
    </row>
    <row r="8" spans="2:16">
      <c r="B8" s="4" t="s">
        <v>910</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1520</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911</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1521</v>
      </c>
      <c r="P10" s="5" t="str">
        <f xml:space="preserve"> _xlfn.TEXTJOIN(" ",TRUE, "M", _xlfn.SINGLE(_IBRD.X1), _xlfn.SINGLE(_IBRD.Y1), " A ", _xlfn.SINGLE(_IBRD.Radius), _xlfn.SINGLE(_IBRD.Radius), 0, 0, 1, _xlfn.SINGLE(_IBRD.X2), _xlfn.SINGLE(_IBRD.Y2))</f>
        <v>M -57.805 374.566  A  518 518 0 0 1 -57.805 -374.566</v>
      </c>
    </row>
    <row r="11" spans="2:16">
      <c r="B11" s="4" t="s">
        <v>912</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1521</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913</v>
      </c>
      <c r="C12" s="28">
        <f xml:space="preserve"> VALUE(TEXT(SQRT(_IBRD.AreaMultiplier* BasicBBoxArea * _IBRD.Aspect), SVG.NumberFormatHeight))</f>
        <v>10</v>
      </c>
    </row>
    <row r="13" spans="2:16">
      <c r="B13" s="4" t="s">
        <v>914</v>
      </c>
      <c r="C13" cm="1">
        <f t="array" ref="C13" xml:space="preserve"> _IBRD.Height / _IBRD.Aspect</f>
        <v>10</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1521</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1521</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916</v>
      </c>
      <c r="C16">
        <v>42</v>
      </c>
      <c r="P16" s="41"/>
    </row>
    <row r="17" spans="2:16" ht="17" thickBot="1">
      <c r="B17" s="4" t="s">
        <v>915</v>
      </c>
      <c r="C17">
        <f xml:space="preserve"> CEILING(400 - _IBRD.LineThickness / 2, 1)</f>
        <v>379</v>
      </c>
      <c r="M17" s="3" t="s">
        <v>1504</v>
      </c>
      <c r="P17" s="35" t="s">
        <v>1518</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width='10' height='10' viewBox='-400 -400 800 800'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2224</v>
      </c>
      <c r="D2" t="s">
        <v>2225</v>
      </c>
      <c r="E2" t="s">
        <v>2226</v>
      </c>
      <c r="G2" t="s">
        <v>2211</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2227</v>
      </c>
      <c r="C5" s="3" t="s">
        <v>2228</v>
      </c>
      <c r="D5" s="3" t="s">
        <v>2212</v>
      </c>
      <c r="E5" s="3" t="s">
        <v>2213</v>
      </c>
      <c r="G5" s="3" t="s">
        <v>2214</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-27.999999999999989</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2.4492935982947065E-15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-1.3716044150450356E-14</v>
      </c>
      <c r="E23">
        <v>56</v>
      </c>
      <c r="G23" t="str">
        <v>L0 -56Z</v>
      </c>
    </row>
    <row r="26" spans="2:7">
      <c r="F26" s="4" t="s">
        <v>2216</v>
      </c>
      <c r="G26">
        <f xml:space="preserve"> _CoEDB.Radius_1</f>
        <v>64</v>
      </c>
    </row>
    <row r="27" spans="2:7">
      <c r="F27" s="4" t="s">
        <v>2218</v>
      </c>
      <c r="G27">
        <f xml:space="preserve"> _CoEDB.MaxX</f>
        <v>64</v>
      </c>
    </row>
    <row r="28" spans="2:7">
      <c r="F28" s="4" t="s">
        <v>2215</v>
      </c>
      <c r="G28">
        <f xml:space="preserve"> - G26</f>
        <v>-64</v>
      </c>
    </row>
    <row r="29" spans="2:7">
      <c r="F29" s="4" t="s">
        <v>2217</v>
      </c>
      <c r="G29">
        <f xml:space="preserve"> - G27</f>
        <v>-64</v>
      </c>
    </row>
    <row r="31" spans="2:7">
      <c r="F31" s="4" t="s">
        <v>2219</v>
      </c>
      <c r="G31" s="26">
        <f xml:space="preserve"> MODE(Circles.AreaMultiplier)</f>
        <v>1</v>
      </c>
    </row>
    <row r="32" spans="2:7">
      <c r="F32" s="4" t="s">
        <v>2220</v>
      </c>
      <c r="G32" cm="1">
        <f t="array" ref="G32" xml:space="preserve">  MAX(_CoEDB.MaxY, - _CoEDB.MinY)   /   MAX(_CoEDB.MaxX, - _CoEDB.MinX)</f>
        <v>1</v>
      </c>
    </row>
    <row r="33" spans="5:7">
      <c r="F33" s="4" t="s">
        <v>2221</v>
      </c>
      <c r="G33" cm="1">
        <f t="array" ref="G33" xml:space="preserve"> VALUE(TEXT(SQRT(_CoEDB.AreaMultiplier * BasicBBoxArea * _CoEDB.Aspect), SVG.NumberFormatHeight))</f>
        <v>10</v>
      </c>
    </row>
    <row r="34" spans="5:7">
      <c r="F34" s="4" t="s">
        <v>2222</v>
      </c>
      <c r="G34" cm="1">
        <f t="array" ref="G34" xml:space="preserve"> _CoEDB.Height / _CoEDB.Aspect</f>
        <v>10</v>
      </c>
    </row>
    <row r="36" spans="5:7">
      <c r="F36" s="4" t="s">
        <v>2229</v>
      </c>
      <c r="G36" s="5" t="s">
        <v>2231</v>
      </c>
    </row>
    <row r="37" spans="5:7">
      <c r="F37" s="4" t="s">
        <v>2230</v>
      </c>
      <c r="G37" s="5" t="s">
        <v>2073</v>
      </c>
    </row>
    <row r="39" spans="5:7" ht="17" thickBot="1">
      <c r="G39" s="3" t="s">
        <v>2223</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width='10' height='10' viewBox='-64 -64 128 128'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2669</v>
      </c>
      <c r="C2">
        <f xml:space="preserve"> 35</f>
        <v>35</v>
      </c>
    </row>
    <row r="3" spans="2:25">
      <c r="B3" s="4" t="s">
        <v>2670</v>
      </c>
      <c r="C3">
        <f xml:space="preserve"> XPF.RadiusOuter * 0.8</f>
        <v>28</v>
      </c>
    </row>
    <row r="4" spans="2:25">
      <c r="B4" s="4" t="s">
        <v>2719</v>
      </c>
      <c r="C4">
        <f xml:space="preserve"> AVERAGE(XPF.RadiusInner,  XPF.RadiusOuter)</f>
        <v>31.5</v>
      </c>
    </row>
    <row r="5" spans="2:25">
      <c r="B5" s="4" t="s">
        <v>2718</v>
      </c>
      <c r="C5">
        <f xml:space="preserve"> _xlfn.LET(_xlpm.r_bet,INT(XPF.RadiusMiddle), IF(AND(XPF.RadiusInner&lt;_xlpm.r_bet, _xlpm.r_bet&lt;XPF.RadiusOuter), _xlpm.r_bet, XPF.RadiusMiddle) )</f>
        <v>31</v>
      </c>
    </row>
    <row r="6" spans="2:25">
      <c r="B6" s="4" t="s">
        <v>2720</v>
      </c>
      <c r="C6">
        <f xml:space="preserve"> XPF.RadiusOuter - XPF.RadiusInner</f>
        <v>7</v>
      </c>
    </row>
    <row r="7" spans="2:25">
      <c r="H7">
        <f xml:space="preserve"> GCD(XPF.RadiusOuter, XPF.RadiusInner, $H$10, $H$14, $I$10, $I$11)</f>
        <v>1</v>
      </c>
      <c r="I7"/>
      <c r="J7"/>
      <c r="K7" s="70"/>
      <c r="L7" s="68"/>
    </row>
    <row r="8" spans="2:25">
      <c r="B8" s="4" t="s">
        <v>2671</v>
      </c>
      <c r="C8">
        <f xml:space="preserve"> DecimalPlaces - INT(LOG(XPF.RadiusOuter, 10) + 0.2)</f>
        <v>4</v>
      </c>
      <c r="I8"/>
      <c r="J8"/>
      <c r="K8" s="70"/>
      <c r="L8" s="68"/>
    </row>
    <row r="9" spans="2:25" ht="17" thickBot="1">
      <c r="H9" s="3" t="s">
        <v>2683</v>
      </c>
      <c r="I9" s="3" t="s">
        <v>2684</v>
      </c>
      <c r="J9"/>
      <c r="K9" s="71" t="s">
        <v>2685</v>
      </c>
      <c r="L9" s="69" t="s">
        <v>2711</v>
      </c>
      <c r="O9" s="3" t="s">
        <v>2690</v>
      </c>
      <c r="P9" s="3" t="s">
        <v>2691</v>
      </c>
      <c r="Q9" s="3" t="s">
        <v>2692</v>
      </c>
      <c r="R9" s="3" t="s">
        <v>2693</v>
      </c>
      <c r="S9" s="3" t="s">
        <v>2694</v>
      </c>
      <c r="U9" s="3" t="s">
        <v>2709</v>
      </c>
      <c r="V9" s="3" t="s">
        <v>2710</v>
      </c>
      <c r="X9" s="3" t="s">
        <v>2712</v>
      </c>
      <c r="Y9" s="3" t="s">
        <v>2713</v>
      </c>
    </row>
    <row r="10" spans="2:25">
      <c r="B10" s="4" t="s">
        <v>2681</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2682</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2721</v>
      </c>
      <c r="H16">
        <f xml:space="preserve"> - H$11</f>
        <v>0</v>
      </c>
      <c r="I16">
        <f xml:space="preserve"> - I$11</f>
        <v>-13.250000000000002</v>
      </c>
      <c r="J16"/>
      <c r="K16" s="70">
        <v>13.250000000000002</v>
      </c>
      <c r="L16" s="68">
        <v>-2.1071428571428568</v>
      </c>
      <c r="O16">
        <v>90</v>
      </c>
      <c r="P16">
        <v>2.1431318985078682E-15</v>
      </c>
      <c r="Q16">
        <v>35</v>
      </c>
      <c r="R16">
        <v>1.7145055188062944E-15</v>
      </c>
      <c r="S16">
        <v>28</v>
      </c>
      <c r="U16">
        <v>4.2862637970157361E-16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-13.999999999999995</v>
      </c>
      <c r="S18">
        <v>24.248711305964285</v>
      </c>
      <c r="U18">
        <v>-3.4999999999999987</v>
      </c>
      <c r="V18">
        <v>19.312177826491073</v>
      </c>
      <c r="X18">
        <v>6.5800000000000036</v>
      </c>
      <c r="Y18">
        <v>-10.137822173508932</v>
      </c>
    </row>
    <row r="19" spans="2:25">
      <c r="B19" s="4" t="s">
        <v>2672</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2673</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2674</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2675</v>
      </c>
      <c r="C22" cm="1">
        <f t="array" ref="C22" xml:space="preserve"> - XPF.MaxY</f>
        <v>-35</v>
      </c>
      <c r="O22">
        <v>180</v>
      </c>
      <c r="P22">
        <v>-35</v>
      </c>
      <c r="Q22">
        <v>4.2862637970157365E-15</v>
      </c>
      <c r="R22">
        <v>-28</v>
      </c>
      <c r="S22">
        <v>3.4290110376125889E-15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2676</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2677</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2678</v>
      </c>
      <c r="C26" cm="1">
        <f t="array" ref="C26" xml:space="preserve"> VALUE(TEXT(SQRT(XPF.AreaMultiplier * BasicBBoxArea * XPF.Aspect), SVG.NumberFormatHeight))</f>
        <v>10</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2679</v>
      </c>
      <c r="C27" cm="1">
        <f t="array" ref="C27" xml:space="preserve"> XPF.Height / XPF.Aspect</f>
        <v>10</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-6.429395695523604E-15</v>
      </c>
      <c r="Q28">
        <v>-35</v>
      </c>
      <c r="R28">
        <v>-5.1435165564188833E-15</v>
      </c>
      <c r="S28">
        <v>-28</v>
      </c>
      <c r="U28">
        <v>-1.2858791391047208E-15</v>
      </c>
      <c r="V28">
        <v>6.2500000000000018</v>
      </c>
      <c r="X28">
        <v>10.08</v>
      </c>
      <c r="Y28">
        <v>-23.200000000000003</v>
      </c>
    </row>
    <row r="29" spans="2:25">
      <c r="B29" s="4" t="s">
        <v>2686</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2687</v>
      </c>
      <c r="C30" s="5" t="s">
        <v>2689</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2688</v>
      </c>
      <c r="C31" s="5" t="s">
        <v>2073</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2680</v>
      </c>
      <c r="O34">
        <v>360</v>
      </c>
      <c r="P34">
        <v>35</v>
      </c>
      <c r="Q34">
        <v>-8.572527594031473E-15</v>
      </c>
      <c r="R34">
        <v>28</v>
      </c>
      <c r="S34">
        <v>-6.8580220752251778E-15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width='10' height='10' viewBox='-35 -35 70 70'  id='%thisID%' xmlns='http://www.w3.org/2000/svg'&gt;</v>
      </c>
      <c r="E35" cm="1">
        <f t="array" ref="E35" xml:space="preserve"> SVG_length(XPF.svg)</f>
        <v>303</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1821</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1686</v>
      </c>
      <c r="F2" t="s">
        <v>817</v>
      </c>
    </row>
    <row r="3" spans="2:6">
      <c r="B3" s="49">
        <v>2</v>
      </c>
      <c r="F3" s="34">
        <f xml:space="preserve"> DecimalPlaces - INT(LOG(MIN(  MAX(XDR.RawX) - MIN(XDR.RawX),  MAX(XDR.RawY) - MIN(XDR.RawY)  )/2, 10) + 0.2)</f>
        <v>4</v>
      </c>
    </row>
    <row r="5" spans="2:6" ht="17" thickBot="1">
      <c r="B5" s="3" t="s">
        <v>818</v>
      </c>
      <c r="C5" s="3" t="s">
        <v>819</v>
      </c>
      <c r="D5" s="3" t="s">
        <v>820</v>
      </c>
      <c r="F5" s="3" t="s">
        <v>1687</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827</v>
      </c>
      <c r="F34">
        <f xml:space="preserve"> MIN(XDR.RawX)</f>
        <v>-12</v>
      </c>
    </row>
    <row r="35" spans="4:6">
      <c r="E35" s="4" t="s">
        <v>828</v>
      </c>
      <c r="F35">
        <f xml:space="preserve"> MAX(XDR.RawX)</f>
        <v>12</v>
      </c>
    </row>
    <row r="36" spans="4:6">
      <c r="E36" s="4" t="s">
        <v>829</v>
      </c>
      <c r="F36">
        <f xml:space="preserve"> MIN(XDR.RawY)</f>
        <v>-14</v>
      </c>
    </row>
    <row r="37" spans="4:6">
      <c r="E37" s="4" t="s">
        <v>830</v>
      </c>
      <c r="F37">
        <f xml:space="preserve"> MAX(XDR.RawY)</f>
        <v>14</v>
      </c>
    </row>
    <row r="39" spans="4:6">
      <c r="E39" s="4" t="s">
        <v>821</v>
      </c>
      <c r="F39" s="26">
        <v>0.875</v>
      </c>
    </row>
    <row r="40" spans="4:6">
      <c r="E40" s="4" t="s">
        <v>822</v>
      </c>
      <c r="F40">
        <f xml:space="preserve">  MAX(XDR.MaxY, - XDR.MinY)   /   MAX(XDR.MaxX, - XDR.MinX)</f>
        <v>1.1666666666666667</v>
      </c>
    </row>
    <row r="41" spans="4:6">
      <c r="E41" s="4" t="s">
        <v>823</v>
      </c>
      <c r="F41">
        <f xml:space="preserve"> VALUE(TEXT(SQRT(XDR.AreaMultiplier * BasicBBoxArea * XDR.Aspect), SVG.NumberFormatHeight))</f>
        <v>10.1</v>
      </c>
    </row>
    <row r="42" spans="4:6">
      <c r="E42" s="4" t="s">
        <v>824</v>
      </c>
      <c r="F42" cm="1">
        <f t="array" ref="F42" xml:space="preserve"> XDR.Height / XDR.Aspect</f>
        <v>8.6571428571428566</v>
      </c>
    </row>
    <row r="44" spans="4:6">
      <c r="E44" s="4" t="s">
        <v>825</v>
      </c>
      <c r="F44" t="s">
        <v>1688</v>
      </c>
    </row>
    <row r="45" spans="4:6">
      <c r="E45" s="4" t="s">
        <v>826</v>
      </c>
      <c r="F45" t="s">
        <v>2074</v>
      </c>
    </row>
    <row r="47" spans="4:6" ht="17" thickBot="1">
      <c r="F47" s="3" t="s">
        <v>831</v>
      </c>
    </row>
    <row r="48" spans="4:6">
      <c r="D48" cm="1">
        <f t="array" ref="D48" xml:space="preserve"> SVG_length(XDR.svg)</f>
        <v>237</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width='8.65714' height='10.1' viewBox='-12 -14 24 28'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810</v>
      </c>
      <c r="C2" s="3" t="s">
        <v>832</v>
      </c>
      <c r="D2" s="3" t="s">
        <v>811</v>
      </c>
      <c r="F2" s="3" t="s">
        <v>787</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788</v>
      </c>
      <c r="C5" s="3" t="s">
        <v>789</v>
      </c>
      <c r="D5" s="3" t="s">
        <v>790</v>
      </c>
      <c r="F5" s="3" t="s">
        <v>1748</v>
      </c>
      <c r="K5" s="3" t="s">
        <v>791</v>
      </c>
      <c r="L5" s="3" t="s">
        <v>792</v>
      </c>
      <c r="M5" s="3" t="s">
        <v>793</v>
      </c>
      <c r="N5" s="3" t="s">
        <v>794</v>
      </c>
      <c r="O5" s="3" t="s">
        <v>795</v>
      </c>
      <c r="P5" s="3" t="s">
        <v>796</v>
      </c>
    </row>
    <row r="6" spans="2:16">
      <c r="B6" t="s">
        <v>813</v>
      </c>
      <c r="C6">
        <v>41</v>
      </c>
      <c r="D6">
        <v>0</v>
      </c>
      <c r="F6" t="str">
        <f t="shared" ref="F6:F9" si="0" xml:space="preserve"> ROUND(XAU.RawX, XAU.DecimalPlaces) &amp; " " &amp; ROUND(XAU.RawY, XAU.DecimalPlaces)</f>
        <v>41 0</v>
      </c>
    </row>
    <row r="7" spans="2:16">
      <c r="B7" t="s">
        <v>813</v>
      </c>
      <c r="C7">
        <f xml:space="preserve"> - C6</f>
        <v>-41</v>
      </c>
      <c r="D7">
        <f xml:space="preserve"> D6</f>
        <v>0</v>
      </c>
      <c r="F7" t="str">
        <f t="shared" si="0"/>
        <v>-41 0</v>
      </c>
    </row>
    <row r="8" spans="2:16">
      <c r="B8" t="s">
        <v>813</v>
      </c>
      <c r="C8">
        <v>-56</v>
      </c>
      <c r="D8">
        <v>56</v>
      </c>
      <c r="F8" t="str">
        <f t="shared" si="0"/>
        <v>-56 56</v>
      </c>
    </row>
    <row r="9" spans="2:16">
      <c r="B9" t="s">
        <v>813</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797</v>
      </c>
      <c r="I17">
        <f xml:space="preserve"> ROUND( -$D$8 / 8, 0 )</f>
        <v>-7</v>
      </c>
    </row>
    <row r="18" spans="2:16">
      <c r="H18" s="4" t="s">
        <v>798</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812</v>
      </c>
      <c r="E31" s="4" t="s">
        <v>805</v>
      </c>
      <c r="F31">
        <f xml:space="preserve"> ROUND( MIN(XAU.RawX), XAU.DecimalPlaces)</f>
        <v>-56</v>
      </c>
    </row>
    <row r="32" spans="2:16">
      <c r="B32" t="s">
        <v>814</v>
      </c>
      <c r="E32" s="4" t="s">
        <v>806</v>
      </c>
      <c r="F32">
        <f xml:space="preserve"> ROUND(MAX(XAU.RawX), XAU.DecimalPlaces)</f>
        <v>56</v>
      </c>
    </row>
    <row r="33" spans="2:6">
      <c r="B33" t="s">
        <v>833</v>
      </c>
      <c r="E33" s="4" t="s">
        <v>807</v>
      </c>
      <c r="F33">
        <f xml:space="preserve"> ROUND( MIN(XAU.RawY), XAU.DecimalPlaces)</f>
        <v>-56</v>
      </c>
    </row>
    <row r="34" spans="2:6">
      <c r="E34" s="4" t="s">
        <v>808</v>
      </c>
      <c r="F34">
        <f xml:space="preserve"> ROUND(MAX(XAU.RawY), XAU.DecimalPlaces)</f>
        <v>56</v>
      </c>
    </row>
    <row r="36" spans="2:6">
      <c r="E36" s="4" t="s">
        <v>799</v>
      </c>
      <c r="F36" s="26">
        <f xml:space="preserve"> MODE(Squares.AreaMultiplier)</f>
        <v>0.85</v>
      </c>
    </row>
    <row r="37" spans="2:6">
      <c r="E37" s="4" t="s">
        <v>800</v>
      </c>
      <c r="F37">
        <f xml:space="preserve">  MAX(XAU.MaxY, - XAU.MinY)   /   MAX(XAU.MaxX, - XAU.MinX)</f>
        <v>1</v>
      </c>
    </row>
    <row r="38" spans="2:6">
      <c r="E38" s="4" t="s">
        <v>801</v>
      </c>
      <c r="F38">
        <f xml:space="preserve"> VALUE(TEXT(SQRT(XAU.AreaMultiplier* BasicBBoxArea * XAU.Aspect), SVG.NumberFormatHeight))</f>
        <v>9.1999999999999993</v>
      </c>
    </row>
    <row r="39" spans="2:6">
      <c r="E39" s="4" t="s">
        <v>802</v>
      </c>
      <c r="F39" cm="1">
        <f t="array" ref="F39" xml:space="preserve"> XAU.Height / XAU.Aspect</f>
        <v>9.1999999999999993</v>
      </c>
    </row>
    <row r="41" spans="2:6">
      <c r="E41" s="4" t="s">
        <v>803</v>
      </c>
      <c r="F41" t="s">
        <v>816</v>
      </c>
    </row>
    <row r="42" spans="2:6">
      <c r="E42" s="4" t="s">
        <v>804</v>
      </c>
      <c r="F42" t="s">
        <v>815</v>
      </c>
    </row>
    <row r="44" spans="2:6" ht="17" thickBot="1">
      <c r="F44" s="3" t="s">
        <v>809</v>
      </c>
    </row>
    <row r="45" spans="2:6">
      <c r="D45" cm="1">
        <f t="array" ref="D45" xml:space="preserve"> SVG_length(XAU.svg)</f>
        <v>278</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width='9.2' height='9.2' viewBox='-56 -56 112 112'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834</v>
      </c>
      <c r="C2" s="3" t="s">
        <v>835</v>
      </c>
      <c r="D2" s="3" t="s">
        <v>836</v>
      </c>
      <c r="F2" s="3" t="s">
        <v>837</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838</v>
      </c>
      <c r="C5" s="3" t="s">
        <v>839</v>
      </c>
      <c r="D5" s="3" t="s">
        <v>840</v>
      </c>
      <c r="F5" s="3" t="s">
        <v>841</v>
      </c>
      <c r="K5" s="3" t="s">
        <v>842</v>
      </c>
      <c r="L5" s="3" t="s">
        <v>843</v>
      </c>
      <c r="M5" s="3" t="s">
        <v>844</v>
      </c>
      <c r="N5" s="3" t="s">
        <v>845</v>
      </c>
      <c r="O5" s="3" t="s">
        <v>846</v>
      </c>
      <c r="P5" s="3" t="s">
        <v>847</v>
      </c>
    </row>
    <row r="6" spans="2:16">
      <c r="B6" t="s">
        <v>813</v>
      </c>
      <c r="C6">
        <v>173</v>
      </c>
      <c r="D6">
        <v>0</v>
      </c>
      <c r="F6" t="str" cm="1">
        <f t="array" ref="F6" xml:space="preserve"> ROUND(_xlfn.SINGLE(XAG.RawX), XAG.DecimalPlaces) &amp; " " &amp; ROUND(_xlfn.SINGLE(XAG.RawY), XAG.DecimalPlaces)</f>
        <v>173 0</v>
      </c>
    </row>
    <row r="7" spans="2:16">
      <c r="B7" t="s">
        <v>813</v>
      </c>
      <c r="C7">
        <f xml:space="preserve"> - C6</f>
        <v>-173</v>
      </c>
      <c r="D7">
        <v>0</v>
      </c>
      <c r="F7" t="str" cm="1">
        <f t="array" ref="F7" xml:space="preserve"> ROUND(_xlfn.SINGLE(XAG.RawX), XAG.DecimalPlaces) &amp; " " &amp; ROUND(_xlfn.SINGLE(XAG.RawY), XAG.DecimalPlaces)</f>
        <v>-173 0</v>
      </c>
    </row>
    <row r="8" spans="2:16">
      <c r="B8" t="s">
        <v>813</v>
      </c>
      <c r="C8">
        <v>-221</v>
      </c>
      <c r="D8">
        <v>272</v>
      </c>
      <c r="F8" t="str" cm="1">
        <f t="array" ref="F8" xml:space="preserve"> ROUND(_xlfn.SINGLE(XAG.RawX), XAG.DecimalPlaces) &amp; " " &amp; ROUND(_xlfn.SINGLE(XAG.RawY), XAG.DecimalPlaces)</f>
        <v>-221 272</v>
      </c>
    </row>
    <row r="9" spans="2:16">
      <c r="B9" t="s">
        <v>813</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848</v>
      </c>
      <c r="I17">
        <f xml:space="preserve"> ROUND( -$D$9 / 8, 0 )</f>
        <v>-34</v>
      </c>
    </row>
    <row r="18" spans="2:16">
      <c r="H18" s="4" t="s">
        <v>849</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812</v>
      </c>
      <c r="E31" s="4" t="s">
        <v>856</v>
      </c>
      <c r="F31">
        <f xml:space="preserve"> ROUND( MIN(XAG.RawX), XAG.DecimalPlaces)</f>
        <v>-221</v>
      </c>
    </row>
    <row r="32" spans="2:16">
      <c r="B32" t="s">
        <v>814</v>
      </c>
      <c r="E32" s="4" t="s">
        <v>857</v>
      </c>
      <c r="F32">
        <f xml:space="preserve"> ROUND(MAX(XAG.RawX), XAG.DecimalPlaces)</f>
        <v>221</v>
      </c>
    </row>
    <row r="33" spans="2:6">
      <c r="B33" t="s">
        <v>833</v>
      </c>
      <c r="E33" s="4" t="s">
        <v>858</v>
      </c>
      <c r="F33">
        <f xml:space="preserve"> ROUND( MIN(XAG.RawY), XAG.DecimalPlaces)</f>
        <v>-272</v>
      </c>
    </row>
    <row r="34" spans="2:6">
      <c r="E34" s="4" t="s">
        <v>859</v>
      </c>
      <c r="F34">
        <f xml:space="preserve"> ROUND(MAX(XAG.RawY), XAG.DecimalPlaces)</f>
        <v>272</v>
      </c>
    </row>
    <row r="36" spans="2:6">
      <c r="E36" s="4" t="s">
        <v>850</v>
      </c>
      <c r="F36" s="26">
        <f xml:space="preserve"> MODE(Squares.AreaMultiplier)</f>
        <v>0.85</v>
      </c>
    </row>
    <row r="37" spans="2:6">
      <c r="E37" s="4" t="s">
        <v>851</v>
      </c>
      <c r="F37">
        <f xml:space="preserve">  MAX(XAG.MaxY, - XAG.MinY)   /   MAX(XAG.MaxX, - XAG.MinX)</f>
        <v>1.2307692307692308</v>
      </c>
    </row>
    <row r="38" spans="2:6">
      <c r="E38" s="4" t="s">
        <v>852</v>
      </c>
      <c r="F38">
        <f xml:space="preserve"> VALUE(TEXT(SQRT(XAG.AreaMultiplier* BasicBBoxArea * XAG.Aspect), SVG.NumberFormatHeight))</f>
        <v>10.199999999999999</v>
      </c>
    </row>
    <row r="39" spans="2:6">
      <c r="E39" s="4" t="s">
        <v>853</v>
      </c>
      <c r="F39" cm="1">
        <f t="array" ref="F39" xml:space="preserve"> XAG.Height / XAG.Aspect</f>
        <v>8.2874999999999996</v>
      </c>
    </row>
    <row r="41" spans="2:6">
      <c r="E41" s="4" t="s">
        <v>854</v>
      </c>
      <c r="F41" t="s">
        <v>862</v>
      </c>
    </row>
    <row r="42" spans="2:6">
      <c r="E42" s="4" t="s">
        <v>855</v>
      </c>
      <c r="F42" t="s">
        <v>861</v>
      </c>
    </row>
    <row r="44" spans="2:6" ht="17" thickBot="1">
      <c r="F44" s="3" t="s">
        <v>860</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width='8.2875' height='10.2' viewBox='-221 -272 442 544'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404"/>
  <sheetViews>
    <sheetView workbookViewId="0">
      <pane ySplit="2" topLeftCell="A3" activePane="bottomLeft" state="frozenSplit"/>
      <selection pane="bottomLeft" activeCell="B2" sqref="B2"/>
    </sheetView>
  </sheetViews>
  <sheetFormatPr baseColWidth="10" defaultRowHeight="16"/>
  <sheetData>
    <row r="2" spans="2:19" ht="17" thickBot="1">
      <c r="B2" s="3" t="s">
        <v>1813</v>
      </c>
      <c r="C2" s="3" t="s">
        <v>1814</v>
      </c>
      <c r="E2" s="3" t="s">
        <v>1815</v>
      </c>
      <c r="F2" s="3" t="s">
        <v>1816</v>
      </c>
      <c r="G2" s="3" t="s">
        <v>1969</v>
      </c>
      <c r="H2" s="3" t="s">
        <v>1817</v>
      </c>
      <c r="I2" s="3" t="s">
        <v>1818</v>
      </c>
      <c r="J2" s="3" t="s">
        <v>1819</v>
      </c>
      <c r="K2" s="3" t="s">
        <v>1820</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404" xml:space="preserve"> _xlfn.BYROW(ChartLines.Hex6, _xlfn.LAMBDA(_xlpm.hex, IF(LEN(_xlpm.hex)=6, HEX2DEC(LEFT(_xlpm.hex, 2)), "·") ))</f>
        <v>0</v>
      </c>
      <c r="I3" cm="1">
        <f t="array" ref="I3:I404" xml:space="preserve"> _xlfn.BYROW(ChartLines.Hex6, _xlfn.LAMBDA(_xlpm.hex, IF(LEN(_xlpm.hex)=6, HEX2DEC(MID(_xlpm.hex, 3, 2)), "·") ))</f>
        <v>0</v>
      </c>
      <c r="J3" cm="1">
        <f t="array" ref="J3:J404" xml:space="preserve"> _xlfn.BYROW(ChartLines.Hex6, _xlfn.LAMBDA(_xlpm.hex, IF(LEN(_xlpm.hex)=6, HEX2DEC(RIGHT(_xlpm.hex, 2)), "·") ))</f>
        <v>0</v>
      </c>
      <c r="K3" cm="1">
        <f t="array" ref="K3:K404" xml:space="preserve"> _xlfn.SEQUENCE(ROWS(ChartLines.RowNum))</f>
        <v>1</v>
      </c>
    </row>
    <row r="4" spans="2:19">
      <c r="B4" t="s">
        <v>2629</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2629</v>
      </c>
      <c r="C5" t="s">
        <v>2640</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2632</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2632</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1967</v>
      </c>
      <c r="P7" t="s">
        <v>23</v>
      </c>
      <c r="Q7" t="s">
        <v>24</v>
      </c>
      <c r="R7" t="s">
        <v>1971</v>
      </c>
      <c r="S7" t="s">
        <v>1972</v>
      </c>
    </row>
    <row r="8" spans="2:19">
      <c r="B8" t="s">
        <v>1821</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1968</v>
      </c>
      <c r="P8">
        <v>3.6</v>
      </c>
      <c r="Q8">
        <v>1.2</v>
      </c>
      <c r="R8">
        <f xml:space="preserve"> $P8 - $Q8</f>
        <v>2.4000000000000004</v>
      </c>
      <c r="S8">
        <f xml:space="preserve"> MAX($P8:$R8)</f>
        <v>3.6</v>
      </c>
    </row>
    <row r="9" spans="2:19">
      <c r="B9" t="s">
        <v>403</v>
      </c>
      <c r="C9" t="s">
        <v>1822</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1973</v>
      </c>
      <c r="P9">
        <v>3</v>
      </c>
      <c r="Q9">
        <v>1</v>
      </c>
      <c r="R9">
        <f xml:space="preserve"> $P9 - $Q9</f>
        <v>2</v>
      </c>
      <c r="S9">
        <f xml:space="preserve"> MAX($P9:$R9)</f>
        <v>3</v>
      </c>
    </row>
    <row r="10" spans="2:19">
      <c r="B10" t="s">
        <v>2654</v>
      </c>
      <c r="C10" t="s">
        <v>1822</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2654</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1970</v>
      </c>
      <c r="P11">
        <f xml:space="preserve"> _xlfn.MAXIFS(ChartLines_Thicknesses.StrokeWidth,   ChartLines_Thicknesses.StrokeWidth,"&gt;0")</f>
        <v>3.6</v>
      </c>
    </row>
    <row r="12" spans="2:19">
      <c r="B12" t="s">
        <v>1821</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1944</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
        <v>2739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240</v>
      </c>
      <c r="I13">
        <v>176</v>
      </c>
      <c r="J13">
        <v>0</v>
      </c>
      <c r="K13">
        <v>11</v>
      </c>
      <c r="O13" s="4" t="s">
        <v>1941</v>
      </c>
      <c r="P13" s="5" t="s">
        <v>1942</v>
      </c>
    </row>
    <row r="14" spans="2:19">
      <c r="B14" t="s">
        <v>1821</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1943</v>
      </c>
      <c r="P14" s="5" t="s">
        <v>15</v>
      </c>
    </row>
    <row r="15" spans="2:19">
      <c r="B15" t="s">
        <v>2240</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2240</v>
      </c>
      <c r="C16" t="s">
        <v>1825</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2241</v>
      </c>
      <c r="C17" t="s">
        <v>1843</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2241</v>
      </c>
      <c r="C18" t="s">
        <v>1926</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2242</v>
      </c>
      <c r="C19" t="s">
        <v>1830</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2242</v>
      </c>
      <c r="C20" t="s">
        <v>1825</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2243</v>
      </c>
      <c r="C21" t="s">
        <v>2239</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2243</v>
      </c>
      <c r="C22" t="s">
        <v>1830</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2244</v>
      </c>
      <c r="C23" t="s">
        <v>1830</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2244</v>
      </c>
      <c r="C24" t="s">
        <v>2239</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1823</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1821</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1527</v>
      </c>
      <c r="C27" t="s">
        <v>1824</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1527</v>
      </c>
      <c r="C28" t="s">
        <v>1825</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2264</v>
      </c>
      <c r="C29" t="s">
        <v>1824</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2264</v>
      </c>
      <c r="C30" t="s">
        <v>2271</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1826</v>
      </c>
      <c r="C31" t="s">
        <v>1824</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1826</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2282</v>
      </c>
      <c r="C33" t="s">
        <v>1824</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2282</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1827</v>
      </c>
      <c r="C35" t="s">
        <v>1828</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1827</v>
      </c>
      <c r="C36" t="s">
        <v>1829</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1830</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1831</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1832</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1833</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782</v>
      </c>
      <c r="C44" t="s">
        <v>1822</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782</v>
      </c>
      <c r="C45" t="s">
        <v>1825</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2633</v>
      </c>
      <c r="C46" t="s">
        <v>1822</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2633</v>
      </c>
      <c r="C47" t="s">
        <v>2641</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2634</v>
      </c>
      <c r="C48" t="s">
        <v>1822</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2634</v>
      </c>
      <c r="C49" t="s">
        <v>2642</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2635</v>
      </c>
      <c r="C50" t="s">
        <v>1822</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2635</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784</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784</v>
      </c>
      <c r="C53" t="s">
        <v>1822</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574</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574</v>
      </c>
      <c r="C55" t="s">
        <v>1825</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2257</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2257</v>
      </c>
      <c r="C57" t="s">
        <v>1824</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591</v>
      </c>
      <c r="C58" t="s">
        <v>1834</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591</v>
      </c>
      <c r="C59" t="s">
        <v>1835</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2259</v>
      </c>
      <c r="C60" t="s">
        <v>1834</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2259</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628</v>
      </c>
      <c r="C62" t="s">
        <v>1836</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628</v>
      </c>
      <c r="C63" t="s">
        <v>1837</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2260</v>
      </c>
      <c r="C64" t="s">
        <v>1836</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2260</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2133</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2134</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2261</v>
      </c>
      <c r="C68" t="s">
        <v>2133</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2261</v>
      </c>
      <c r="C69" t="s">
        <v>2271</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629</v>
      </c>
      <c r="C70" t="s">
        <v>1838</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629</v>
      </c>
      <c r="C71" t="s">
        <v>1839</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2272</v>
      </c>
      <c r="C72" t="s">
        <v>2273</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2272</v>
      </c>
      <c r="C73" t="s">
        <v>1839</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648</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648</v>
      </c>
      <c r="C75" t="s">
        <v>1840</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2274</v>
      </c>
      <c r="C76" t="s">
        <v>1840</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2274</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649</v>
      </c>
      <c r="C78" t="s">
        <v>1830</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649</v>
      </c>
      <c r="C79" t="s">
        <v>1825</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2263</v>
      </c>
      <c r="C80" t="s">
        <v>1830</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2263</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650</v>
      </c>
      <c r="C82" t="s">
        <v>1841</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1821</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2275</v>
      </c>
      <c r="C84" t="s">
        <v>1841</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2275</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1842</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1825</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2279</v>
      </c>
      <c r="C88" t="s">
        <v>1842</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2279</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1843</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1821</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2280</v>
      </c>
      <c r="C92" t="s">
        <v>1843</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2280</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668</v>
      </c>
      <c r="C94" t="s">
        <v>1844</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668</v>
      </c>
      <c r="C95" t="s">
        <v>1845</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2281</v>
      </c>
      <c r="C96" t="s">
        <v>1845</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2281</v>
      </c>
      <c r="C97" t="s">
        <v>1844</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357</v>
      </c>
      <c r="C98" t="s">
        <v>1823</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357</v>
      </c>
      <c r="C99" t="s">
        <v>1846</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2276</v>
      </c>
      <c r="C100" t="s">
        <v>1846</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2276</v>
      </c>
      <c r="C101" t="s">
        <v>1823</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607</v>
      </c>
      <c r="C102" t="s">
        <v>2148</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607</v>
      </c>
      <c r="C103" t="s">
        <v>1847</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1848</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1821</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1654</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1821</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358</v>
      </c>
      <c r="C108" t="s">
        <v>1849</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358</v>
      </c>
      <c r="C109" t="s">
        <v>1850</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669</v>
      </c>
      <c r="C110" t="s">
        <v>1851</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669</v>
      </c>
      <c r="C111" t="s">
        <v>1825</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1852</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687</v>
      </c>
      <c r="C114" t="s">
        <v>1853</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687</v>
      </c>
      <c r="C115" t="s">
        <v>1854</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707</v>
      </c>
      <c r="C116" t="s">
        <v>1855</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707</v>
      </c>
      <c r="C117" t="s">
        <v>2146</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708</v>
      </c>
      <c r="C118" t="s">
        <v>1856</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708</v>
      </c>
      <c r="C119" t="s">
        <v>1857</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1690</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1690</v>
      </c>
      <c r="C121" t="s">
        <v>1858</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783</v>
      </c>
      <c r="C122" t="s">
        <v>1859</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783</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2117</v>
      </c>
      <c r="C124" t="s">
        <v>1848</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2117</v>
      </c>
      <c r="C125" t="s">
        <v>1823</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1843</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1825</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1528</v>
      </c>
      <c r="C129" t="s">
        <v>1860</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1528</v>
      </c>
      <c r="C130" t="s">
        <v>1861</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325</v>
      </c>
      <c r="C131" t="s">
        <v>1966</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1821</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371</v>
      </c>
      <c r="C133" t="s">
        <v>1863</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371</v>
      </c>
      <c r="C134" t="s">
        <v>1862</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356</v>
      </c>
      <c r="C135" t="s">
        <v>1828</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356</v>
      </c>
      <c r="C136" t="s">
        <v>1864</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375</v>
      </c>
      <c r="C137" t="s">
        <v>1865</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375</v>
      </c>
      <c r="C138" t="s">
        <v>1866</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2722</v>
      </c>
      <c r="C139" t="s">
        <v>1867</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2722</v>
      </c>
      <c r="C140" t="s">
        <v>1825</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1868</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1869</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1870</v>
      </c>
      <c r="C144" t="s">
        <v>1824</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1821</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1871</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1825</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1872</v>
      </c>
      <c r="C148" t="s">
        <v>1873</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1872</v>
      </c>
      <c r="C149" t="s">
        <v>1874</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1875</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1821</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1876</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1824</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1825</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1877</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2362</v>
      </c>
      <c r="C158" t="s">
        <v>2391</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2362</v>
      </c>
      <c r="C159" t="s">
        <v>2390</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1878</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1866</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260</v>
      </c>
      <c r="C162" t="s">
        <v>1879</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260</v>
      </c>
      <c r="C163" t="s">
        <v>1880</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295</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295</v>
      </c>
      <c r="C165" t="s">
        <v>1825</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1881</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1825</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1882</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1883</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1884</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1885</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1886</v>
      </c>
      <c r="C172" t="s">
        <v>1887</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1886</v>
      </c>
      <c r="C173" t="s">
        <v>1888</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2294</v>
      </c>
      <c r="C174" t="s">
        <v>2389</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2294</v>
      </c>
      <c r="C175" t="s">
        <v>2388</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2392</v>
      </c>
      <c r="C176" t="s">
        <v>1926</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2392</v>
      </c>
      <c r="C177" t="s">
        <v>2393</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1602</v>
      </c>
      <c r="C178" t="s">
        <v>1889</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1602</v>
      </c>
      <c r="C179" t="s">
        <v>1890</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2403</v>
      </c>
      <c r="C180" t="s">
        <v>2405</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2403</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2254</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2254</v>
      </c>
      <c r="C183" t="s">
        <v>2284</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2663</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1821</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867</v>
      </c>
      <c r="C187" t="s">
        <v>1891</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867</v>
      </c>
      <c r="C188" t="s">
        <v>1892</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392</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392</v>
      </c>
      <c r="C190" t="s">
        <v>1843</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404</v>
      </c>
      <c r="C191" t="s">
        <v>1893</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404</v>
      </c>
      <c r="C192" t="s">
        <v>1894</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1658</v>
      </c>
      <c r="C193" t="s">
        <v>1895</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1658</v>
      </c>
      <c r="C194" t="s">
        <v>1896</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1897</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1965</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1898</v>
      </c>
      <c r="C197" t="s">
        <v>1824</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1898</v>
      </c>
      <c r="C198" t="s">
        <v>1825</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2397</v>
      </c>
      <c r="C199" t="s">
        <v>2399</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2397</v>
      </c>
      <c r="C200" t="s">
        <v>1825</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2398</v>
      </c>
      <c r="C201" t="s">
        <v>1920</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2398</v>
      </c>
      <c r="C202" t="s">
        <v>2400</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2140</v>
      </c>
      <c r="C203" t="s">
        <v>1899</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2140</v>
      </c>
      <c r="C204" t="s">
        <v>1825</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405</v>
      </c>
      <c r="C205" t="s">
        <v>2063</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405</v>
      </c>
      <c r="C206" t="s">
        <v>2054</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1900</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1821</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1825</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457</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457</v>
      </c>
      <c r="C213" t="s">
        <v>1823</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1964</v>
      </c>
      <c r="C214" t="s">
        <v>1830</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1964</v>
      </c>
      <c r="C215" t="s">
        <v>1965</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471</v>
      </c>
      <c r="C216" t="s">
        <v>1901</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471</v>
      </c>
      <c r="C217" t="s">
        <v>1825</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2396</v>
      </c>
      <c r="C218" t="s">
        <v>1843</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1902</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1902</v>
      </c>
      <c r="C220" t="s">
        <v>1903</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2012</v>
      </c>
      <c r="C221" t="s">
        <v>2011</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2012</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2293</v>
      </c>
      <c r="C223" t="s">
        <v>2387</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2293</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489</v>
      </c>
      <c r="C225" t="s">
        <v>1903</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489</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1823</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2289</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2289</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1904</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1904</v>
      </c>
      <c r="C232" t="s">
        <v>1825</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1905</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1825</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1906</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1612</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1612</v>
      </c>
      <c r="C238" t="s">
        <v>1825</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490</v>
      </c>
      <c r="C239" t="s">
        <v>1907</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490</v>
      </c>
      <c r="C240" t="s">
        <v>1825</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888</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888</v>
      </c>
      <c r="C242" t="s">
        <v>1908</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508</v>
      </c>
      <c r="C243" t="s">
        <v>1909</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508</v>
      </c>
      <c r="C244" t="s">
        <v>1825</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431</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431</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1825</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1605</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1605</v>
      </c>
      <c r="C251" t="s">
        <v>1910</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1991</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1991</v>
      </c>
      <c r="C253" t="s">
        <v>1825</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1615</v>
      </c>
      <c r="C254" t="s">
        <v>1911</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1615</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1611</v>
      </c>
      <c r="C256" t="s">
        <v>1866</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1611</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1625</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1625</v>
      </c>
      <c r="C259" t="s">
        <v>1912</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1608</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1608</v>
      </c>
      <c r="C261" t="s">
        <v>1913</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1945</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1945</v>
      </c>
      <c r="C263" t="s">
        <v>1831</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1915</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1914</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1838</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1916</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1917</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2401</v>
      </c>
      <c r="C270" t="s">
        <v>1866</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2401</v>
      </c>
      <c r="C271" t="s">
        <v>1903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2137</v>
      </c>
      <c r="C272" t="s">
        <v>1830</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2137</v>
      </c>
      <c r="C273" t="s">
        <v>1829</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2658</v>
      </c>
      <c r="C274" t="s">
        <v>2662</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1821</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2664</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2664</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524</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524</v>
      </c>
      <c r="C280" t="s">
        <v>1830</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526</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526</v>
      </c>
      <c r="C282" t="s">
        <v>1918</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1919</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1920</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1829</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1830</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1825</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542</v>
      </c>
      <c r="C289" t="s">
        <v>2147</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542</v>
      </c>
      <c r="C290" t="s">
        <v>1825</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1921</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1825</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1922</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1922</v>
      </c>
      <c r="C294" t="s">
        <v>1825</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558</v>
      </c>
      <c r="C295" t="s">
        <v>1923</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558</v>
      </c>
      <c r="C296" t="s">
        <v>1830</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559</v>
      </c>
      <c r="C297" t="s">
        <v>1852</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559</v>
      </c>
      <c r="C298" t="s">
        <v>1831</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2297</v>
      </c>
      <c r="C299" t="s">
        <v>2394</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2297</v>
      </c>
      <c r="C300" t="s">
        <v>2395</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2292</v>
      </c>
      <c r="C301" t="s">
        <v>1924</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2292</v>
      </c>
      <c r="C302" t="s">
        <v>1838</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1909</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1825</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2340</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2340</v>
      </c>
      <c r="C306" t="s">
        <v>1843</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2360</v>
      </c>
      <c r="C307" t="s">
        <v>2386</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2360</v>
      </c>
      <c r="C308" t="s">
        <v>1825</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1693</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1693</v>
      </c>
      <c r="C310" t="s">
        <v>1925</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571</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571</v>
      </c>
      <c r="C312" t="s">
        <v>1903</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572</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572</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573</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573</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1762</v>
      </c>
      <c r="C317" t="s">
        <v>1926</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1762</v>
      </c>
      <c r="C318" t="str">
        <f xml:space="preserve"> "00778B"</f>
        <v>00778B</v>
      </c>
      <c r="E318">
        <f t="shared" ref="E318:E320" si="374" xml:space="preserve"> IF(AND(LEN(ChartLines.ID)&gt;0,"Unused"&lt;&gt;ChartLines.ID), COUNTIFS(ChartLines.ID,ChartLines.ID), "·")</f>
        <v>2</v>
      </c>
      <c r="F318">
        <f t="shared" ref="F318:F320"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B319" t="s">
        <v>2762</v>
      </c>
      <c r="C319" t="str">
        <f xml:space="preserve"> "002590"</f>
        <v>002590</v>
      </c>
      <c r="E319">
        <f t="shared" si="374"/>
        <v>1</v>
      </c>
      <c r="F319">
        <f t="shared" si="375"/>
        <v>1</v>
      </c>
      <c r="G319" t="str" cm="1">
        <f t="array" ref="G319" xml:space="preserve"> _xlfn.IFS(OR(LEN(_xlfn.SINGLE(ChartLines.ID))=0,"Unused"=_xlfn.SINGLE(ChartLines.ID)), "·",   1=_xlfn.SINGLE(ChartLines.NumInstances), IF("USD"=_xlfn.SINGLE(ChartLines.ID), "SoleBig", "SoleOrdinary"),   1=_xlfn.SINGLE(ChartLines.InstanceNum), "Outer",   TRUE, "Inner")</f>
        <v>SoleOrdinary</v>
      </c>
      <c r="H319">
        <v>0</v>
      </c>
      <c r="I319">
        <v>37</v>
      </c>
      <c r="J319">
        <v>144</v>
      </c>
      <c r="K319">
        <v>317</v>
      </c>
    </row>
    <row r="320" spans="2:11">
      <c r="B320" t="s">
        <v>1821</v>
      </c>
      <c r="E320" t="str">
        <f t="shared" si="374"/>
        <v>·</v>
      </c>
      <c r="F320" t="str">
        <f t="shared" si="375"/>
        <v>·</v>
      </c>
      <c r="G320" t="str" cm="1">
        <f t="array" ref="G320" xml:space="preserve"> _xlfn.IFS(OR(LEN(_xlfn.SINGLE(ChartLines.ID))=0,"Unused"=_xlfn.SINGLE(ChartLines.ID)), "·",   1=_xlfn.SINGLE(ChartLines.NumInstances), IF("USD"=_xlfn.SINGLE(ChartLines.ID), "SoleBig", "SoleOrdinary"),   1=_xlfn.SINGLE(ChartLines.InstanceNum), "Outer",   TRUE, "Inner")</f>
        <v>·</v>
      </c>
      <c r="H320" t="str">
        <v>·</v>
      </c>
      <c r="I320" t="str">
        <v>·</v>
      </c>
      <c r="J320" t="str">
        <v>·</v>
      </c>
      <c r="K320">
        <v>318</v>
      </c>
    </row>
    <row r="321" spans="2:11">
      <c r="E321" t="str">
        <f t="shared" ref="E321" si="376" xml:space="preserve"> IF(AND(LEN(ChartLines.ID)&gt;0,"Unused"&lt;&gt;ChartLines.ID), COUNTIFS(ChartLines.ID,ChartLines.ID), "·")</f>
        <v>·</v>
      </c>
      <c r="F321" t="str">
        <f t="shared" ref="F321" si="377" xml:space="preserve"> IF(AND(LEN(ChartLines.ID)&gt;0,"Unused"&lt;&gt;ChartLines.ID), COUNTIFS(ChartLines.ID,ChartLines.ID,   ChartLines.RowNum,"&lt;="&amp;ChartLines.RowNum), "·")</f>
        <v>·</v>
      </c>
      <c r="G321" t="str" cm="1">
        <f t="array" ref="G321" xml:space="preserve"> _xlfn.IFS(OR(LEN(_xlfn.SINGLE(ChartLines.ID))=0,"Unused"=_xlfn.SINGLE(ChartLines.ID)), "·",   1=_xlfn.SINGLE(ChartLines.NumInstances), IF("USD"=_xlfn.SINGLE(ChartLines.ID), "SoleBig", "SoleOrdinary"),   1=_xlfn.SINGLE(ChartLines.InstanceNum), "Outer",   TRUE, "Inner")</f>
        <v>·</v>
      </c>
      <c r="H321" t="str">
        <v>·</v>
      </c>
      <c r="I321" t="str">
        <v>·</v>
      </c>
      <c r="J321" t="str">
        <v>·</v>
      </c>
      <c r="K321">
        <v>319</v>
      </c>
    </row>
    <row r="322" spans="2:11">
      <c r="B322" t="s">
        <v>172</v>
      </c>
      <c r="C322" t="str">
        <f xml:space="preserve"> "003399"</f>
        <v>003399</v>
      </c>
      <c r="E322">
        <f t="shared" ref="E322" si="378" xml:space="preserve"> IF(AND(LEN(ChartLines.ID)&gt;0,"Unused"&lt;&gt;ChartLines.ID), COUNTIFS(ChartLines.ID,ChartLines.ID), "·")</f>
        <v>2</v>
      </c>
      <c r="F322">
        <f t="shared" ref="F322" si="379"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0</v>
      </c>
      <c r="I322">
        <v>51</v>
      </c>
      <c r="J322">
        <v>153</v>
      </c>
      <c r="K322">
        <v>320</v>
      </c>
    </row>
    <row r="323" spans="2:11">
      <c r="B323" t="s">
        <v>172</v>
      </c>
      <c r="C323" t="s">
        <v>2427</v>
      </c>
      <c r="E323">
        <f t="shared" ref="E323" si="380" xml:space="preserve"> IF(AND(LEN(ChartLines.ID)&gt;0,"Unused"&lt;&gt;ChartLines.ID), COUNTIFS(ChartLines.ID,ChartLines.ID), "·")</f>
        <v>2</v>
      </c>
      <c r="F323">
        <f t="shared" ref="F323" si="381"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157</v>
      </c>
      <c r="I323">
        <v>157</v>
      </c>
      <c r="J323">
        <v>156</v>
      </c>
      <c r="K323">
        <v>321</v>
      </c>
    </row>
    <row r="324" spans="2:11">
      <c r="B324" t="s">
        <v>959</v>
      </c>
      <c r="C324" t="str">
        <f xml:space="preserve"> "0A6AAA"</f>
        <v>0A6AAA</v>
      </c>
      <c r="E324">
        <f t="shared" ref="E324" si="382" xml:space="preserve"> IF(AND(LEN(ChartLines.ID)&gt;0,"Unused"&lt;&gt;ChartLines.ID), COUNTIFS(ChartLines.ID,ChartLines.ID), "·")</f>
        <v>2</v>
      </c>
      <c r="F324">
        <f t="shared" ref="F324" si="383"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10</v>
      </c>
      <c r="I324">
        <v>106</v>
      </c>
      <c r="J324">
        <v>170</v>
      </c>
      <c r="K324">
        <v>322</v>
      </c>
    </row>
    <row r="325" spans="2:11">
      <c r="B325" t="s">
        <v>959</v>
      </c>
      <c r="C325" t="s">
        <v>1825</v>
      </c>
      <c r="E325">
        <f t="shared" ref="E325:E327" si="384" xml:space="preserve"> IF(AND(LEN(ChartLines.ID)&gt;0,"Unused"&lt;&gt;ChartLines.ID), COUNTIFS(ChartLines.ID,ChartLines.ID), "·")</f>
        <v>2</v>
      </c>
      <c r="F325">
        <f t="shared" ref="F325:F327" si="385"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2232</v>
      </c>
      <c r="C326" t="str">
        <f xml:space="preserve"> "092251"</f>
        <v>092251</v>
      </c>
      <c r="E326">
        <f t="shared" si="384"/>
        <v>2</v>
      </c>
      <c r="F326">
        <f t="shared" si="385"/>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9</v>
      </c>
      <c r="I326">
        <v>34</v>
      </c>
      <c r="J326">
        <v>81</v>
      </c>
      <c r="K326">
        <v>324</v>
      </c>
    </row>
    <row r="327" spans="2:11">
      <c r="B327" t="s">
        <v>2232</v>
      </c>
      <c r="C327" t="s">
        <v>1825</v>
      </c>
      <c r="E327">
        <f t="shared" si="384"/>
        <v>2</v>
      </c>
      <c r="F327">
        <f t="shared" si="385"/>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255</v>
      </c>
      <c r="I327">
        <v>255</v>
      </c>
      <c r="J327">
        <v>255</v>
      </c>
      <c r="K327">
        <v>325</v>
      </c>
    </row>
    <row r="328" spans="2:11">
      <c r="B328" t="s">
        <v>1927</v>
      </c>
      <c r="C328" t="str">
        <f xml:space="preserve"> "165788"</f>
        <v>165788</v>
      </c>
      <c r="E328">
        <f t="shared" ref="E328" si="386" xml:space="preserve"> IF(AND(LEN(ChartLines.ID)&gt;0,"Unused"&lt;&gt;ChartLines.ID), COUNTIFS(ChartLines.ID,ChartLines.ID), "·")</f>
        <v>2</v>
      </c>
      <c r="F328">
        <f t="shared" ref="F328" si="387"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v>22</v>
      </c>
      <c r="I328">
        <v>87</v>
      </c>
      <c r="J328">
        <v>136</v>
      </c>
      <c r="K328">
        <v>326</v>
      </c>
    </row>
    <row r="329" spans="2:11">
      <c r="B329" t="s">
        <v>1927</v>
      </c>
      <c r="C329" t="str">
        <f xml:space="preserve"> "C3DCF4"</f>
        <v>C3DCF4</v>
      </c>
      <c r="E329">
        <f t="shared" ref="E329" si="388" xml:space="preserve"> IF(AND(LEN(ChartLines.ID)&gt;0,"Unused"&lt;&gt;ChartLines.ID), COUNTIFS(ChartLines.ID,ChartLines.ID), "·")</f>
        <v>2</v>
      </c>
      <c r="F329">
        <f t="shared" ref="F329" si="389"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v>195</v>
      </c>
      <c r="I329">
        <v>220</v>
      </c>
      <c r="J329">
        <v>244</v>
      </c>
      <c r="K329">
        <v>327</v>
      </c>
    </row>
    <row r="330" spans="2:11">
      <c r="B330" t="s">
        <v>786</v>
      </c>
      <c r="C330" t="s">
        <v>2116</v>
      </c>
      <c r="E330">
        <f t="shared" ref="E330:E333" si="390" xml:space="preserve"> IF(AND(LEN(ChartLines.ID)&gt;0,"Unused"&lt;&gt;ChartLines.ID), COUNTIFS(ChartLines.ID,ChartLines.ID), "·")</f>
        <v>1</v>
      </c>
      <c r="F330">
        <f t="shared" ref="F330:F333" si="39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SoleOrdinary</v>
      </c>
      <c r="H330">
        <v>27</v>
      </c>
      <c r="I330">
        <v>97</v>
      </c>
      <c r="J330">
        <v>140</v>
      </c>
      <c r="K330">
        <v>328</v>
      </c>
    </row>
    <row r="331" spans="2:11">
      <c r="B331" t="s">
        <v>2233</v>
      </c>
      <c r="C331">
        <v>273375</v>
      </c>
      <c r="E331">
        <f t="shared" si="390"/>
        <v>2</v>
      </c>
      <c r="F331">
        <f t="shared" si="391"/>
        <v>1</v>
      </c>
      <c r="G331" t="str" cm="1">
        <f t="array" ref="G331" xml:space="preserve"> _xlfn.IFS(OR(LEN(_xlfn.SINGLE(ChartLines.ID))=0,"Unused"=_xlfn.SINGLE(ChartLines.ID)), "·",   1=_xlfn.SINGLE(ChartLines.NumInstances), IF("USD"=_xlfn.SINGLE(ChartLines.ID), "SoleBig", "SoleOrdinary"),   1=_xlfn.SINGLE(ChartLines.InstanceNum), "Outer",   TRUE, "Inner")</f>
        <v>Outer</v>
      </c>
      <c r="H331">
        <v>39</v>
      </c>
      <c r="I331">
        <v>51</v>
      </c>
      <c r="J331">
        <v>117</v>
      </c>
      <c r="K331">
        <v>329</v>
      </c>
    </row>
    <row r="332" spans="2:11">
      <c r="B332" t="s">
        <v>2233</v>
      </c>
      <c r="C332" t="s">
        <v>2236</v>
      </c>
      <c r="E332">
        <f t="shared" si="390"/>
        <v>2</v>
      </c>
      <c r="F332">
        <f t="shared" si="391"/>
        <v>2</v>
      </c>
      <c r="G332" t="str" cm="1">
        <f t="array" ref="G332" xml:space="preserve"> _xlfn.IFS(OR(LEN(_xlfn.SINGLE(ChartLines.ID))=0,"Unused"=_xlfn.SINGLE(ChartLines.ID)), "·",   1=_xlfn.SINGLE(ChartLines.NumInstances), IF("USD"=_xlfn.SINGLE(ChartLines.ID), "SoleBig", "SoleOrdinary"),   1=_xlfn.SINGLE(ChartLines.InstanceNum), "Outer",   TRUE, "Inner")</f>
        <v>Inner</v>
      </c>
      <c r="H332">
        <v>226</v>
      </c>
      <c r="I332">
        <v>6</v>
      </c>
      <c r="J332">
        <v>19</v>
      </c>
      <c r="K332">
        <v>330</v>
      </c>
    </row>
    <row r="333" spans="2:11">
      <c r="B333" t="s">
        <v>1821</v>
      </c>
      <c r="E333" t="str">
        <f t="shared" si="390"/>
        <v>·</v>
      </c>
      <c r="F333" t="str">
        <f t="shared" si="391"/>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173</v>
      </c>
      <c r="C334" t="s">
        <v>1928</v>
      </c>
      <c r="E334">
        <f t="shared" ref="E334" si="392" xml:space="preserve"> IF(AND(LEN(ChartLines.ID)&gt;0,"Unused"&lt;&gt;ChartLines.ID), COUNTIFS(ChartLines.ID,ChartLines.ID), "·")</f>
        <v>1</v>
      </c>
      <c r="F334">
        <f t="shared" ref="F334" si="393"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v>28</v>
      </c>
      <c r="I334">
        <v>48</v>
      </c>
      <c r="J334">
        <v>96</v>
      </c>
      <c r="K334">
        <v>332</v>
      </c>
    </row>
    <row r="335" spans="2:11">
      <c r="B335" t="s">
        <v>1821</v>
      </c>
      <c r="E335" t="str">
        <f t="shared" ref="E335" si="394" xml:space="preserve"> IF(AND(LEN(ChartLines.ID)&gt;0,"Unused"&lt;&gt;ChartLines.ID), COUNTIFS(ChartLines.ID,ChartLines.ID), "·")</f>
        <v>·</v>
      </c>
      <c r="F335" t="str">
        <f t="shared" ref="F335" si="395"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v>·</v>
      </c>
      <c r="I335" t="str">
        <v>·</v>
      </c>
      <c r="J335" t="str">
        <v>·</v>
      </c>
      <c r="K335">
        <v>333</v>
      </c>
    </row>
    <row r="336" spans="2:11">
      <c r="B336" t="s">
        <v>1929</v>
      </c>
      <c r="C336" t="s">
        <v>1930</v>
      </c>
      <c r="E336">
        <f t="shared" ref="E336" si="396" xml:space="preserve"> IF(AND(LEN(ChartLines.ID)&gt;0,"Unused"&lt;&gt;ChartLines.ID), COUNTIFS(ChartLines.ID,ChartLines.ID), "·")</f>
        <v>2</v>
      </c>
      <c r="F336">
        <f t="shared" ref="F336" si="397"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134</v>
      </c>
      <c r="I336">
        <v>12</v>
      </c>
      <c r="J336">
        <v>20</v>
      </c>
      <c r="K336">
        <v>334</v>
      </c>
    </row>
    <row r="337" spans="2:11">
      <c r="B337" t="s">
        <v>1929</v>
      </c>
      <c r="C337" t="s">
        <v>1825</v>
      </c>
      <c r="E337">
        <f t="shared" ref="E337" si="398" xml:space="preserve"> IF(AND(LEN(ChartLines.ID)&gt;0,"Unused"&lt;&gt;ChartLines.ID), COUNTIFS(ChartLines.ID,ChartLines.ID), "·")</f>
        <v>2</v>
      </c>
      <c r="F337">
        <f t="shared" ref="F337" si="399"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943</v>
      </c>
      <c r="C338" t="str">
        <f xml:space="preserve"> "039355"</f>
        <v>039355</v>
      </c>
      <c r="E338">
        <f t="shared" ref="E338" si="400" xml:space="preserve"> IF(AND(LEN(ChartLines.ID)&gt;0,"Unused"&lt;&gt;ChartLines.ID), COUNTIFS(ChartLines.ID,ChartLines.ID), "·")</f>
        <v>2</v>
      </c>
      <c r="F338">
        <f t="shared" ref="F338" si="401"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3</v>
      </c>
      <c r="I338">
        <v>147</v>
      </c>
      <c r="J338">
        <v>85</v>
      </c>
      <c r="K338">
        <v>336</v>
      </c>
    </row>
    <row r="339" spans="2:11">
      <c r="B339" t="s">
        <v>943</v>
      </c>
      <c r="C339" t="s">
        <v>1825</v>
      </c>
      <c r="E339">
        <f t="shared" ref="E339" si="402" xml:space="preserve"> IF(AND(LEN(ChartLines.ID)&gt;0,"Unused"&lt;&gt;ChartLines.ID), COUNTIFS(ChartLines.ID,ChartLines.ID), "·")</f>
        <v>2</v>
      </c>
      <c r="F339">
        <f t="shared" ref="F339" si="403"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255</v>
      </c>
      <c r="I339">
        <v>255</v>
      </c>
      <c r="J339">
        <v>255</v>
      </c>
      <c r="K339">
        <v>337</v>
      </c>
    </row>
    <row r="340" spans="2:11">
      <c r="B340" t="s">
        <v>106</v>
      </c>
      <c r="C340" t="str">
        <f xml:space="preserve"> "000000"</f>
        <v>000000</v>
      </c>
      <c r="E340">
        <f t="shared" ref="E340" si="404" xml:space="preserve"> IF(AND(LEN(ChartLines.ID)&gt;0,"Unused"&lt;&gt;ChartLines.ID), COUNTIFS(ChartLines.ID,ChartLines.ID), "·")</f>
        <v>2</v>
      </c>
      <c r="F340">
        <f t="shared" ref="F340" si="405" xml:space="preserve"> IF(AND(LEN(ChartLines.ID)&gt;0,"Unused"&lt;&gt;ChartLines.ID), COUNTIFS(ChartLines.ID,ChartLines.ID,   ChartLines.RowNum,"&lt;="&amp;ChartLines.RowNum), "·")</f>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0</v>
      </c>
      <c r="I340">
        <v>0</v>
      </c>
      <c r="J340">
        <v>0</v>
      </c>
      <c r="K340">
        <v>338</v>
      </c>
    </row>
    <row r="341" spans="2:11">
      <c r="B341" t="s">
        <v>106</v>
      </c>
      <c r="C341" t="str">
        <f xml:space="preserve"> "039355"</f>
        <v>039355</v>
      </c>
      <c r="E341">
        <f t="shared" ref="E341:E343" si="406" xml:space="preserve"> IF(AND(LEN(ChartLines.ID)&gt;0,"Unused"&lt;&gt;ChartLines.ID), COUNTIFS(ChartLines.ID,ChartLines.ID), "·")</f>
        <v>2</v>
      </c>
      <c r="F341">
        <f t="shared" ref="F341:F343" si="407" xml:space="preserve"> IF(AND(LEN(ChartLines.ID)&gt;0,"Unused"&lt;&gt;ChartLines.ID), COUNTIFS(ChartLines.ID,ChartLines.ID,   ChartLines.RowNum,"&lt;="&amp;ChartLines.RowNum), "·")</f>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3</v>
      </c>
      <c r="I341">
        <v>147</v>
      </c>
      <c r="J341">
        <v>85</v>
      </c>
      <c r="K341">
        <v>339</v>
      </c>
    </row>
    <row r="342" spans="2:11">
      <c r="B342" t="s">
        <v>2028</v>
      </c>
      <c r="C342" t="s">
        <v>2029</v>
      </c>
      <c r="E342">
        <f t="shared" si="406"/>
        <v>2</v>
      </c>
      <c r="F342">
        <f t="shared" si="407"/>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25</v>
      </c>
      <c r="I342">
        <v>141</v>
      </c>
      <c r="J342">
        <v>102</v>
      </c>
      <c r="K342">
        <v>340</v>
      </c>
    </row>
    <row r="343" spans="2:11">
      <c r="B343" t="s">
        <v>2028</v>
      </c>
      <c r="C343" t="s">
        <v>2030</v>
      </c>
      <c r="E343">
        <f t="shared" si="406"/>
        <v>2</v>
      </c>
      <c r="F343">
        <f t="shared" si="407"/>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252</v>
      </c>
      <c r="I343">
        <v>185</v>
      </c>
      <c r="J343">
        <v>14</v>
      </c>
      <c r="K343">
        <v>341</v>
      </c>
    </row>
    <row r="344" spans="2:11">
      <c r="B344" t="s">
        <v>980</v>
      </c>
      <c r="C344" t="str">
        <f xml:space="preserve"> "005073"</f>
        <v>005073</v>
      </c>
      <c r="E344">
        <f t="shared" ref="E344" si="408" xml:space="preserve"> IF(AND(LEN(ChartLines.ID)&gt;0,"Unused"&lt;&gt;ChartLines.ID), COUNTIFS(ChartLines.ID,ChartLines.ID), "·")</f>
        <v>2</v>
      </c>
      <c r="F344">
        <f t="shared" ref="F344" si="409"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0</v>
      </c>
      <c r="I344">
        <v>80</v>
      </c>
      <c r="J344">
        <v>115</v>
      </c>
      <c r="K344">
        <v>342</v>
      </c>
    </row>
    <row r="345" spans="2:11">
      <c r="B345" t="s">
        <v>980</v>
      </c>
      <c r="C345" t="s">
        <v>1825</v>
      </c>
      <c r="E345">
        <f t="shared" ref="E345:E349" si="410" xml:space="preserve"> IF(AND(LEN(ChartLines.ID)&gt;0,"Unused"&lt;&gt;ChartLines.ID), COUNTIFS(ChartLines.ID,ChartLines.ID), "·")</f>
        <v>2</v>
      </c>
      <c r="F345">
        <f t="shared" ref="F345:F349" si="411" xml:space="preserve"> IF(AND(LEN(ChartLines.ID)&gt;0,"Unused"&lt;&gt;ChartLines.ID), COUNTIFS(ChartLines.ID,ChartLines.ID,   ChartLines.RowNum,"&lt;="&amp;ChartLines.RowNum), "·")</f>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255</v>
      </c>
      <c r="I345">
        <v>255</v>
      </c>
      <c r="J345">
        <v>255</v>
      </c>
      <c r="K345">
        <v>343</v>
      </c>
    </row>
    <row r="346" spans="2:11">
      <c r="B346" t="s">
        <v>2018</v>
      </c>
      <c r="C346" t="s">
        <v>2021</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43</v>
      </c>
      <c r="I346">
        <v>206</v>
      </c>
      <c r="J346">
        <v>117</v>
      </c>
      <c r="K346">
        <v>344</v>
      </c>
    </row>
    <row r="347" spans="2:11">
      <c r="B347" t="s">
        <v>2018</v>
      </c>
      <c r="C347" t="s">
        <v>2022</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0</v>
      </c>
      <c r="I347">
        <v>70</v>
      </c>
      <c r="J347">
        <v>194</v>
      </c>
      <c r="K347">
        <v>345</v>
      </c>
    </row>
    <row r="348" spans="2:11">
      <c r="B348" t="s">
        <v>2023</v>
      </c>
      <c r="C348" t="s">
        <v>2026</v>
      </c>
      <c r="E348">
        <f t="shared" si="410"/>
        <v>2</v>
      </c>
      <c r="F348">
        <f t="shared" si="411"/>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239</v>
      </c>
      <c r="I348">
        <v>190</v>
      </c>
      <c r="J348">
        <v>32</v>
      </c>
      <c r="K348">
        <v>346</v>
      </c>
    </row>
    <row r="349" spans="2:11">
      <c r="B349" t="s">
        <v>2023</v>
      </c>
      <c r="C349" t="s">
        <v>2027</v>
      </c>
      <c r="E349">
        <f t="shared" si="410"/>
        <v>2</v>
      </c>
      <c r="F349">
        <f t="shared" si="411"/>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11</v>
      </c>
      <c r="I349">
        <v>92</v>
      </c>
      <c r="J349">
        <v>174</v>
      </c>
      <c r="K349">
        <v>347</v>
      </c>
    </row>
    <row r="350" spans="2:11">
      <c r="B350" t="s">
        <v>1038</v>
      </c>
      <c r="C350" t="str">
        <f xml:space="preserve"> "056839"</f>
        <v>056839</v>
      </c>
      <c r="E350">
        <f t="shared" ref="E350" si="412" xml:space="preserve"> IF(AND(LEN(ChartLines.ID)&gt;0,"Unused"&lt;&gt;ChartLines.ID), COUNTIFS(ChartLines.ID,ChartLines.ID), "·")</f>
        <v>2</v>
      </c>
      <c r="F350">
        <f t="shared" ref="F350" si="413"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5</v>
      </c>
      <c r="I350">
        <v>104</v>
      </c>
      <c r="J350">
        <v>57</v>
      </c>
      <c r="K350">
        <v>348</v>
      </c>
    </row>
    <row r="351" spans="2:11">
      <c r="B351" t="s">
        <v>1038</v>
      </c>
      <c r="C351" t="s">
        <v>1931</v>
      </c>
      <c r="E351">
        <f t="shared" ref="E351" si="414" xml:space="preserve"> IF(AND(LEN(ChartLines.ID)&gt;0,"Unused"&lt;&gt;ChartLines.ID), COUNTIFS(ChartLines.ID,ChartLines.ID), "·")</f>
        <v>2</v>
      </c>
      <c r="F351">
        <f t="shared" ref="F351" si="415"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190</v>
      </c>
      <c r="I351">
        <v>214</v>
      </c>
      <c r="J351">
        <v>47</v>
      </c>
      <c r="K351">
        <v>349</v>
      </c>
    </row>
    <row r="352" spans="2:11">
      <c r="B352" t="s">
        <v>1932</v>
      </c>
      <c r="C352" t="str">
        <f xml:space="preserve"> "000000"</f>
        <v>000000</v>
      </c>
      <c r="E352">
        <f t="shared" ref="E352" si="416" xml:space="preserve"> IF(AND(LEN(ChartLines.ID)&gt;0,"Unused"&lt;&gt;ChartLines.ID), COUNTIFS(ChartLines.ID,ChartLines.ID), "·")</f>
        <v>2</v>
      </c>
      <c r="F352">
        <f t="shared" ref="F352" si="417"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Outer</v>
      </c>
      <c r="H352">
        <v>0</v>
      </c>
      <c r="I352">
        <v>0</v>
      </c>
      <c r="J352">
        <v>0</v>
      </c>
      <c r="K352">
        <v>350</v>
      </c>
    </row>
    <row r="353" spans="2:11">
      <c r="B353" t="s">
        <v>1932</v>
      </c>
      <c r="C353" t="s">
        <v>1825</v>
      </c>
      <c r="E353">
        <f t="shared" ref="E353" si="418" xml:space="preserve"> IF(AND(LEN(ChartLines.ID)&gt;0,"Unused"&lt;&gt;ChartLines.ID), COUNTIFS(ChartLines.ID,ChartLines.ID), "·")</f>
        <v>2</v>
      </c>
      <c r="F353">
        <f t="shared" ref="F353" si="419" xml:space="preserve"> IF(AND(LEN(ChartLines.ID)&gt;0,"Unused"&lt;&gt;ChartLines.ID), COUNTIFS(ChartLines.ID,ChartLines.ID,   ChartLines.RowNum,"&lt;="&amp;ChartLines.RowNum), "·")</f>
        <v>2</v>
      </c>
      <c r="G353" t="str" cm="1">
        <f t="array" ref="G353" xml:space="preserve"> _xlfn.IFS(OR(LEN(_xlfn.SINGLE(ChartLines.ID))=0,"Unused"=_xlfn.SINGLE(ChartLines.ID)), "·",   1=_xlfn.SINGLE(ChartLines.NumInstances), IF("USD"=_xlfn.SINGLE(ChartLines.ID), "SoleBig", "SoleOrdinary"),   1=_xlfn.SINGLE(ChartLines.InstanceNum), "Outer",   TRUE, "Inner")</f>
        <v>Inner</v>
      </c>
      <c r="H353">
        <v>255</v>
      </c>
      <c r="I353">
        <v>255</v>
      </c>
      <c r="J353">
        <v>255</v>
      </c>
      <c r="K353">
        <v>351</v>
      </c>
    </row>
    <row r="354" spans="2:11">
      <c r="B354" t="s">
        <v>1933</v>
      </c>
      <c r="C354" t="s">
        <v>1934</v>
      </c>
      <c r="E354">
        <f t="shared" ref="E354" si="420" xml:space="preserve"> IF(AND(LEN(ChartLines.ID)&gt;0,"Unused"&lt;&gt;ChartLines.ID), COUNTIFS(ChartLines.ID,ChartLines.ID), "·")</f>
        <v>1</v>
      </c>
      <c r="F354">
        <f t="shared" ref="F354" si="421" xml:space="preserve"> IF(AND(LEN(ChartLines.ID)&gt;0,"Unused"&lt;&gt;ChartLines.ID), COUNTIFS(ChartLines.ID,ChartLines.ID,   ChartLines.RowNum,"&lt;="&amp;ChartLines.RowNum), "·")</f>
        <v>1</v>
      </c>
      <c r="G354" t="str" cm="1">
        <f t="array" ref="G354" xml:space="preserve"> _xlfn.IFS(OR(LEN(_xlfn.SINGLE(ChartLines.ID))=0,"Unused"=_xlfn.SINGLE(ChartLines.ID)), "·",   1=_xlfn.SINGLE(ChartLines.NumInstances), IF("USD"=_xlfn.SINGLE(ChartLines.ID), "SoleBig", "SoleOrdinary"),   1=_xlfn.SINGLE(ChartLines.InstanceNum), "Outer",   TRUE, "Inner")</f>
        <v>SoleOrdinary</v>
      </c>
      <c r="H354">
        <v>0</v>
      </c>
      <c r="I354">
        <v>76</v>
      </c>
      <c r="J354">
        <v>151</v>
      </c>
      <c r="K354">
        <v>352</v>
      </c>
    </row>
    <row r="355" spans="2:11">
      <c r="B355" t="s">
        <v>1821</v>
      </c>
      <c r="E355" t="str">
        <f t="shared" ref="E355" si="422" xml:space="preserve"> IF(AND(LEN(ChartLines.ID)&gt;0,"Unused"&lt;&gt;ChartLines.ID), COUNTIFS(ChartLines.ID,ChartLines.ID), "·")</f>
        <v>·</v>
      </c>
      <c r="F355" t="str">
        <f t="shared" ref="F355" si="423" xml:space="preserve"> IF(AND(LEN(ChartLines.ID)&gt;0,"Unused"&lt;&gt;ChartLines.ID), COUNTIFS(ChartLines.ID,ChartLines.ID,   ChartLines.RowNum,"&lt;="&amp;ChartLines.RowNum), "·")</f>
        <v>·</v>
      </c>
      <c r="G355" t="str" cm="1">
        <f t="array" ref="G355" xml:space="preserve"> _xlfn.IFS(OR(LEN(_xlfn.SINGLE(ChartLines.ID))=0,"Unused"=_xlfn.SINGLE(ChartLines.ID)), "·",   1=_xlfn.SINGLE(ChartLines.NumInstances), IF("USD"=_xlfn.SINGLE(ChartLines.ID), "SoleBig", "SoleOrdinary"),   1=_xlfn.SINGLE(ChartLines.InstanceNum), "Outer",   TRUE, "Inner")</f>
        <v>·</v>
      </c>
      <c r="H355" t="str">
        <v>·</v>
      </c>
      <c r="I355" t="str">
        <v>·</v>
      </c>
      <c r="J355" t="str">
        <v>·</v>
      </c>
      <c r="K355">
        <v>353</v>
      </c>
    </row>
    <row r="356" spans="2:11">
      <c r="E356" t="str">
        <f t="shared" ref="E356:E365" si="424" xml:space="preserve"> IF(AND(LEN(ChartLines.ID)&gt;0,"Unused"&lt;&gt;ChartLines.ID), COUNTIFS(ChartLines.ID,ChartLines.ID), "·")</f>
        <v>·</v>
      </c>
      <c r="F356" t="str">
        <f t="shared" ref="F356:F365" si="425" xml:space="preserve"> IF(AND(LEN(ChartLines.ID)&gt;0,"Unused"&lt;&gt;ChartLines.ID), COUNTIFS(ChartLines.ID,ChartLines.ID,   ChartLines.RowNum,"&lt;="&amp;ChartLines.RowNum), "·")</f>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2695</v>
      </c>
      <c r="C357" t="s">
        <v>2704</v>
      </c>
      <c r="E357">
        <f t="shared" si="424"/>
        <v>1</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SoleOrdinary</v>
      </c>
      <c r="H357">
        <v>147</v>
      </c>
      <c r="I357">
        <v>122</v>
      </c>
      <c r="J357">
        <v>54</v>
      </c>
      <c r="K357">
        <v>355</v>
      </c>
    </row>
    <row r="358" spans="2:11">
      <c r="B358" t="s">
        <v>1821</v>
      </c>
      <c r="E358" t="str">
        <f t="shared" si="424"/>
        <v>·</v>
      </c>
      <c r="F358" t="str">
        <f t="shared" si="425"/>
        <v>·</v>
      </c>
      <c r="G358" t="str" cm="1">
        <f t="array" ref="G358" xml:space="preserve"> _xlfn.IFS(OR(LEN(_xlfn.SINGLE(ChartLines.ID))=0,"Unused"=_xlfn.SINGLE(ChartLines.ID)), "·",   1=_xlfn.SINGLE(ChartLines.NumInstances), IF("USD"=_xlfn.SINGLE(ChartLines.ID), "SoleBig", "SoleOrdinary"),   1=_xlfn.SINGLE(ChartLines.InstanceNum), "Outer",   TRUE, "Inner")</f>
        <v>·</v>
      </c>
      <c r="H358" t="str">
        <v>·</v>
      </c>
      <c r="I358" t="str">
        <v>·</v>
      </c>
      <c r="J358" t="str">
        <v>·</v>
      </c>
      <c r="K358">
        <v>356</v>
      </c>
    </row>
    <row r="359" spans="2:11">
      <c r="B359" t="s">
        <v>2697</v>
      </c>
      <c r="C359" t="str">
        <f xml:space="preserve"> "572600"</f>
        <v>572600</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87</v>
      </c>
      <c r="I359">
        <v>38</v>
      </c>
      <c r="J359">
        <v>0</v>
      </c>
      <c r="K359">
        <v>357</v>
      </c>
    </row>
    <row r="360" spans="2:11">
      <c r="B360" t="s">
        <v>2697</v>
      </c>
      <c r="C360" t="s">
        <v>2705</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253</v>
      </c>
      <c r="I360">
        <v>184</v>
      </c>
      <c r="J360">
        <v>19</v>
      </c>
      <c r="K360">
        <v>358</v>
      </c>
    </row>
    <row r="361" spans="2:11">
      <c r="B361" t="s">
        <v>2698</v>
      </c>
      <c r="C361" t="s">
        <v>2702</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30</v>
      </c>
      <c r="I361">
        <v>44</v>
      </c>
      <c r="J361">
        <v>82</v>
      </c>
      <c r="K361">
        <v>359</v>
      </c>
    </row>
    <row r="362" spans="2:11">
      <c r="B362" t="s">
        <v>2698</v>
      </c>
      <c r="C362" t="s">
        <v>2703</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181</v>
      </c>
      <c r="I362">
        <v>22</v>
      </c>
      <c r="J362">
        <v>61</v>
      </c>
      <c r="K362">
        <v>360</v>
      </c>
    </row>
    <row r="363" spans="2:11">
      <c r="B363" t="s">
        <v>2699</v>
      </c>
      <c r="C363" t="str">
        <f xml:space="preserve"> "002096"</f>
        <v>002096</v>
      </c>
      <c r="E363">
        <f t="shared" si="424"/>
        <v>2</v>
      </c>
      <c r="F363">
        <f t="shared" si="425"/>
        <v>1</v>
      </c>
      <c r="G363" t="str" cm="1">
        <f t="array" ref="G363" xml:space="preserve"> _xlfn.IFS(OR(LEN(_xlfn.SINGLE(ChartLines.ID))=0,"Unused"=_xlfn.SINGLE(ChartLines.ID)), "·",   1=_xlfn.SINGLE(ChartLines.NumInstances), IF("USD"=_xlfn.SINGLE(ChartLines.ID), "SoleBig", "SoleOrdinary"),   1=_xlfn.SINGLE(ChartLines.InstanceNum), "Outer",   TRUE, "Inner")</f>
        <v>Outer</v>
      </c>
      <c r="H363">
        <v>0</v>
      </c>
      <c r="I363">
        <v>32</v>
      </c>
      <c r="J363">
        <v>150</v>
      </c>
      <c r="K363">
        <v>361</v>
      </c>
    </row>
    <row r="364" spans="2:11">
      <c r="B364" t="s">
        <v>2699</v>
      </c>
      <c r="C364" t="str">
        <f xml:space="preserve"> "009008"</f>
        <v>009008</v>
      </c>
      <c r="E364">
        <f t="shared" si="424"/>
        <v>2</v>
      </c>
      <c r="F364">
        <f t="shared" si="425"/>
        <v>2</v>
      </c>
      <c r="G364" t="str" cm="1">
        <f t="array" ref="G364" xml:space="preserve"> _xlfn.IFS(OR(LEN(_xlfn.SINGLE(ChartLines.ID))=0,"Unused"=_xlfn.SINGLE(ChartLines.ID)), "·",   1=_xlfn.SINGLE(ChartLines.NumInstances), IF("USD"=_xlfn.SINGLE(ChartLines.ID), "SoleBig", "SoleOrdinary"),   1=_xlfn.SINGLE(ChartLines.InstanceNum), "Outer",   TRUE, "Inner")</f>
        <v>Inner</v>
      </c>
      <c r="H364">
        <v>0</v>
      </c>
      <c r="I364">
        <v>144</v>
      </c>
      <c r="J364">
        <v>8</v>
      </c>
      <c r="K364">
        <v>362</v>
      </c>
    </row>
    <row r="365" spans="2:11">
      <c r="E365" t="str">
        <f t="shared" si="424"/>
        <v>·</v>
      </c>
      <c r="F365" t="str">
        <f t="shared" si="425"/>
        <v>·</v>
      </c>
      <c r="G365" t="str" cm="1">
        <f t="array" ref="G365" xml:space="preserve"> _xlfn.IFS(OR(LEN(_xlfn.SINGLE(ChartLines.ID))=0,"Unused"=_xlfn.SINGLE(ChartLines.ID)), "·",   1=_xlfn.SINGLE(ChartLines.NumInstances), IF("USD"=_xlfn.SINGLE(ChartLines.ID), "SoleBig", "SoleOrdinary"),   1=_xlfn.SINGLE(ChartLines.InstanceNum), "Outer",   TRUE, "Inner")</f>
        <v>·</v>
      </c>
      <c r="H365" t="str">
        <v>·</v>
      </c>
      <c r="I365" t="str">
        <v>·</v>
      </c>
      <c r="J365" t="str">
        <v>·</v>
      </c>
      <c r="K365">
        <v>363</v>
      </c>
    </row>
    <row r="366" spans="2:11">
      <c r="B366" t="s">
        <v>1935</v>
      </c>
      <c r="C366" t="str">
        <f xml:space="preserve"> "996515"</f>
        <v>996515</v>
      </c>
      <c r="E366">
        <f t="shared" ref="E366" si="426" xml:space="preserve"> IF(AND(LEN(ChartLines.ID)&gt;0,"Unused"&lt;&gt;ChartLines.ID), COUNTIFS(ChartLines.ID,ChartLines.ID), "·")</f>
        <v>2</v>
      </c>
      <c r="F366">
        <f t="shared" ref="F366" si="427"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153</v>
      </c>
      <c r="I366">
        <v>101</v>
      </c>
      <c r="J366">
        <v>21</v>
      </c>
      <c r="K366">
        <v>364</v>
      </c>
    </row>
    <row r="367" spans="2:11">
      <c r="B367" t="s">
        <v>1935</v>
      </c>
      <c r="C367" t="str">
        <f xml:space="preserve"> "D4AF37"</f>
        <v>D4AF37</v>
      </c>
      <c r="E367">
        <f t="shared" ref="E367" si="428" xml:space="preserve"> IF(AND(LEN(ChartLines.ID)&gt;0,"Unused"&lt;&gt;ChartLines.ID), COUNTIFS(ChartLines.ID,ChartLines.ID), "·")</f>
        <v>2</v>
      </c>
      <c r="F367">
        <f t="shared" ref="F367" si="429"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212</v>
      </c>
      <c r="I367">
        <v>175</v>
      </c>
      <c r="J367">
        <v>55</v>
      </c>
      <c r="K367">
        <v>365</v>
      </c>
    </row>
    <row r="368" spans="2:11">
      <c r="B368" t="s">
        <v>1936</v>
      </c>
      <c r="C368" t="s">
        <v>1937</v>
      </c>
      <c r="E368">
        <f t="shared" ref="E368" si="430" xml:space="preserve"> IF(AND(LEN(ChartLines.ID)&gt;0,"Unused"&lt;&gt;ChartLines.ID), COUNTIFS(ChartLines.ID,ChartLines.ID), "·")</f>
        <v>2</v>
      </c>
      <c r="F368">
        <f t="shared" ref="F368" si="431"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92</v>
      </c>
      <c r="I368">
        <v>92</v>
      </c>
      <c r="J368">
        <v>92</v>
      </c>
      <c r="K368">
        <v>366</v>
      </c>
    </row>
    <row r="369" spans="2:11">
      <c r="B369" t="s">
        <v>1936</v>
      </c>
      <c r="C369" t="str">
        <f xml:space="preserve"> "C0C0C0"</f>
        <v>C0C0C0</v>
      </c>
      <c r="E369">
        <f t="shared" ref="E369" si="432" xml:space="preserve"> IF(AND(LEN(ChartLines.ID)&gt;0,"Unused"&lt;&gt;ChartLines.ID), COUNTIFS(ChartLines.ID,ChartLines.ID), "·")</f>
        <v>2</v>
      </c>
      <c r="F369">
        <f t="shared" ref="F369" si="433"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192</v>
      </c>
      <c r="I369">
        <v>192</v>
      </c>
      <c r="J369">
        <v>192</v>
      </c>
      <c r="K369">
        <v>367</v>
      </c>
    </row>
    <row r="370" spans="2:11">
      <c r="B370" t="s">
        <v>917</v>
      </c>
      <c r="C370" t="s">
        <v>1938</v>
      </c>
      <c r="E370">
        <f t="shared" ref="E370:E404" si="434" xml:space="preserve"> IF(AND(LEN(ChartLines.ID)&gt;0,"Unused"&lt;&gt;ChartLines.ID), COUNTIFS(ChartLines.ID,ChartLines.ID), "·")</f>
        <v>2</v>
      </c>
      <c r="F370">
        <f t="shared" ref="F370:F404" si="435" xml:space="preserve"> IF(AND(LEN(ChartLines.ID)&gt;0,"Unused"&lt;&gt;ChartLines.ID), COUNTIFS(ChartLines.ID,ChartLines.ID,   ChartLines.RowNum,"&lt;="&amp;ChartLines.RowNum), "·")</f>
        <v>1</v>
      </c>
      <c r="G370" t="str" cm="1">
        <f t="array" ref="G370" xml:space="preserve"> _xlfn.IFS(OR(LEN(_xlfn.SINGLE(ChartLines.ID))=0,"Unused"=_xlfn.SINGLE(ChartLines.ID)), "·",   1=_xlfn.SINGLE(ChartLines.NumInstances), IF("USD"=_xlfn.SINGLE(ChartLines.ID), "SoleBig", "SoleOrdinary"),   1=_xlfn.SINGLE(ChartLines.InstanceNum), "Outer",   TRUE, "Inner")</f>
        <v>Outer</v>
      </c>
      <c r="H370">
        <v>217</v>
      </c>
      <c r="I370">
        <v>91</v>
      </c>
      <c r="J370">
        <v>20</v>
      </c>
      <c r="K370">
        <v>368</v>
      </c>
    </row>
    <row r="371" spans="2:11">
      <c r="B371" t="s">
        <v>917</v>
      </c>
      <c r="C371" t="s">
        <v>1939</v>
      </c>
      <c r="E371">
        <f t="shared" si="434"/>
        <v>2</v>
      </c>
      <c r="F371">
        <f t="shared" si="435"/>
        <v>2</v>
      </c>
      <c r="G371" t="str" cm="1">
        <f t="array" ref="G371" xml:space="preserve"> _xlfn.IFS(OR(LEN(_xlfn.SINGLE(ChartLines.ID))=0,"Unused"=_xlfn.SINGLE(ChartLines.ID)), "·",   1=_xlfn.SINGLE(ChartLines.NumInstances), IF("USD"=_xlfn.SINGLE(ChartLines.ID), "SoleBig", "SoleOrdinary"),   1=_xlfn.SINGLE(ChartLines.InstanceNum), "Outer",   TRUE, "Inner")</f>
        <v>Inner</v>
      </c>
      <c r="H371">
        <v>199</v>
      </c>
      <c r="I371">
        <v>199</v>
      </c>
      <c r="J371">
        <v>199</v>
      </c>
      <c r="K371">
        <v>369</v>
      </c>
    </row>
    <row r="372" spans="2:11">
      <c r="E372" t="str">
        <f t="shared" si="434"/>
        <v>·</v>
      </c>
      <c r="F372" t="str">
        <f t="shared" si="435"/>
        <v>·</v>
      </c>
      <c r="G372" t="str" cm="1">
        <f t="array" ref="G372" xml:space="preserve"> _xlfn.IFS(OR(LEN(_xlfn.SINGLE(ChartLines.ID))=0,"Unused"=_xlfn.SINGLE(ChartLines.ID)), "·",   1=_xlfn.SINGLE(ChartLines.NumInstances), IF("USD"=_xlfn.SINGLE(ChartLines.ID), "SoleBig", "SoleOrdinary"),   1=_xlfn.SINGLE(ChartLines.InstanceNum), "Outer",   TRUE, "Inner")</f>
        <v>·</v>
      </c>
      <c r="H372" t="str">
        <v>·</v>
      </c>
      <c r="I372" t="str">
        <v>·</v>
      </c>
      <c r="J372" t="str">
        <v>·</v>
      </c>
      <c r="K372">
        <v>370</v>
      </c>
    </row>
    <row r="373" spans="2:11">
      <c r="B373" t="s">
        <v>2764</v>
      </c>
      <c r="C373" t="str" cm="1">
        <f t="array" ref="C373" xml:space="preserve"> _xlfn.SWITCH(_xlfn.SINGLE(ChartLines.InstanceNum),   1, REPT(MID(_xlfn.SINGLE(ChartLines.ID),5,1),6),   2, REPT(MID(_xlfn.SINGLE(ChartLines.ID),7,1),2) &amp; REPT(MID(_xlfn.SINGLE(ChartLines.ID),8,1),2) &amp; REPT(MID(_xlfn.SINGLE(ChartLines.ID),9,1),2) )</f>
        <v>000000</v>
      </c>
      <c r="E373">
        <f t="shared" si="434"/>
        <v>2</v>
      </c>
      <c r="F373">
        <f t="shared" si="435"/>
        <v>1</v>
      </c>
      <c r="G373" t="str" cm="1">
        <f t="array" ref="G373" xml:space="preserve"> _xlfn.IFS(OR(LEN(_xlfn.SINGLE(ChartLines.ID))=0,"Unused"=_xlfn.SINGLE(ChartLines.ID)), "·",   1=_xlfn.SINGLE(ChartLines.NumInstances), IF("USD"=_xlfn.SINGLE(ChartLines.ID), "SoleBig", "SoleOrdinary"),   1=_xlfn.SINGLE(ChartLines.InstanceNum), "Outer",   TRUE, "Inner")</f>
        <v>Outer</v>
      </c>
      <c r="H373">
        <v>0</v>
      </c>
      <c r="I373">
        <v>0</v>
      </c>
      <c r="J373">
        <v>0</v>
      </c>
      <c r="K373">
        <v>371</v>
      </c>
    </row>
    <row r="374" spans="2:11">
      <c r="B374" t="s">
        <v>2764</v>
      </c>
      <c r="C374" t="str" cm="1">
        <f t="array" ref="C374" xml:space="preserve"> _xlfn.SWITCH(_xlfn.SINGLE(ChartLines.InstanceNum),   1, REPT(MID(_xlfn.SINGLE(ChartLines.ID),5,1),6),   2, REPT(MID(_xlfn.SINGLE(ChartLines.ID),7,1),2) &amp; REPT(MID(_xlfn.SINGLE(ChartLines.ID),8,1),2) &amp; REPT(MID(_xlfn.SINGLE(ChartLines.ID),9,1),2) )</f>
        <v>FFFFFF</v>
      </c>
      <c r="E374">
        <f t="shared" si="434"/>
        <v>2</v>
      </c>
      <c r="F374">
        <f t="shared" si="435"/>
        <v>2</v>
      </c>
      <c r="G374" t="str" cm="1">
        <f t="array" ref="G374" xml:space="preserve"> _xlfn.IFS(OR(LEN(_xlfn.SINGLE(ChartLines.ID))=0,"Unused"=_xlfn.SINGLE(ChartLines.ID)), "·",   1=_xlfn.SINGLE(ChartLines.NumInstances), IF("USD"=_xlfn.SINGLE(ChartLines.ID), "SoleBig", "SoleOrdinary"),   1=_xlfn.SINGLE(ChartLines.InstanceNum), "Outer",   TRUE, "Inner")</f>
        <v>Inner</v>
      </c>
      <c r="H374">
        <v>255</v>
      </c>
      <c r="I374">
        <v>255</v>
      </c>
      <c r="J374">
        <v>255</v>
      </c>
      <c r="K374">
        <v>372</v>
      </c>
    </row>
    <row r="375" spans="2:11">
      <c r="B375" t="s">
        <v>2765</v>
      </c>
      <c r="C375" t="str" cm="1">
        <f t="array" ref="C375" xml:space="preserve"> _xlfn.SWITCH(_xlfn.SINGLE(ChartLines.InstanceNum),   1, REPT(MID(_xlfn.SINGLE(ChartLines.ID),5,1),6),   2, REPT(MID(_xlfn.SINGLE(ChartLines.ID),7,1),2) &amp; REPT(MID(_xlfn.SINGLE(ChartLines.ID),8,1),2) &amp; REPT(MID(_xlfn.SINGLE(ChartLines.ID),9,1),2) )</f>
        <v>000000</v>
      </c>
      <c r="E375">
        <f t="shared" si="434"/>
        <v>2</v>
      </c>
      <c r="F375">
        <f t="shared" si="435"/>
        <v>1</v>
      </c>
      <c r="G375" t="str" cm="1">
        <f t="array" ref="G375" xml:space="preserve"> _xlfn.IFS(OR(LEN(_xlfn.SINGLE(ChartLines.ID))=0,"Unused"=_xlfn.SINGLE(ChartLines.ID)), "·",   1=_xlfn.SINGLE(ChartLines.NumInstances), IF("USD"=_xlfn.SINGLE(ChartLines.ID), "SoleBig", "SoleOrdinary"),   1=_xlfn.SINGLE(ChartLines.InstanceNum), "Outer",   TRUE, "Inner")</f>
        <v>Outer</v>
      </c>
      <c r="H375">
        <v>0</v>
      </c>
      <c r="I375">
        <v>0</v>
      </c>
      <c r="J375">
        <v>0</v>
      </c>
      <c r="K375">
        <v>373</v>
      </c>
    </row>
    <row r="376" spans="2:11">
      <c r="B376" t="s">
        <v>2765</v>
      </c>
      <c r="C376" t="str" cm="1">
        <f t="array" ref="C376" xml:space="preserve"> _xlfn.SWITCH(_xlfn.SINGLE(ChartLines.InstanceNum),   1, REPT(MID(_xlfn.SINGLE(ChartLines.ID),5,1),6),   2, REPT(MID(_xlfn.SINGLE(ChartLines.ID),7,1),2) &amp; REPT(MID(_xlfn.SINGLE(ChartLines.ID),8,1),2) &amp; REPT(MID(_xlfn.SINGLE(ChartLines.ID),9,1),2) )</f>
        <v>00FF00</v>
      </c>
      <c r="E376">
        <f t="shared" si="434"/>
        <v>2</v>
      </c>
      <c r="F376">
        <f t="shared" si="435"/>
        <v>2</v>
      </c>
      <c r="G376" t="str" cm="1">
        <f t="array" ref="G376" xml:space="preserve"> _xlfn.IFS(OR(LEN(_xlfn.SINGLE(ChartLines.ID))=0,"Unused"=_xlfn.SINGLE(ChartLines.ID)), "·",   1=_xlfn.SINGLE(ChartLines.NumInstances), IF("USD"=_xlfn.SINGLE(ChartLines.ID), "SoleBig", "SoleOrdinary"),   1=_xlfn.SINGLE(ChartLines.InstanceNum), "Outer",   TRUE, "Inner")</f>
        <v>Inner</v>
      </c>
      <c r="H376">
        <v>0</v>
      </c>
      <c r="I376">
        <v>255</v>
      </c>
      <c r="J376">
        <v>0</v>
      </c>
      <c r="K376">
        <v>374</v>
      </c>
    </row>
    <row r="377" spans="2:11">
      <c r="B377" t="s">
        <v>2766</v>
      </c>
      <c r="C377" t="str" cm="1">
        <f t="array" ref="C377" xml:space="preserve"> _xlfn.SWITCH(_xlfn.SINGLE(ChartLines.InstanceNum),   1, REPT(MID(_xlfn.SINGLE(ChartLines.ID),5,1),6),   2, REPT(MID(_xlfn.SINGLE(ChartLines.ID),7,1),2) &amp; REPT(MID(_xlfn.SINGLE(ChartLines.ID),8,1),2) &amp; REPT(MID(_xlfn.SINGLE(ChartLines.ID),9,1),2) )</f>
        <v>000000</v>
      </c>
      <c r="E377">
        <f t="shared" si="434"/>
        <v>2</v>
      </c>
      <c r="F377">
        <f t="shared" si="435"/>
        <v>1</v>
      </c>
      <c r="G377" t="str" cm="1">
        <f t="array" ref="G377" xml:space="preserve"> _xlfn.IFS(OR(LEN(_xlfn.SINGLE(ChartLines.ID))=0,"Unused"=_xlfn.SINGLE(ChartLines.ID)), "·",   1=_xlfn.SINGLE(ChartLines.NumInstances), IF("USD"=_xlfn.SINGLE(ChartLines.ID), "SoleBig", "SoleOrdinary"),   1=_xlfn.SINGLE(ChartLines.InstanceNum), "Outer",   TRUE, "Inner")</f>
        <v>Outer</v>
      </c>
      <c r="H377">
        <v>0</v>
      </c>
      <c r="I377">
        <v>0</v>
      </c>
      <c r="J377">
        <v>0</v>
      </c>
      <c r="K377">
        <v>375</v>
      </c>
    </row>
    <row r="378" spans="2:11">
      <c r="B378" t="s">
        <v>2766</v>
      </c>
      <c r="C378" t="str" cm="1">
        <f t="array" ref="C378" xml:space="preserve"> _xlfn.SWITCH(_xlfn.SINGLE(ChartLines.InstanceNum),   1, REPT(MID(_xlfn.SINGLE(ChartLines.ID),5,1),6),   2, REPT(MID(_xlfn.SINGLE(ChartLines.ID),7,1),2) &amp; REPT(MID(_xlfn.SINGLE(ChartLines.ID),8,1),2) &amp; REPT(MID(_xlfn.SINGLE(ChartLines.ID),9,1),2) )</f>
        <v>FF0000</v>
      </c>
      <c r="E378">
        <f t="shared" si="434"/>
        <v>2</v>
      </c>
      <c r="F378">
        <f t="shared" si="435"/>
        <v>2</v>
      </c>
      <c r="G378" t="str" cm="1">
        <f t="array" ref="G378" xml:space="preserve"> _xlfn.IFS(OR(LEN(_xlfn.SINGLE(ChartLines.ID))=0,"Unused"=_xlfn.SINGLE(ChartLines.ID)), "·",   1=_xlfn.SINGLE(ChartLines.NumInstances), IF("USD"=_xlfn.SINGLE(ChartLines.ID), "SoleBig", "SoleOrdinary"),   1=_xlfn.SINGLE(ChartLines.InstanceNum), "Outer",   TRUE, "Inner")</f>
        <v>Inner</v>
      </c>
      <c r="H378">
        <v>255</v>
      </c>
      <c r="I378">
        <v>0</v>
      </c>
      <c r="J378">
        <v>0</v>
      </c>
      <c r="K378">
        <v>376</v>
      </c>
    </row>
    <row r="379" spans="2:11">
      <c r="B379" t="s">
        <v>2767</v>
      </c>
      <c r="C379" t="str" cm="1">
        <f t="array" ref="C379" xml:space="preserve"> _xlfn.SWITCH(_xlfn.SINGLE(ChartLines.InstanceNum),   1, REPT(MID(_xlfn.SINGLE(ChartLines.ID),5,1),6),   2, REPT(MID(_xlfn.SINGLE(ChartLines.ID),7,1),2) &amp; REPT(MID(_xlfn.SINGLE(ChartLines.ID),8,1),2) &amp; REPT(MID(_xlfn.SINGLE(ChartLines.ID),9,1),2) )</f>
        <v>000000</v>
      </c>
      <c r="E379">
        <f t="shared" si="434"/>
        <v>2</v>
      </c>
      <c r="F379">
        <f t="shared" si="435"/>
        <v>1</v>
      </c>
      <c r="G379" t="str" cm="1">
        <f t="array" ref="G379" xml:space="preserve"> _xlfn.IFS(OR(LEN(_xlfn.SINGLE(ChartLines.ID))=0,"Unused"=_xlfn.SINGLE(ChartLines.ID)), "·",   1=_xlfn.SINGLE(ChartLines.NumInstances), IF("USD"=_xlfn.SINGLE(ChartLines.ID), "SoleBig", "SoleOrdinary"),   1=_xlfn.SINGLE(ChartLines.InstanceNum), "Outer",   TRUE, "Inner")</f>
        <v>Outer</v>
      </c>
      <c r="H379">
        <v>0</v>
      </c>
      <c r="I379">
        <v>0</v>
      </c>
      <c r="J379">
        <v>0</v>
      </c>
      <c r="K379">
        <v>377</v>
      </c>
    </row>
    <row r="380" spans="2:11">
      <c r="B380" t="s">
        <v>2767</v>
      </c>
      <c r="C380" t="str" cm="1">
        <f t="array" ref="C380" xml:space="preserve"> _xlfn.SWITCH(_xlfn.SINGLE(ChartLines.InstanceNum),   1, REPT(MID(_xlfn.SINGLE(ChartLines.ID),5,1),6),   2, REPT(MID(_xlfn.SINGLE(ChartLines.ID),7,1),2) &amp; REPT(MID(_xlfn.SINGLE(ChartLines.ID),8,1),2) &amp; REPT(MID(_xlfn.SINGLE(ChartLines.ID),9,1),2) )</f>
        <v>0000FF</v>
      </c>
      <c r="E380">
        <f t="shared" si="434"/>
        <v>2</v>
      </c>
      <c r="F380">
        <f t="shared" si="435"/>
        <v>2</v>
      </c>
      <c r="G380" t="str" cm="1">
        <f t="array" ref="G380" xml:space="preserve"> _xlfn.IFS(OR(LEN(_xlfn.SINGLE(ChartLines.ID))=0,"Unused"=_xlfn.SINGLE(ChartLines.ID)), "·",   1=_xlfn.SINGLE(ChartLines.NumInstances), IF("USD"=_xlfn.SINGLE(ChartLines.ID), "SoleBig", "SoleOrdinary"),   1=_xlfn.SINGLE(ChartLines.InstanceNum), "Outer",   TRUE, "Inner")</f>
        <v>Inner</v>
      </c>
      <c r="H380">
        <v>0</v>
      </c>
      <c r="I380">
        <v>0</v>
      </c>
      <c r="J380">
        <v>255</v>
      </c>
      <c r="K380">
        <v>378</v>
      </c>
    </row>
    <row r="381" spans="2:11">
      <c r="B381" t="s">
        <v>2768</v>
      </c>
      <c r="C381" t="str" cm="1">
        <f t="array" ref="C381" xml:space="preserve"> _xlfn.SWITCH(_xlfn.SINGLE(ChartLines.InstanceNum),   1, REPT(MID(_xlfn.SINGLE(ChartLines.ID),5,1),6),   2, REPT(MID(_xlfn.SINGLE(ChartLines.ID),7,1),2) &amp; REPT(MID(_xlfn.SINGLE(ChartLines.ID),8,1),2) &amp; REPT(MID(_xlfn.SINGLE(ChartLines.ID),9,1),2) )</f>
        <v>000000</v>
      </c>
      <c r="E381">
        <f t="shared" si="434"/>
        <v>2</v>
      </c>
      <c r="F381">
        <f t="shared" si="435"/>
        <v>1</v>
      </c>
      <c r="G381" t="str" cm="1">
        <f t="array" ref="G381" xml:space="preserve"> _xlfn.IFS(OR(LEN(_xlfn.SINGLE(ChartLines.ID))=0,"Unused"=_xlfn.SINGLE(ChartLines.ID)), "·",   1=_xlfn.SINGLE(ChartLines.NumInstances), IF("USD"=_xlfn.SINGLE(ChartLines.ID), "SoleBig", "SoleOrdinary"),   1=_xlfn.SINGLE(ChartLines.InstanceNum), "Outer",   TRUE, "Inner")</f>
        <v>Outer</v>
      </c>
      <c r="H381">
        <v>0</v>
      </c>
      <c r="I381">
        <v>0</v>
      </c>
      <c r="J381">
        <v>0</v>
      </c>
      <c r="K381">
        <v>379</v>
      </c>
    </row>
    <row r="382" spans="2:11">
      <c r="B382" t="s">
        <v>2768</v>
      </c>
      <c r="C382" t="str" cm="1">
        <f t="array" ref="C382" xml:space="preserve"> _xlfn.SWITCH(_xlfn.SINGLE(ChartLines.InstanceNum),   1, REPT(MID(_xlfn.SINGLE(ChartLines.ID),5,1),6),   2, REPT(MID(_xlfn.SINGLE(ChartLines.ID),7,1),2) &amp; REPT(MID(_xlfn.SINGLE(ChartLines.ID),8,1),2) &amp; REPT(MID(_xlfn.SINGLE(ChartLines.ID),9,1),2) )</f>
        <v>FF00FF</v>
      </c>
      <c r="E382">
        <f t="shared" si="434"/>
        <v>2</v>
      </c>
      <c r="F382">
        <f t="shared" si="435"/>
        <v>2</v>
      </c>
      <c r="G382" t="str" cm="1">
        <f t="array" ref="G382" xml:space="preserve"> _xlfn.IFS(OR(LEN(_xlfn.SINGLE(ChartLines.ID))=0,"Unused"=_xlfn.SINGLE(ChartLines.ID)), "·",   1=_xlfn.SINGLE(ChartLines.NumInstances), IF("USD"=_xlfn.SINGLE(ChartLines.ID), "SoleBig", "SoleOrdinary"),   1=_xlfn.SINGLE(ChartLines.InstanceNum), "Outer",   TRUE, "Inner")</f>
        <v>Inner</v>
      </c>
      <c r="H382">
        <v>255</v>
      </c>
      <c r="I382">
        <v>0</v>
      </c>
      <c r="J382">
        <v>255</v>
      </c>
      <c r="K382">
        <v>380</v>
      </c>
    </row>
    <row r="383" spans="2:11">
      <c r="B383" t="s">
        <v>2769</v>
      </c>
      <c r="C383" t="str" cm="1">
        <f t="array" ref="C383" xml:space="preserve"> _xlfn.SWITCH(_xlfn.SINGLE(ChartLines.InstanceNum),   1, REPT(MID(_xlfn.SINGLE(ChartLines.ID),5,1),6),   2, REPT(MID(_xlfn.SINGLE(ChartLines.ID),7,1),2) &amp; REPT(MID(_xlfn.SINGLE(ChartLines.ID),8,1),2) &amp; REPT(MID(_xlfn.SINGLE(ChartLines.ID),9,1),2) )</f>
        <v>000000</v>
      </c>
      <c r="E383">
        <f t="shared" si="434"/>
        <v>2</v>
      </c>
      <c r="F383">
        <f t="shared" si="435"/>
        <v>1</v>
      </c>
      <c r="G383" t="str" cm="1">
        <f t="array" ref="G383" xml:space="preserve"> _xlfn.IFS(OR(LEN(_xlfn.SINGLE(ChartLines.ID))=0,"Unused"=_xlfn.SINGLE(ChartLines.ID)), "·",   1=_xlfn.SINGLE(ChartLines.NumInstances), IF("USD"=_xlfn.SINGLE(ChartLines.ID), "SoleBig", "SoleOrdinary"),   1=_xlfn.SINGLE(ChartLines.InstanceNum), "Outer",   TRUE, "Inner")</f>
        <v>Outer</v>
      </c>
      <c r="H383">
        <v>0</v>
      </c>
      <c r="I383">
        <v>0</v>
      </c>
      <c r="J383">
        <v>0</v>
      </c>
      <c r="K383">
        <v>381</v>
      </c>
    </row>
    <row r="384" spans="2:11">
      <c r="B384" t="s">
        <v>2769</v>
      </c>
      <c r="C384" t="str" cm="1">
        <f t="array" ref="C384" xml:space="preserve"> _xlfn.SWITCH(_xlfn.SINGLE(ChartLines.InstanceNum),   1, REPT(MID(_xlfn.SINGLE(ChartLines.ID),5,1),6),   2, REPT(MID(_xlfn.SINGLE(ChartLines.ID),7,1),2) &amp; REPT(MID(_xlfn.SINGLE(ChartLines.ID),8,1),2) &amp; REPT(MID(_xlfn.SINGLE(ChartLines.ID),9,1),2) )</f>
        <v>00FFFF</v>
      </c>
      <c r="E384">
        <f t="shared" si="434"/>
        <v>2</v>
      </c>
      <c r="F384">
        <f t="shared" si="435"/>
        <v>2</v>
      </c>
      <c r="G384" t="str" cm="1">
        <f t="array" ref="G384" xml:space="preserve"> _xlfn.IFS(OR(LEN(_xlfn.SINGLE(ChartLines.ID))=0,"Unused"=_xlfn.SINGLE(ChartLines.ID)), "·",   1=_xlfn.SINGLE(ChartLines.NumInstances), IF("USD"=_xlfn.SINGLE(ChartLines.ID), "SoleBig", "SoleOrdinary"),   1=_xlfn.SINGLE(ChartLines.InstanceNum), "Outer",   TRUE, "Inner")</f>
        <v>Inner</v>
      </c>
      <c r="H384">
        <v>0</v>
      </c>
      <c r="I384">
        <v>255</v>
      </c>
      <c r="J384">
        <v>255</v>
      </c>
      <c r="K384">
        <v>382</v>
      </c>
    </row>
    <row r="385" spans="2:11">
      <c r="B385" t="s">
        <v>2770</v>
      </c>
      <c r="C385" t="str" cm="1">
        <f t="array" ref="C385" xml:space="preserve"> _xlfn.SWITCH(_xlfn.SINGLE(ChartLines.InstanceNum),   1, REPT(MID(_xlfn.SINGLE(ChartLines.ID),5,1),6),   2, REPT(MID(_xlfn.SINGLE(ChartLines.ID),7,1),2) &amp; REPT(MID(_xlfn.SINGLE(ChartLines.ID),8,1),2) &amp; REPT(MID(_xlfn.SINGLE(ChartLines.ID),9,1),2) )</f>
        <v>000000</v>
      </c>
      <c r="E385">
        <f t="shared" si="434"/>
        <v>2</v>
      </c>
      <c r="F385">
        <f t="shared" si="435"/>
        <v>1</v>
      </c>
      <c r="G385" t="str" cm="1">
        <f t="array" ref="G385" xml:space="preserve"> _xlfn.IFS(OR(LEN(_xlfn.SINGLE(ChartLines.ID))=0,"Unused"=_xlfn.SINGLE(ChartLines.ID)), "·",   1=_xlfn.SINGLE(ChartLines.NumInstances), IF("USD"=_xlfn.SINGLE(ChartLines.ID), "SoleBig", "SoleOrdinary"),   1=_xlfn.SINGLE(ChartLines.InstanceNum), "Outer",   TRUE, "Inner")</f>
        <v>Outer</v>
      </c>
      <c r="H385">
        <v>0</v>
      </c>
      <c r="I385">
        <v>0</v>
      </c>
      <c r="J385">
        <v>0</v>
      </c>
      <c r="K385">
        <v>383</v>
      </c>
    </row>
    <row r="386" spans="2:11">
      <c r="B386" t="s">
        <v>2770</v>
      </c>
      <c r="C386" t="str" cm="1">
        <f t="array" ref="C386" xml:space="preserve"> _xlfn.SWITCH(_xlfn.SINGLE(ChartLines.InstanceNum),   1, REPT(MID(_xlfn.SINGLE(ChartLines.ID),5,1),6),   2, REPT(MID(_xlfn.SINGLE(ChartLines.ID),7,1),2) &amp; REPT(MID(_xlfn.SINGLE(ChartLines.ID),8,1),2) &amp; REPT(MID(_xlfn.SINGLE(ChartLines.ID),9,1),2) )</f>
        <v>FFFF00</v>
      </c>
      <c r="E386">
        <f t="shared" si="434"/>
        <v>2</v>
      </c>
      <c r="F386">
        <f t="shared" si="435"/>
        <v>2</v>
      </c>
      <c r="G386" t="str" cm="1">
        <f t="array" ref="G386" xml:space="preserve"> _xlfn.IFS(OR(LEN(_xlfn.SINGLE(ChartLines.ID))=0,"Unused"=_xlfn.SINGLE(ChartLines.ID)), "·",   1=_xlfn.SINGLE(ChartLines.NumInstances), IF("USD"=_xlfn.SINGLE(ChartLines.ID), "SoleBig", "SoleOrdinary"),   1=_xlfn.SINGLE(ChartLines.InstanceNum), "Outer",   TRUE, "Inner")</f>
        <v>Inner</v>
      </c>
      <c r="H386">
        <v>255</v>
      </c>
      <c r="I386">
        <v>255</v>
      </c>
      <c r="J386">
        <v>0</v>
      </c>
      <c r="K386">
        <v>384</v>
      </c>
    </row>
    <row r="387" spans="2:11">
      <c r="B387" t="s">
        <v>2771</v>
      </c>
      <c r="C387" t="str" cm="1">
        <f t="array" ref="C387" xml:space="preserve"> _xlfn.SWITCH(_xlfn.SINGLE(ChartLines.InstanceNum),   1, REPT(MID(_xlfn.SINGLE(ChartLines.ID),5,1),6),   2, REPT(MID(_xlfn.SINGLE(ChartLines.ID),7,1),2) &amp; REPT(MID(_xlfn.SINGLE(ChartLines.ID),8,1),2) &amp; REPT(MID(_xlfn.SINGLE(ChartLines.ID),9,1),2) )</f>
        <v>666666</v>
      </c>
      <c r="E387">
        <f t="shared" si="434"/>
        <v>2</v>
      </c>
      <c r="F387">
        <f t="shared" si="435"/>
        <v>1</v>
      </c>
      <c r="G387" t="str" cm="1">
        <f t="array" ref="G387" xml:space="preserve"> _xlfn.IFS(OR(LEN(_xlfn.SINGLE(ChartLines.ID))=0,"Unused"=_xlfn.SINGLE(ChartLines.ID)), "·",   1=_xlfn.SINGLE(ChartLines.NumInstances), IF("USD"=_xlfn.SINGLE(ChartLines.ID), "SoleBig", "SoleOrdinary"),   1=_xlfn.SINGLE(ChartLines.InstanceNum), "Outer",   TRUE, "Inner")</f>
        <v>Outer</v>
      </c>
      <c r="H387">
        <v>102</v>
      </c>
      <c r="I387">
        <v>102</v>
      </c>
      <c r="J387">
        <v>102</v>
      </c>
      <c r="K387">
        <v>385</v>
      </c>
    </row>
    <row r="388" spans="2:11">
      <c r="B388" t="s">
        <v>2771</v>
      </c>
      <c r="C388" t="str" cm="1">
        <f t="array" ref="C388" xml:space="preserve"> _xlfn.SWITCH(_xlfn.SINGLE(ChartLines.InstanceNum),   1, REPT(MID(_xlfn.SINGLE(ChartLines.ID),5,1),6),   2, REPT(MID(_xlfn.SINGLE(ChartLines.ID),7,1),2) &amp; REPT(MID(_xlfn.SINGLE(ChartLines.ID),8,1),2) &amp; REPT(MID(_xlfn.SINGLE(ChartLines.ID),9,1),2) )</f>
        <v>FFFFFF</v>
      </c>
      <c r="E388">
        <f t="shared" si="434"/>
        <v>2</v>
      </c>
      <c r="F388">
        <f t="shared" si="435"/>
        <v>2</v>
      </c>
      <c r="G388" t="str" cm="1">
        <f t="array" ref="G388" xml:space="preserve"> _xlfn.IFS(OR(LEN(_xlfn.SINGLE(ChartLines.ID))=0,"Unused"=_xlfn.SINGLE(ChartLines.ID)), "·",   1=_xlfn.SINGLE(ChartLines.NumInstances), IF("USD"=_xlfn.SINGLE(ChartLines.ID), "SoleBig", "SoleOrdinary"),   1=_xlfn.SINGLE(ChartLines.InstanceNum), "Outer",   TRUE, "Inner")</f>
        <v>Inner</v>
      </c>
      <c r="H388">
        <v>255</v>
      </c>
      <c r="I388">
        <v>255</v>
      </c>
      <c r="J388">
        <v>255</v>
      </c>
      <c r="K388">
        <v>386</v>
      </c>
    </row>
    <row r="389" spans="2:11">
      <c r="B389" t="s">
        <v>2772</v>
      </c>
      <c r="C389" t="str" cm="1">
        <f t="array" ref="C389" xml:space="preserve"> _xlfn.SWITCH(_xlfn.SINGLE(ChartLines.InstanceNum),   1, REPT(MID(_xlfn.SINGLE(ChartLines.ID),5,1),6),   2, REPT(MID(_xlfn.SINGLE(ChartLines.ID),7,1),2) &amp; REPT(MID(_xlfn.SINGLE(ChartLines.ID),8,1),2) &amp; REPT(MID(_xlfn.SINGLE(ChartLines.ID),9,1),2) )</f>
        <v>666666</v>
      </c>
      <c r="E389">
        <f t="shared" si="434"/>
        <v>2</v>
      </c>
      <c r="F389">
        <f t="shared" si="435"/>
        <v>1</v>
      </c>
      <c r="G389" t="str" cm="1">
        <f t="array" ref="G389" xml:space="preserve"> _xlfn.IFS(OR(LEN(_xlfn.SINGLE(ChartLines.ID))=0,"Unused"=_xlfn.SINGLE(ChartLines.ID)), "·",   1=_xlfn.SINGLE(ChartLines.NumInstances), IF("USD"=_xlfn.SINGLE(ChartLines.ID), "SoleBig", "SoleOrdinary"),   1=_xlfn.SINGLE(ChartLines.InstanceNum), "Outer",   TRUE, "Inner")</f>
        <v>Outer</v>
      </c>
      <c r="H389">
        <v>102</v>
      </c>
      <c r="I389">
        <v>102</v>
      </c>
      <c r="J389">
        <v>102</v>
      </c>
      <c r="K389">
        <v>387</v>
      </c>
    </row>
    <row r="390" spans="2:11">
      <c r="B390" t="s">
        <v>2772</v>
      </c>
      <c r="C390" t="str" cm="1">
        <f t="array" ref="C390" xml:space="preserve"> _xlfn.SWITCH(_xlfn.SINGLE(ChartLines.InstanceNum),   1, REPT(MID(_xlfn.SINGLE(ChartLines.ID),5,1),6),   2, REPT(MID(_xlfn.SINGLE(ChartLines.ID),7,1),2) &amp; REPT(MID(_xlfn.SINGLE(ChartLines.ID),8,1),2) &amp; REPT(MID(_xlfn.SINGLE(ChartLines.ID),9,1),2) )</f>
        <v>00FF00</v>
      </c>
      <c r="E390">
        <f t="shared" si="434"/>
        <v>2</v>
      </c>
      <c r="F390">
        <f t="shared" si="435"/>
        <v>2</v>
      </c>
      <c r="G390" t="str" cm="1">
        <f t="array" ref="G390" xml:space="preserve"> _xlfn.IFS(OR(LEN(_xlfn.SINGLE(ChartLines.ID))=0,"Unused"=_xlfn.SINGLE(ChartLines.ID)), "·",   1=_xlfn.SINGLE(ChartLines.NumInstances), IF("USD"=_xlfn.SINGLE(ChartLines.ID), "SoleBig", "SoleOrdinary"),   1=_xlfn.SINGLE(ChartLines.InstanceNum), "Outer",   TRUE, "Inner")</f>
        <v>Inner</v>
      </c>
      <c r="H390">
        <v>0</v>
      </c>
      <c r="I390">
        <v>255</v>
      </c>
      <c r="J390">
        <v>0</v>
      </c>
      <c r="K390">
        <v>388</v>
      </c>
    </row>
    <row r="391" spans="2:11">
      <c r="B391" t="s">
        <v>2773</v>
      </c>
      <c r="C391" t="str" cm="1">
        <f t="array" ref="C391" xml:space="preserve"> _xlfn.SWITCH(_xlfn.SINGLE(ChartLines.InstanceNum),   1, REPT(MID(_xlfn.SINGLE(ChartLines.ID),5,1),6),   2, REPT(MID(_xlfn.SINGLE(ChartLines.ID),7,1),2) &amp; REPT(MID(_xlfn.SINGLE(ChartLines.ID),8,1),2) &amp; REPT(MID(_xlfn.SINGLE(ChartLines.ID),9,1),2) )</f>
        <v>666666</v>
      </c>
      <c r="E391">
        <f t="shared" si="434"/>
        <v>2</v>
      </c>
      <c r="F391">
        <f t="shared" si="435"/>
        <v>1</v>
      </c>
      <c r="G391" t="str" cm="1">
        <f t="array" ref="G391" xml:space="preserve"> _xlfn.IFS(OR(LEN(_xlfn.SINGLE(ChartLines.ID))=0,"Unused"=_xlfn.SINGLE(ChartLines.ID)), "·",   1=_xlfn.SINGLE(ChartLines.NumInstances), IF("USD"=_xlfn.SINGLE(ChartLines.ID), "SoleBig", "SoleOrdinary"),   1=_xlfn.SINGLE(ChartLines.InstanceNum), "Outer",   TRUE, "Inner")</f>
        <v>Outer</v>
      </c>
      <c r="H391">
        <v>102</v>
      </c>
      <c r="I391">
        <v>102</v>
      </c>
      <c r="J391">
        <v>102</v>
      </c>
      <c r="K391">
        <v>389</v>
      </c>
    </row>
    <row r="392" spans="2:11">
      <c r="B392" t="s">
        <v>2773</v>
      </c>
      <c r="C392" t="str" cm="1">
        <f t="array" ref="C392" xml:space="preserve"> _xlfn.SWITCH(_xlfn.SINGLE(ChartLines.InstanceNum),   1, REPT(MID(_xlfn.SINGLE(ChartLines.ID),5,1),6),   2, REPT(MID(_xlfn.SINGLE(ChartLines.ID),7,1),2) &amp; REPT(MID(_xlfn.SINGLE(ChartLines.ID),8,1),2) &amp; REPT(MID(_xlfn.SINGLE(ChartLines.ID),9,1),2) )</f>
        <v>FF0000</v>
      </c>
      <c r="E392">
        <f t="shared" si="434"/>
        <v>2</v>
      </c>
      <c r="F392">
        <f t="shared" si="435"/>
        <v>2</v>
      </c>
      <c r="G392" t="str" cm="1">
        <f t="array" ref="G392" xml:space="preserve"> _xlfn.IFS(OR(LEN(_xlfn.SINGLE(ChartLines.ID))=0,"Unused"=_xlfn.SINGLE(ChartLines.ID)), "·",   1=_xlfn.SINGLE(ChartLines.NumInstances), IF("USD"=_xlfn.SINGLE(ChartLines.ID), "SoleBig", "SoleOrdinary"),   1=_xlfn.SINGLE(ChartLines.InstanceNum), "Outer",   TRUE, "Inner")</f>
        <v>Inner</v>
      </c>
      <c r="H392">
        <v>255</v>
      </c>
      <c r="I392">
        <v>0</v>
      </c>
      <c r="J392">
        <v>0</v>
      </c>
      <c r="K392">
        <v>390</v>
      </c>
    </row>
    <row r="393" spans="2:11">
      <c r="B393" t="s">
        <v>2774</v>
      </c>
      <c r="C393" t="str" cm="1">
        <f t="array" ref="C393" xml:space="preserve"> _xlfn.SWITCH(_xlfn.SINGLE(ChartLines.InstanceNum),   1, REPT(MID(_xlfn.SINGLE(ChartLines.ID),5,1),6),   2, REPT(MID(_xlfn.SINGLE(ChartLines.ID),7,1),2) &amp; REPT(MID(_xlfn.SINGLE(ChartLines.ID),8,1),2) &amp; REPT(MID(_xlfn.SINGLE(ChartLines.ID),9,1),2) )</f>
        <v>666666</v>
      </c>
      <c r="E393">
        <f t="shared" si="434"/>
        <v>2</v>
      </c>
      <c r="F393">
        <f t="shared" si="435"/>
        <v>1</v>
      </c>
      <c r="G393" t="str" cm="1">
        <f t="array" ref="G393" xml:space="preserve"> _xlfn.IFS(OR(LEN(_xlfn.SINGLE(ChartLines.ID))=0,"Unused"=_xlfn.SINGLE(ChartLines.ID)), "·",   1=_xlfn.SINGLE(ChartLines.NumInstances), IF("USD"=_xlfn.SINGLE(ChartLines.ID), "SoleBig", "SoleOrdinary"),   1=_xlfn.SINGLE(ChartLines.InstanceNum), "Outer",   TRUE, "Inner")</f>
        <v>Outer</v>
      </c>
      <c r="H393">
        <v>102</v>
      </c>
      <c r="I393">
        <v>102</v>
      </c>
      <c r="J393">
        <v>102</v>
      </c>
      <c r="K393">
        <v>391</v>
      </c>
    </row>
    <row r="394" spans="2:11">
      <c r="B394" t="s">
        <v>2774</v>
      </c>
      <c r="C394" t="str" cm="1">
        <f t="array" ref="C394" xml:space="preserve"> _xlfn.SWITCH(_xlfn.SINGLE(ChartLines.InstanceNum),   1, REPT(MID(_xlfn.SINGLE(ChartLines.ID),5,1),6),   2, REPT(MID(_xlfn.SINGLE(ChartLines.ID),7,1),2) &amp; REPT(MID(_xlfn.SINGLE(ChartLines.ID),8,1),2) &amp; REPT(MID(_xlfn.SINGLE(ChartLines.ID),9,1),2) )</f>
        <v>0000FF</v>
      </c>
      <c r="E394">
        <f t="shared" si="434"/>
        <v>2</v>
      </c>
      <c r="F394">
        <f t="shared" si="435"/>
        <v>2</v>
      </c>
      <c r="G394" t="str" cm="1">
        <f t="array" ref="G394" xml:space="preserve"> _xlfn.IFS(OR(LEN(_xlfn.SINGLE(ChartLines.ID))=0,"Unused"=_xlfn.SINGLE(ChartLines.ID)), "·",   1=_xlfn.SINGLE(ChartLines.NumInstances), IF("USD"=_xlfn.SINGLE(ChartLines.ID), "SoleBig", "SoleOrdinary"),   1=_xlfn.SINGLE(ChartLines.InstanceNum), "Outer",   TRUE, "Inner")</f>
        <v>Inner</v>
      </c>
      <c r="H394">
        <v>0</v>
      </c>
      <c r="I394">
        <v>0</v>
      </c>
      <c r="J394">
        <v>255</v>
      </c>
      <c r="K394">
        <v>392</v>
      </c>
    </row>
    <row r="395" spans="2:11">
      <c r="B395" t="s">
        <v>2775</v>
      </c>
      <c r="C395" t="str" cm="1">
        <f t="array" ref="C395" xml:space="preserve"> _xlfn.SWITCH(_xlfn.SINGLE(ChartLines.InstanceNum),   1, REPT(MID(_xlfn.SINGLE(ChartLines.ID),5,1),6),   2, REPT(MID(_xlfn.SINGLE(ChartLines.ID),7,1),2) &amp; REPT(MID(_xlfn.SINGLE(ChartLines.ID),8,1),2) &amp; REPT(MID(_xlfn.SINGLE(ChartLines.ID),9,1),2) )</f>
        <v>666666</v>
      </c>
      <c r="E395">
        <f t="shared" si="434"/>
        <v>2</v>
      </c>
      <c r="F395">
        <f t="shared" si="435"/>
        <v>1</v>
      </c>
      <c r="G395" t="str" cm="1">
        <f t="array" ref="G395" xml:space="preserve"> _xlfn.IFS(OR(LEN(_xlfn.SINGLE(ChartLines.ID))=0,"Unused"=_xlfn.SINGLE(ChartLines.ID)), "·",   1=_xlfn.SINGLE(ChartLines.NumInstances), IF("USD"=_xlfn.SINGLE(ChartLines.ID), "SoleBig", "SoleOrdinary"),   1=_xlfn.SINGLE(ChartLines.InstanceNum), "Outer",   TRUE, "Inner")</f>
        <v>Outer</v>
      </c>
      <c r="H395">
        <v>102</v>
      </c>
      <c r="I395">
        <v>102</v>
      </c>
      <c r="J395">
        <v>102</v>
      </c>
      <c r="K395">
        <v>393</v>
      </c>
    </row>
    <row r="396" spans="2:11">
      <c r="B396" t="s">
        <v>2775</v>
      </c>
      <c r="C396" t="str" cm="1">
        <f t="array" ref="C396" xml:space="preserve"> _xlfn.SWITCH(_xlfn.SINGLE(ChartLines.InstanceNum),   1, REPT(MID(_xlfn.SINGLE(ChartLines.ID),5,1),6),   2, REPT(MID(_xlfn.SINGLE(ChartLines.ID),7,1),2) &amp; REPT(MID(_xlfn.SINGLE(ChartLines.ID),8,1),2) &amp; REPT(MID(_xlfn.SINGLE(ChartLines.ID),9,1),2) )</f>
        <v>FF00FF</v>
      </c>
      <c r="E396">
        <f t="shared" si="434"/>
        <v>2</v>
      </c>
      <c r="F396">
        <f t="shared" si="435"/>
        <v>2</v>
      </c>
      <c r="G396" t="str" cm="1">
        <f t="array" ref="G396" xml:space="preserve"> _xlfn.IFS(OR(LEN(_xlfn.SINGLE(ChartLines.ID))=0,"Unused"=_xlfn.SINGLE(ChartLines.ID)), "·",   1=_xlfn.SINGLE(ChartLines.NumInstances), IF("USD"=_xlfn.SINGLE(ChartLines.ID), "SoleBig", "SoleOrdinary"),   1=_xlfn.SINGLE(ChartLines.InstanceNum), "Outer",   TRUE, "Inner")</f>
        <v>Inner</v>
      </c>
      <c r="H396">
        <v>255</v>
      </c>
      <c r="I396">
        <v>0</v>
      </c>
      <c r="J396">
        <v>255</v>
      </c>
      <c r="K396">
        <v>394</v>
      </c>
    </row>
    <row r="397" spans="2:11">
      <c r="B397" t="s">
        <v>2776</v>
      </c>
      <c r="C397" t="str" cm="1">
        <f t="array" ref="C397" xml:space="preserve"> _xlfn.SWITCH(_xlfn.SINGLE(ChartLines.InstanceNum),   1, REPT(MID(_xlfn.SINGLE(ChartLines.ID),5,1),6),   2, REPT(MID(_xlfn.SINGLE(ChartLines.ID),7,1),2) &amp; REPT(MID(_xlfn.SINGLE(ChartLines.ID),8,1),2) &amp; REPT(MID(_xlfn.SINGLE(ChartLines.ID),9,1),2) )</f>
        <v>666666</v>
      </c>
      <c r="E397">
        <f t="shared" si="434"/>
        <v>2</v>
      </c>
      <c r="F397">
        <f t="shared" si="435"/>
        <v>1</v>
      </c>
      <c r="G397" t="str" cm="1">
        <f t="array" ref="G397" xml:space="preserve"> _xlfn.IFS(OR(LEN(_xlfn.SINGLE(ChartLines.ID))=0,"Unused"=_xlfn.SINGLE(ChartLines.ID)), "·",   1=_xlfn.SINGLE(ChartLines.NumInstances), IF("USD"=_xlfn.SINGLE(ChartLines.ID), "SoleBig", "SoleOrdinary"),   1=_xlfn.SINGLE(ChartLines.InstanceNum), "Outer",   TRUE, "Inner")</f>
        <v>Outer</v>
      </c>
      <c r="H397">
        <v>102</v>
      </c>
      <c r="I397">
        <v>102</v>
      </c>
      <c r="J397">
        <v>102</v>
      </c>
      <c r="K397">
        <v>395</v>
      </c>
    </row>
    <row r="398" spans="2:11">
      <c r="B398" t="s">
        <v>2776</v>
      </c>
      <c r="C398" t="str" cm="1">
        <f t="array" ref="C398" xml:space="preserve"> _xlfn.SWITCH(_xlfn.SINGLE(ChartLines.InstanceNum),   1, REPT(MID(_xlfn.SINGLE(ChartLines.ID),5,1),6),   2, REPT(MID(_xlfn.SINGLE(ChartLines.ID),7,1),2) &amp; REPT(MID(_xlfn.SINGLE(ChartLines.ID),8,1),2) &amp; REPT(MID(_xlfn.SINGLE(ChartLines.ID),9,1),2) )</f>
        <v>00FFFF</v>
      </c>
      <c r="E398">
        <f t="shared" si="434"/>
        <v>2</v>
      </c>
      <c r="F398">
        <f t="shared" si="435"/>
        <v>2</v>
      </c>
      <c r="G398" t="str" cm="1">
        <f t="array" ref="G398" xml:space="preserve"> _xlfn.IFS(OR(LEN(_xlfn.SINGLE(ChartLines.ID))=0,"Unused"=_xlfn.SINGLE(ChartLines.ID)), "·",   1=_xlfn.SINGLE(ChartLines.NumInstances), IF("USD"=_xlfn.SINGLE(ChartLines.ID), "SoleBig", "SoleOrdinary"),   1=_xlfn.SINGLE(ChartLines.InstanceNum), "Outer",   TRUE, "Inner")</f>
        <v>Inner</v>
      </c>
      <c r="H398">
        <v>0</v>
      </c>
      <c r="I398">
        <v>255</v>
      </c>
      <c r="J398">
        <v>255</v>
      </c>
      <c r="K398">
        <v>396</v>
      </c>
    </row>
    <row r="399" spans="2:11">
      <c r="B399" t="s">
        <v>2777</v>
      </c>
      <c r="C399" t="str" cm="1">
        <f t="array" ref="C399" xml:space="preserve"> _xlfn.SWITCH(_xlfn.SINGLE(ChartLines.InstanceNum),   1, REPT(MID(_xlfn.SINGLE(ChartLines.ID),5,1),6),   2, REPT(MID(_xlfn.SINGLE(ChartLines.ID),7,1),2) &amp; REPT(MID(_xlfn.SINGLE(ChartLines.ID),8,1),2) &amp; REPT(MID(_xlfn.SINGLE(ChartLines.ID),9,1),2) )</f>
        <v>666666</v>
      </c>
      <c r="E399">
        <f t="shared" si="434"/>
        <v>2</v>
      </c>
      <c r="F399">
        <f t="shared" si="435"/>
        <v>1</v>
      </c>
      <c r="G399" t="str" cm="1">
        <f t="array" ref="G399" xml:space="preserve"> _xlfn.IFS(OR(LEN(_xlfn.SINGLE(ChartLines.ID))=0,"Unused"=_xlfn.SINGLE(ChartLines.ID)), "·",   1=_xlfn.SINGLE(ChartLines.NumInstances), IF("USD"=_xlfn.SINGLE(ChartLines.ID), "SoleBig", "SoleOrdinary"),   1=_xlfn.SINGLE(ChartLines.InstanceNum), "Outer",   TRUE, "Inner")</f>
        <v>Outer</v>
      </c>
      <c r="H399">
        <v>102</v>
      </c>
      <c r="I399">
        <v>102</v>
      </c>
      <c r="J399">
        <v>102</v>
      </c>
      <c r="K399">
        <v>397</v>
      </c>
    </row>
    <row r="400" spans="2:11">
      <c r="B400" t="s">
        <v>2777</v>
      </c>
      <c r="C400" t="str" cm="1">
        <f t="array" ref="C400" xml:space="preserve"> _xlfn.SWITCH(_xlfn.SINGLE(ChartLines.InstanceNum),   1, REPT(MID(_xlfn.SINGLE(ChartLines.ID),5,1),6),   2, REPT(MID(_xlfn.SINGLE(ChartLines.ID),7,1),2) &amp; REPT(MID(_xlfn.SINGLE(ChartLines.ID),8,1),2) &amp; REPT(MID(_xlfn.SINGLE(ChartLines.ID),9,1),2) )</f>
        <v>FFFF00</v>
      </c>
      <c r="E400">
        <f t="shared" si="434"/>
        <v>2</v>
      </c>
      <c r="F400">
        <f t="shared" si="435"/>
        <v>2</v>
      </c>
      <c r="G400" t="str" cm="1">
        <f t="array" ref="G400" xml:space="preserve"> _xlfn.IFS(OR(LEN(_xlfn.SINGLE(ChartLines.ID))=0,"Unused"=_xlfn.SINGLE(ChartLines.ID)), "·",   1=_xlfn.SINGLE(ChartLines.NumInstances), IF("USD"=_xlfn.SINGLE(ChartLines.ID), "SoleBig", "SoleOrdinary"),   1=_xlfn.SINGLE(ChartLines.InstanceNum), "Outer",   TRUE, "Inner")</f>
        <v>Inner</v>
      </c>
      <c r="H400">
        <v>255</v>
      </c>
      <c r="I400">
        <v>255</v>
      </c>
      <c r="J400">
        <v>0</v>
      </c>
      <c r="K400">
        <v>398</v>
      </c>
    </row>
    <row r="401" spans="2:11">
      <c r="E401" t="str">
        <f t="shared" si="434"/>
        <v>·</v>
      </c>
      <c r="F401" t="str">
        <f t="shared" si="435"/>
        <v>·</v>
      </c>
      <c r="G401" t="str" cm="1">
        <f t="array" ref="G401" xml:space="preserve"> _xlfn.IFS(OR(LEN(_xlfn.SINGLE(ChartLines.ID))=0,"Unused"=_xlfn.SINGLE(ChartLines.ID)), "·",   1=_xlfn.SINGLE(ChartLines.NumInstances), IF("USD"=_xlfn.SINGLE(ChartLines.ID), "SoleBig", "SoleOrdinary"),   1=_xlfn.SINGLE(ChartLines.InstanceNum), "Outer",   TRUE, "Inner")</f>
        <v>·</v>
      </c>
      <c r="H401" t="str">
        <v>·</v>
      </c>
      <c r="I401" t="str">
        <v>·</v>
      </c>
      <c r="J401" t="str">
        <v>·</v>
      </c>
      <c r="K401">
        <v>399</v>
      </c>
    </row>
    <row r="402" spans="2:11">
      <c r="E402" t="str">
        <f t="shared" si="434"/>
        <v>·</v>
      </c>
      <c r="F402" t="str">
        <f t="shared" si="435"/>
        <v>·</v>
      </c>
      <c r="G402" t="str" cm="1">
        <f t="array" ref="G402" xml:space="preserve"> _xlfn.IFS(OR(LEN(_xlfn.SINGLE(ChartLines.ID))=0,"Unused"=_xlfn.SINGLE(ChartLines.ID)), "·",   1=_xlfn.SINGLE(ChartLines.NumInstances), IF("USD"=_xlfn.SINGLE(ChartLines.ID), "SoleBig", "SoleOrdinary"),   1=_xlfn.SINGLE(ChartLines.InstanceNum), "Outer",   TRUE, "Inner")</f>
        <v>·</v>
      </c>
      <c r="H402" t="str">
        <v>·</v>
      </c>
      <c r="I402" t="str">
        <v>·</v>
      </c>
      <c r="J402" t="str">
        <v>·</v>
      </c>
      <c r="K402">
        <v>400</v>
      </c>
    </row>
    <row r="403" spans="2:11">
      <c r="E403" t="str">
        <f t="shared" si="434"/>
        <v>·</v>
      </c>
      <c r="F403" t="str">
        <f t="shared" si="435"/>
        <v>·</v>
      </c>
      <c r="G403" t="str" cm="1">
        <f t="array" ref="G403" xml:space="preserve"> _xlfn.IFS(OR(LEN(_xlfn.SINGLE(ChartLines.ID))=0,"Unused"=_xlfn.SINGLE(ChartLines.ID)), "·",   1=_xlfn.SINGLE(ChartLines.NumInstances), IF("USD"=_xlfn.SINGLE(ChartLines.ID), "SoleBig", "SoleOrdinary"),   1=_xlfn.SINGLE(ChartLines.InstanceNum), "Outer",   TRUE, "Inner")</f>
        <v>·</v>
      </c>
      <c r="H403" t="str">
        <v>·</v>
      </c>
      <c r="I403" t="str">
        <v>·</v>
      </c>
      <c r="J403" t="str">
        <v>·</v>
      </c>
      <c r="K403">
        <v>401</v>
      </c>
    </row>
    <row r="404" spans="2:11">
      <c r="B404" t="s">
        <v>2599</v>
      </c>
      <c r="C404" t="s">
        <v>2599</v>
      </c>
      <c r="E404">
        <f t="shared" si="434"/>
        <v>1</v>
      </c>
      <c r="F404">
        <f t="shared" si="435"/>
        <v>1</v>
      </c>
      <c r="G404" t="str" cm="1">
        <f t="array" ref="G404" xml:space="preserve"> _xlfn.IFS(OR(LEN(_xlfn.SINGLE(ChartLines.ID))=0,"Unused"=_xlfn.SINGLE(ChartLines.ID)), "·",   1=_xlfn.SINGLE(ChartLines.NumInstances), IF("USD"=_xlfn.SINGLE(ChartLines.ID), "SoleBig", "SoleOrdinary"),   1=_xlfn.SINGLE(ChartLines.InstanceNum), "Outer",   TRUE, "Inner")</f>
        <v>SoleOrdinary</v>
      </c>
      <c r="H404" t="str">
        <v>·</v>
      </c>
      <c r="I404" t="str">
        <v>·</v>
      </c>
      <c r="J404" t="str">
        <v>·</v>
      </c>
      <c r="K404">
        <v>402</v>
      </c>
    </row>
  </sheetData>
  <sortState xmlns:xlrd2="http://schemas.microsoft.com/office/spreadsheetml/2017/richdata2" ref="B373:C400">
    <sortCondition ref="B373:B400"/>
  </sortState>
  <pageMargins left="0.7" right="0.7" top="0.75" bottom="0.75" header="0.3" footer="0.3"/>
  <pageSetup paperSize="9" orientation="portrait" horizontalDpi="0" verticalDpi="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200"/>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2429</v>
      </c>
      <c r="C5" s="35" t="s">
        <v>2430</v>
      </c>
      <c r="D5" s="35" t="s">
        <v>2431</v>
      </c>
      <c r="E5" s="35" t="s">
        <v>2432</v>
      </c>
    </row>
    <row r="7" spans="2:5">
      <c r="B7" s="5" t="s">
        <v>2</v>
      </c>
      <c r="C7" s="5" t="s">
        <v>2621</v>
      </c>
      <c r="E7" s="5" t="s">
        <v>2622</v>
      </c>
    </row>
    <row r="8" spans="2:5">
      <c r="B8" s="5" t="s">
        <v>2629</v>
      </c>
      <c r="C8" s="5" t="s">
        <v>2643</v>
      </c>
      <c r="D8" s="5" t="s">
        <v>2645</v>
      </c>
    </row>
    <row r="9" spans="2:5">
      <c r="B9" s="5" t="s">
        <v>2632</v>
      </c>
      <c r="C9" s="5" t="s">
        <v>2644</v>
      </c>
      <c r="D9" s="5" t="s">
        <v>2646</v>
      </c>
    </row>
    <row r="10" spans="2:5">
      <c r="B10" s="5" t="s">
        <v>403</v>
      </c>
      <c r="C10" s="5" t="s">
        <v>2433</v>
      </c>
      <c r="D10" s="5" t="s">
        <v>2655</v>
      </c>
    </row>
    <row r="11" spans="2:5">
      <c r="B11" s="5" t="s">
        <v>2654</v>
      </c>
      <c r="C11" s="5" t="s">
        <v>2657</v>
      </c>
      <c r="D11" s="5" t="s">
        <v>2656</v>
      </c>
    </row>
    <row r="12" spans="2:5">
      <c r="B12" s="5" t="s">
        <v>0</v>
      </c>
      <c r="C12" s="5" t="s">
        <v>2434</v>
      </c>
      <c r="D12" s="5" t="s">
        <v>2435</v>
      </c>
    </row>
    <row r="13" spans="2:5">
      <c r="B13" s="5" t="s">
        <v>2242</v>
      </c>
      <c r="C13" s="5" t="s">
        <v>2436</v>
      </c>
    </row>
    <row r="14" spans="2:5">
      <c r="B14" s="5" t="s">
        <v>2240</v>
      </c>
      <c r="C14" s="5" t="s">
        <v>2437</v>
      </c>
    </row>
    <row r="15" spans="2:5">
      <c r="B15" s="5" t="s">
        <v>2243</v>
      </c>
      <c r="C15" s="5" t="s">
        <v>2438</v>
      </c>
    </row>
    <row r="16" spans="2:5">
      <c r="B16" s="5" t="s">
        <v>2241</v>
      </c>
      <c r="C16" s="5" t="s">
        <v>2439</v>
      </c>
    </row>
    <row r="17" spans="2:5">
      <c r="B17" s="5" t="s">
        <v>2244</v>
      </c>
      <c r="C17" s="5" t="s">
        <v>2440</v>
      </c>
      <c r="D17" s="5" t="s">
        <v>2738</v>
      </c>
    </row>
    <row r="18" spans="2:5">
      <c r="B18" s="5" t="s">
        <v>7</v>
      </c>
      <c r="C18" s="5" t="s">
        <v>2441</v>
      </c>
    </row>
    <row r="19" spans="2:5">
      <c r="B19" s="5" t="s">
        <v>1527</v>
      </c>
      <c r="C19" s="5" t="s">
        <v>2442</v>
      </c>
      <c r="D19" s="5" t="s">
        <v>2443</v>
      </c>
    </row>
    <row r="20" spans="2:5">
      <c r="B20" s="5" t="s">
        <v>2264</v>
      </c>
      <c r="C20" s="5" t="s">
        <v>2444</v>
      </c>
      <c r="D20" s="5" t="s">
        <v>2445</v>
      </c>
    </row>
    <row r="21" spans="2:5">
      <c r="B21" s="5" t="s">
        <v>1826</v>
      </c>
      <c r="C21" s="5" t="s">
        <v>2446</v>
      </c>
      <c r="D21" s="5" t="s">
        <v>2447</v>
      </c>
    </row>
    <row r="22" spans="2:5">
      <c r="B22" s="5" t="s">
        <v>2282</v>
      </c>
      <c r="C22" s="5" t="s">
        <v>2448</v>
      </c>
      <c r="D22" s="5" t="s">
        <v>2449</v>
      </c>
    </row>
    <row r="23" spans="2:5">
      <c r="B23" s="5" t="s">
        <v>1827</v>
      </c>
      <c r="C23" s="5" t="s">
        <v>2450</v>
      </c>
    </row>
    <row r="24" spans="2:5">
      <c r="B24" s="5" t="s">
        <v>122</v>
      </c>
      <c r="C24" s="5" t="s">
        <v>2451</v>
      </c>
    </row>
    <row r="25" spans="2:5">
      <c r="B25" s="5" t="s">
        <v>126</v>
      </c>
      <c r="C25" s="5" t="s">
        <v>2452</v>
      </c>
    </row>
    <row r="26" spans="2:5">
      <c r="B26" s="5" t="s">
        <v>128</v>
      </c>
      <c r="C26" s="5" t="s">
        <v>2453</v>
      </c>
    </row>
    <row r="27" spans="2:5">
      <c r="B27" s="5" t="s">
        <v>133</v>
      </c>
      <c r="C27" s="5" t="s">
        <v>2454</v>
      </c>
    </row>
    <row r="28" spans="2:5">
      <c r="B28" s="5" t="s">
        <v>1870</v>
      </c>
      <c r="C28" s="5" t="s">
        <v>2628</v>
      </c>
    </row>
    <row r="29" spans="2:5">
      <c r="B29" s="5" t="s">
        <v>203</v>
      </c>
      <c r="C29" s="5" t="s">
        <v>2455</v>
      </c>
    </row>
    <row r="30" spans="2:5">
      <c r="B30" s="5" t="s">
        <v>1872</v>
      </c>
      <c r="C30" s="5" t="s">
        <v>2611</v>
      </c>
      <c r="E30" s="5" t="s">
        <v>2612</v>
      </c>
    </row>
    <row r="31" spans="2:5">
      <c r="B31" s="5" t="s">
        <v>136</v>
      </c>
      <c r="C31" s="5" t="s">
        <v>2723</v>
      </c>
    </row>
    <row r="32" spans="2:5">
      <c r="B32" s="5" t="s">
        <v>235</v>
      </c>
      <c r="C32" s="5" t="s">
        <v>2613</v>
      </c>
      <c r="E32" s="5" t="s">
        <v>2614</v>
      </c>
    </row>
    <row r="33" spans="2:3">
      <c r="B33" s="5" t="s">
        <v>162</v>
      </c>
      <c r="C33" s="5" t="s">
        <v>2456</v>
      </c>
    </row>
    <row r="34" spans="2:3">
      <c r="B34" s="5" t="s">
        <v>163</v>
      </c>
      <c r="C34" s="5" t="s">
        <v>2457</v>
      </c>
    </row>
    <row r="35" spans="2:3">
      <c r="B35" s="5" t="s">
        <v>2362</v>
      </c>
      <c r="C35" s="5" t="s">
        <v>2458</v>
      </c>
    </row>
    <row r="36" spans="2:3">
      <c r="B36" s="5" t="s">
        <v>248</v>
      </c>
      <c r="C36" s="5" t="s">
        <v>2459</v>
      </c>
    </row>
    <row r="37" spans="2:3">
      <c r="B37" s="5" t="s">
        <v>260</v>
      </c>
      <c r="C37" s="5" t="s">
        <v>2460</v>
      </c>
    </row>
    <row r="38" spans="2:3">
      <c r="B38" s="5" t="s">
        <v>295</v>
      </c>
      <c r="C38" s="5" t="s">
        <v>2461</v>
      </c>
    </row>
    <row r="39" spans="2:3">
      <c r="B39" s="5" t="s">
        <v>135</v>
      </c>
      <c r="C39" s="5" t="s">
        <v>2462</v>
      </c>
    </row>
    <row r="40" spans="2:3">
      <c r="B40" s="5" t="s">
        <v>97</v>
      </c>
      <c r="C40" s="5" t="s">
        <v>2463</v>
      </c>
    </row>
    <row r="41" spans="2:3">
      <c r="B41" s="5" t="s">
        <v>164</v>
      </c>
      <c r="C41" s="5" t="s">
        <v>2464</v>
      </c>
    </row>
    <row r="42" spans="2:3">
      <c r="B42" s="5" t="s">
        <v>2403</v>
      </c>
      <c r="C42" s="5" t="s">
        <v>2607</v>
      </c>
    </row>
    <row r="43" spans="2:3">
      <c r="B43" s="5" t="s">
        <v>1886</v>
      </c>
      <c r="C43" s="5" t="s">
        <v>2465</v>
      </c>
    </row>
    <row r="44" spans="2:3">
      <c r="B44" s="5" t="s">
        <v>2294</v>
      </c>
      <c r="C44" s="5" t="s">
        <v>2466</v>
      </c>
    </row>
    <row r="45" spans="2:3">
      <c r="B45" s="5" t="s">
        <v>2392</v>
      </c>
      <c r="C45" s="5" t="s">
        <v>2467</v>
      </c>
    </row>
    <row r="46" spans="2:3">
      <c r="B46" s="5" t="s">
        <v>1602</v>
      </c>
      <c r="C46" s="5" t="s">
        <v>2468</v>
      </c>
    </row>
    <row r="47" spans="2:3">
      <c r="B47" s="5" t="s">
        <v>2254</v>
      </c>
      <c r="C47" s="5" t="s">
        <v>2469</v>
      </c>
    </row>
    <row r="48" spans="2:3">
      <c r="B48" s="5" t="s">
        <v>2663</v>
      </c>
      <c r="C48" s="5" t="s">
        <v>2667</v>
      </c>
    </row>
    <row r="49" spans="2:5">
      <c r="B49" s="5" t="s">
        <v>132</v>
      </c>
      <c r="C49" s="5" t="s">
        <v>2470</v>
      </c>
    </row>
    <row r="50" spans="2:5">
      <c r="B50" s="5" t="s">
        <v>1528</v>
      </c>
      <c r="C50" s="5" t="s">
        <v>2471</v>
      </c>
    </row>
    <row r="51" spans="2:5">
      <c r="B51" s="5" t="s">
        <v>325</v>
      </c>
      <c r="C51" s="5" t="s">
        <v>2472</v>
      </c>
    </row>
    <row r="52" spans="2:5">
      <c r="B52" s="5" t="s">
        <v>371</v>
      </c>
      <c r="C52" s="5" t="s">
        <v>2473</v>
      </c>
    </row>
    <row r="53" spans="2:5">
      <c r="B53" s="5" t="s">
        <v>356</v>
      </c>
      <c r="C53" s="5" t="s">
        <v>2619</v>
      </c>
    </row>
    <row r="54" spans="2:5">
      <c r="B54" s="5" t="s">
        <v>375</v>
      </c>
      <c r="C54" s="5" t="s">
        <v>2474</v>
      </c>
    </row>
    <row r="55" spans="2:5">
      <c r="B55" s="5" t="s">
        <v>2722</v>
      </c>
      <c r="C55" s="5" t="s">
        <v>2475</v>
      </c>
    </row>
    <row r="56" spans="2:5">
      <c r="B56" s="5" t="s">
        <v>867</v>
      </c>
      <c r="C56" s="5" t="s">
        <v>2476</v>
      </c>
    </row>
    <row r="57" spans="2:5">
      <c r="B57" s="5" t="s">
        <v>392</v>
      </c>
      <c r="C57" s="5" t="s">
        <v>2477</v>
      </c>
    </row>
    <row r="58" spans="2:5">
      <c r="B58" s="5" t="s">
        <v>404</v>
      </c>
      <c r="C58" s="5" t="s">
        <v>2478</v>
      </c>
    </row>
    <row r="59" spans="2:5">
      <c r="B59" s="5" t="s">
        <v>1658</v>
      </c>
      <c r="C59" s="5" t="s">
        <v>2479</v>
      </c>
    </row>
    <row r="60" spans="2:5">
      <c r="B60" s="5" t="s">
        <v>165</v>
      </c>
      <c r="C60" s="5" t="s">
        <v>2480</v>
      </c>
    </row>
    <row r="61" spans="2:5">
      <c r="B61" s="5" t="s">
        <v>1898</v>
      </c>
      <c r="C61" s="5" t="s">
        <v>2481</v>
      </c>
      <c r="E61" s="5" t="s">
        <v>2482</v>
      </c>
    </row>
    <row r="62" spans="2:5">
      <c r="B62" s="5" t="s">
        <v>2397</v>
      </c>
      <c r="C62" s="5" t="s">
        <v>2483</v>
      </c>
    </row>
    <row r="63" spans="2:5">
      <c r="B63" s="5" t="s">
        <v>2398</v>
      </c>
      <c r="C63" s="5" t="s">
        <v>2484</v>
      </c>
    </row>
    <row r="64" spans="2:5">
      <c r="B64" s="5" t="s">
        <v>2140</v>
      </c>
      <c r="C64" s="5" t="s">
        <v>2485</v>
      </c>
    </row>
    <row r="65" spans="2:5">
      <c r="B65" s="5" t="s">
        <v>405</v>
      </c>
      <c r="C65" s="5" t="s">
        <v>2615</v>
      </c>
      <c r="E65" s="5" t="s">
        <v>2616</v>
      </c>
    </row>
    <row r="66" spans="2:5">
      <c r="B66" s="5" t="s">
        <v>134</v>
      </c>
      <c r="C66" s="5" t="s">
        <v>2623</v>
      </c>
    </row>
    <row r="67" spans="2:5">
      <c r="B67" s="5" t="s">
        <v>166</v>
      </c>
      <c r="C67" s="5" t="s">
        <v>2486</v>
      </c>
    </row>
    <row r="68" spans="2:5">
      <c r="B68" s="5" t="s">
        <v>457</v>
      </c>
      <c r="C68" s="5" t="s">
        <v>2487</v>
      </c>
    </row>
    <row r="69" spans="2:5">
      <c r="B69" s="5" t="s">
        <v>1964</v>
      </c>
      <c r="C69" s="5" t="s">
        <v>2488</v>
      </c>
    </row>
    <row r="70" spans="2:5">
      <c r="B70" s="5" t="s">
        <v>471</v>
      </c>
      <c r="C70" s="5" t="s">
        <v>2489</v>
      </c>
    </row>
    <row r="71" spans="2:5">
      <c r="B71" s="5" t="s">
        <v>2396</v>
      </c>
      <c r="C71" s="5" t="s">
        <v>2490</v>
      </c>
    </row>
    <row r="72" spans="2:5">
      <c r="B72" s="5" t="s">
        <v>1902</v>
      </c>
      <c r="C72" s="5" t="s">
        <v>2491</v>
      </c>
    </row>
    <row r="73" spans="2:5">
      <c r="B73" s="5" t="s">
        <v>2012</v>
      </c>
      <c r="C73" s="5" t="s">
        <v>2492</v>
      </c>
    </row>
    <row r="74" spans="2:5">
      <c r="B74" s="5" t="s">
        <v>489</v>
      </c>
      <c r="C74" s="5" t="s">
        <v>2493</v>
      </c>
    </row>
    <row r="75" spans="2:5">
      <c r="B75" s="5" t="s">
        <v>167</v>
      </c>
      <c r="C75" s="5" t="s">
        <v>2494</v>
      </c>
    </row>
    <row r="76" spans="2:5">
      <c r="B76" s="5" t="s">
        <v>2293</v>
      </c>
      <c r="C76" s="5" t="s">
        <v>2625</v>
      </c>
    </row>
    <row r="77" spans="2:5">
      <c r="B77" s="5" t="s">
        <v>2289</v>
      </c>
      <c r="C77" s="5" t="s">
        <v>2495</v>
      </c>
    </row>
    <row r="78" spans="2:5">
      <c r="B78" s="5" t="s">
        <v>1904</v>
      </c>
      <c r="C78" s="5" t="s">
        <v>2496</v>
      </c>
    </row>
    <row r="79" spans="2:5">
      <c r="B79" s="5" t="s">
        <v>137</v>
      </c>
      <c r="C79" s="5" t="s">
        <v>2497</v>
      </c>
    </row>
    <row r="80" spans="2:5">
      <c r="B80" s="5" t="s">
        <v>138</v>
      </c>
      <c r="C80" s="5" t="s">
        <v>2498</v>
      </c>
    </row>
    <row r="81" spans="2:5">
      <c r="B81" s="5" t="s">
        <v>1612</v>
      </c>
      <c r="C81" s="5" t="s">
        <v>2499</v>
      </c>
      <c r="E81" s="5" t="s">
        <v>2624</v>
      </c>
    </row>
    <row r="82" spans="2:5">
      <c r="B82" s="5" t="s">
        <v>490</v>
      </c>
      <c r="C82" s="5" t="s">
        <v>2500</v>
      </c>
    </row>
    <row r="83" spans="2:5">
      <c r="B83" s="5" t="s">
        <v>888</v>
      </c>
      <c r="C83" s="5" t="s">
        <v>2501</v>
      </c>
    </row>
    <row r="84" spans="2:5">
      <c r="B84" s="5" t="s">
        <v>508</v>
      </c>
      <c r="C84" s="5" t="s">
        <v>2609</v>
      </c>
      <c r="E84" s="5" t="s">
        <v>2610</v>
      </c>
    </row>
    <row r="85" spans="2:5">
      <c r="B85" s="5" t="s">
        <v>431</v>
      </c>
      <c r="C85" s="5" t="s">
        <v>2502</v>
      </c>
    </row>
    <row r="86" spans="2:5">
      <c r="B86" s="5" t="s">
        <v>168</v>
      </c>
      <c r="C86" s="5" t="s">
        <v>2503</v>
      </c>
    </row>
    <row r="87" spans="2:5">
      <c r="B87" s="5" t="s">
        <v>1605</v>
      </c>
      <c r="C87" s="5" t="s">
        <v>2504</v>
      </c>
    </row>
    <row r="88" spans="2:5">
      <c r="B88" s="5" t="s">
        <v>1991</v>
      </c>
      <c r="C88" s="5" t="s">
        <v>2505</v>
      </c>
    </row>
    <row r="89" spans="2:5">
      <c r="B89" s="5" t="s">
        <v>1615</v>
      </c>
      <c r="C89" s="5" t="s">
        <v>2506</v>
      </c>
    </row>
    <row r="90" spans="2:5">
      <c r="B90" s="5" t="s">
        <v>1611</v>
      </c>
      <c r="C90" s="5" t="s">
        <v>2507</v>
      </c>
    </row>
    <row r="91" spans="2:5">
      <c r="B91" s="5" t="s">
        <v>1625</v>
      </c>
      <c r="C91" s="5" t="s">
        <v>2508</v>
      </c>
    </row>
    <row r="92" spans="2:5">
      <c r="B92" s="5" t="s">
        <v>1608</v>
      </c>
      <c r="C92" s="5" t="s">
        <v>2509</v>
      </c>
    </row>
    <row r="93" spans="2:5">
      <c r="B93" s="5" t="s">
        <v>1945</v>
      </c>
      <c r="C93" s="5" t="s">
        <v>2510</v>
      </c>
    </row>
    <row r="94" spans="2:5">
      <c r="B94" s="5" t="s">
        <v>139</v>
      </c>
      <c r="C94" s="5" t="s">
        <v>2511</v>
      </c>
    </row>
    <row r="95" spans="2:5">
      <c r="B95" s="5" t="s">
        <v>99</v>
      </c>
      <c r="C95" s="5" t="s">
        <v>2512</v>
      </c>
    </row>
    <row r="96" spans="2:5">
      <c r="B96" s="5" t="s">
        <v>98</v>
      </c>
      <c r="C96" s="5" t="s">
        <v>2513</v>
      </c>
    </row>
    <row r="97" spans="2:5">
      <c r="B97" s="5" t="s">
        <v>2401</v>
      </c>
      <c r="C97" s="5" t="s">
        <v>2514</v>
      </c>
    </row>
    <row r="98" spans="2:5">
      <c r="B98" s="5" t="s">
        <v>2137</v>
      </c>
      <c r="C98" s="5" t="s">
        <v>2515</v>
      </c>
    </row>
    <row r="99" spans="2:5">
      <c r="B99" s="5" t="s">
        <v>2658</v>
      </c>
      <c r="C99" s="5" t="s">
        <v>2661</v>
      </c>
    </row>
    <row r="100" spans="2:5">
      <c r="B100" s="5" t="s">
        <v>2664</v>
      </c>
      <c r="C100" s="5" t="s">
        <v>2666</v>
      </c>
      <c r="E100" s="5" t="s">
        <v>2668</v>
      </c>
    </row>
    <row r="101" spans="2:5">
      <c r="B101" s="5" t="s">
        <v>524</v>
      </c>
      <c r="C101" s="5" t="s">
        <v>2516</v>
      </c>
    </row>
    <row r="102" spans="2:5">
      <c r="B102" s="5" t="s">
        <v>526</v>
      </c>
      <c r="C102" s="5" t="s">
        <v>2517</v>
      </c>
    </row>
    <row r="103" spans="2:5">
      <c r="B103" s="5" t="s">
        <v>140</v>
      </c>
      <c r="C103" s="5" t="s">
        <v>2518</v>
      </c>
      <c r="E103" s="5" t="s">
        <v>2519</v>
      </c>
    </row>
    <row r="104" spans="2:5">
      <c r="B104" s="5" t="s">
        <v>100</v>
      </c>
      <c r="C104" s="5" t="s">
        <v>2520</v>
      </c>
    </row>
    <row r="105" spans="2:5">
      <c r="B105" s="5" t="s">
        <v>101</v>
      </c>
      <c r="C105" s="5" t="s">
        <v>2521</v>
      </c>
    </row>
    <row r="106" spans="2:5">
      <c r="B106" s="5" t="s">
        <v>542</v>
      </c>
      <c r="C106" s="5" t="s">
        <v>2522</v>
      </c>
    </row>
    <row r="107" spans="2:5">
      <c r="B107" s="5" t="s">
        <v>102</v>
      </c>
      <c r="C107" s="5" t="s">
        <v>2523</v>
      </c>
    </row>
    <row r="108" spans="2:5">
      <c r="B108" s="5" t="s">
        <v>1922</v>
      </c>
      <c r="C108" s="5" t="s">
        <v>2524</v>
      </c>
    </row>
    <row r="109" spans="2:5">
      <c r="B109" s="5" t="s">
        <v>558</v>
      </c>
      <c r="C109" s="5" t="s">
        <v>2525</v>
      </c>
    </row>
    <row r="110" spans="2:5">
      <c r="B110" s="5" t="s">
        <v>559</v>
      </c>
      <c r="C110" s="5" t="s">
        <v>2526</v>
      </c>
    </row>
    <row r="111" spans="2:5">
      <c r="B111" s="5" t="s">
        <v>2297</v>
      </c>
      <c r="C111" s="5" t="s">
        <v>2527</v>
      </c>
    </row>
    <row r="112" spans="2:5">
      <c r="B112" s="5" t="s">
        <v>2292</v>
      </c>
      <c r="C112" s="5" t="s">
        <v>2528</v>
      </c>
    </row>
    <row r="113" spans="2:5">
      <c r="B113" s="5" t="s">
        <v>169</v>
      </c>
      <c r="C113" s="5" t="s">
        <v>2529</v>
      </c>
    </row>
    <row r="114" spans="2:5">
      <c r="B114" s="5" t="s">
        <v>2340</v>
      </c>
      <c r="C114" s="5" t="s">
        <v>2530</v>
      </c>
    </row>
    <row r="115" spans="2:5">
      <c r="B115" s="5" t="s">
        <v>2360</v>
      </c>
      <c r="C115" s="5" t="s">
        <v>2531</v>
      </c>
    </row>
    <row r="116" spans="2:5">
      <c r="B116" s="5" t="s">
        <v>1693</v>
      </c>
      <c r="C116" s="5" t="s">
        <v>2532</v>
      </c>
      <c r="E116" s="5" t="s">
        <v>2519</v>
      </c>
    </row>
    <row r="117" spans="2:5">
      <c r="B117" s="5" t="s">
        <v>571</v>
      </c>
      <c r="C117" s="5" t="s">
        <v>2533</v>
      </c>
    </row>
    <row r="118" spans="2:5">
      <c r="B118" s="5" t="s">
        <v>572</v>
      </c>
      <c r="C118" s="5" t="s">
        <v>2534</v>
      </c>
    </row>
    <row r="119" spans="2:5">
      <c r="B119" s="5" t="s">
        <v>573</v>
      </c>
      <c r="C119" s="5" t="s">
        <v>2535</v>
      </c>
    </row>
    <row r="120" spans="2:5">
      <c r="B120" s="5" t="s">
        <v>2762</v>
      </c>
      <c r="C120" s="5" t="str">
        <f xml:space="preserve"> "Based on the fly of the [flag of Cuba](https://en.wikipedia.org/wiki/Flag_of_Cuba)."</f>
        <v>Based on the fly of the [flag of Cuba](https://en.wikipedia.org/wiki/Flag_of_Cuba).</v>
      </c>
      <c r="E120" s="5" t="str">
        <f>_xlfn._LONGTEXT("In the [flag of Cuba](https://en.wikipedia.org/wiki/Flag_of_Cuba#Specifications), from the right of the red triangle to the edge of the fly has the ratio (30&amp;minus;7&amp;frac12;&amp;radic;3)&amp;ratio;15, &amp;asymp;&amp;nbsp;17.0096&amp;ratio;15, here rounded to 17&amp;ratio;15.&lt;/p","&gt; | ![CUP](../ChartLines/CUP_line.svg)&lt;br/&gt;002590 |&amp;nbsp;") &amp; ROUND(15*(4 - SQRT(3))/2,4) &amp; "&amp;ratio;15, here rounded to 17&amp;ratio;15."</f>
        <v>In the [flag of Cuba](https://en.wikipedia.org/wiki/Flag_of_Cuba#Specifications), from the right of the red triangle to the edge of the fly has the ratio (30&amp;minus;7&amp;frac12;&amp;radic;3)&amp;ratio;15, &amp;asymp;&amp;nbsp;17.0096&amp;ratio;15, here rounded to 17&amp;ratio;15.&lt;/p&gt; | ![CUP](../ChartLines/CUP_line.svg)&lt;br/&gt;002590 |&amp;nbsp;17.0096&amp;ratio;15, here rounded to 17&amp;ratio;15.</v>
      </c>
    </row>
    <row r="121" spans="2:5">
      <c r="B121" s="5" t="s">
        <v>1762</v>
      </c>
      <c r="C121" s="5" t="s">
        <v>2536</v>
      </c>
    </row>
    <row r="122" spans="2:5">
      <c r="B122" s="5" t="s">
        <v>782</v>
      </c>
      <c r="C122" s="5" t="s">
        <v>2537</v>
      </c>
      <c r="D122" s="5" t="s">
        <v>2649</v>
      </c>
    </row>
    <row r="123" spans="2:5">
      <c r="B123" s="5" t="s">
        <v>2633</v>
      </c>
      <c r="C123" s="5" t="str">
        <f xml:space="preserve"> "Shape from `" &amp; $B$122 &amp; "` marker; with green."</f>
        <v>Shape from `EU` marker; with green.</v>
      </c>
      <c r="D123" s="5" t="s">
        <v>2647</v>
      </c>
    </row>
    <row r="124" spans="2:5">
      <c r="B124" s="5" t="s">
        <v>2634</v>
      </c>
      <c r="C124" s="5" t="str">
        <f xml:space="preserve"> "Shape from `" &amp; $B$122 &amp; "` marker; with blue and yellow from the [flag of Europe](http://en.wikipedia.org/wiki/Flag_of_Europe)."</f>
        <v>Shape from `EU` marker; with blue and yellow from the [flag of Europe](http://en.wikipedia.org/wiki/Flag_of_Europe).</v>
      </c>
      <c r="D124" s="5" t="s">
        <v>2648</v>
      </c>
    </row>
    <row r="125" spans="2:5">
      <c r="B125" s="5" t="s">
        <v>2635</v>
      </c>
      <c r="C125" s="5" t="str">
        <f xml:space="preserve"> "Shape from `" &amp; $B$122 &amp; "` marker; with blue from the [flag of Europe](http://en.wikipedia.org/wiki/Flag_of_Europe)."</f>
        <v>Shape from `EU` marker; with blue from the [flag of Europe](http://en.wikipedia.org/wiki/Flag_of_Europe).</v>
      </c>
      <c r="D125" s="5" t="s">
        <v>2650</v>
      </c>
    </row>
    <row r="126" spans="2:5">
      <c r="B126" s="5" t="s">
        <v>784</v>
      </c>
      <c r="C126" s="5" t="s">
        <v>2538</v>
      </c>
    </row>
    <row r="127" spans="2:5">
      <c r="B127" s="5" t="s">
        <v>574</v>
      </c>
      <c r="C127" s="5" t="s">
        <v>2539</v>
      </c>
      <c r="D127" s="5" t="s">
        <v>2540</v>
      </c>
    </row>
    <row r="128" spans="2:5">
      <c r="B128" s="5" t="str">
        <f xml:space="preserve"> B127&amp;"_2"</f>
        <v>DE_2</v>
      </c>
      <c r="C128" s="5" t="str">
        <f xml:space="preserve"> "Shape from `" &amp; $B127 &amp; "` marker; red replacing white."</f>
        <v>Shape from `DE` marker; red replacing white.</v>
      </c>
      <c r="D128" s="5" t="s">
        <v>2541</v>
      </c>
    </row>
    <row r="129" spans="2:4">
      <c r="B129" s="5" t="s">
        <v>591</v>
      </c>
      <c r="C129" s="5" t="s">
        <v>2542</v>
      </c>
      <c r="D129" s="5" t="s">
        <v>2543</v>
      </c>
    </row>
    <row r="130" spans="2:4">
      <c r="B130" s="5" t="str">
        <f xml:space="preserve"> B129&amp;"_2"</f>
        <v>FR_2</v>
      </c>
      <c r="C130" s="5" t="str">
        <f xml:space="preserve"> "Shape from `" &amp; $B129 &amp; "` marker; colours re-ordereed and black replacing white."</f>
        <v>Shape from `FR` marker; colours re-ordereed and black replacing white.</v>
      </c>
      <c r="D130" s="5" t="s">
        <v>2606</v>
      </c>
    </row>
    <row r="131" spans="2:4">
      <c r="B131" s="5" t="s">
        <v>628</v>
      </c>
      <c r="C131" s="5" t="s">
        <v>2544</v>
      </c>
      <c r="D131" s="5" t="s">
        <v>2545</v>
      </c>
    </row>
    <row r="132" spans="2:4">
      <c r="B132" s="5" t="str">
        <f xml:space="preserve"> B131&amp;"_2"</f>
        <v>IT_2</v>
      </c>
      <c r="C132" s="5" t="str">
        <f xml:space="preserve"> "Shape from `" &amp; $B131 &amp; "` marker; black replacing white."</f>
        <v>Shape from `IT` marker; black replacing white.</v>
      </c>
      <c r="D132" s="5" t="s">
        <v>2546</v>
      </c>
    </row>
    <row r="133" spans="2:4">
      <c r="B133" s="5" t="s">
        <v>170</v>
      </c>
      <c r="C133" s="5" t="s">
        <v>2547</v>
      </c>
      <c r="D133" s="5" t="s">
        <v>2620</v>
      </c>
    </row>
    <row r="134" spans="2:4">
      <c r="B134" s="5" t="str">
        <f xml:space="preserve"> B133&amp;"_2"</f>
        <v>ES_2</v>
      </c>
      <c r="C134" s="5" t="str">
        <f xml:space="preserve"> "Shape from `" &amp; $B133 &amp; "` marker; green replacing gold."</f>
        <v>Shape from `ES` marker; green replacing gold.</v>
      </c>
      <c r="D134" s="5" t="s">
        <v>2548</v>
      </c>
    </row>
    <row r="135" spans="2:4">
      <c r="B135" s="5" t="s">
        <v>629</v>
      </c>
      <c r="C135" s="5" t="s">
        <v>2549</v>
      </c>
      <c r="D135" s="5" t="s">
        <v>2550</v>
      </c>
    </row>
    <row r="136" spans="2:4">
      <c r="B136" s="5" t="str">
        <f xml:space="preserve"> B135&amp;"_2"</f>
        <v>NL_2</v>
      </c>
      <c r="C136" s="5" t="str">
        <f xml:space="preserve"> "Shape from `" &amp; $B135 &amp; "` marker; the colours switched."</f>
        <v>Shape from `NL` marker; the colours switched.</v>
      </c>
      <c r="D136" s="5" t="s">
        <v>2551</v>
      </c>
    </row>
    <row r="137" spans="2:4">
      <c r="B137" s="5" t="s">
        <v>648</v>
      </c>
      <c r="C137" s="5" t="s">
        <v>2552</v>
      </c>
      <c r="D137" s="5" t="s">
        <v>2600</v>
      </c>
    </row>
    <row r="138" spans="2:4">
      <c r="B138" s="5" t="str">
        <f xml:space="preserve"> B137&amp;"_2"</f>
        <v>BE_2</v>
      </c>
      <c r="C138" s="5" t="str">
        <f xml:space="preserve"> "Shape from `" &amp; $B137 &amp; "` marker; the colours switched."</f>
        <v>Shape from `BE` marker; the colours switched.</v>
      </c>
      <c r="D138" s="5" t="s">
        <v>2553</v>
      </c>
    </row>
    <row r="139" spans="2:4">
      <c r="B139" s="5" t="s">
        <v>649</v>
      </c>
      <c r="C139" s="5" t="s">
        <v>2554</v>
      </c>
      <c r="D139" s="5" t="s">
        <v>2555</v>
      </c>
    </row>
    <row r="140" spans="2:4">
      <c r="B140" s="5" t="str">
        <f xml:space="preserve"> B139&amp;"_2"</f>
        <v>AT_2</v>
      </c>
      <c r="C140" s="5" t="str">
        <f xml:space="preserve"> "Shape from `" &amp; $B139 &amp; "` marker; black replacing white."</f>
        <v>Shape from `AT` marker; black replacing white.</v>
      </c>
      <c r="D140" s="5" t="s">
        <v>2556</v>
      </c>
    </row>
    <row r="141" spans="2:4">
      <c r="B141" s="5" t="s">
        <v>103</v>
      </c>
      <c r="C141" s="5" t="s">
        <v>2557</v>
      </c>
      <c r="D141" s="5" t="s">
        <v>2558</v>
      </c>
    </row>
    <row r="142" spans="2:4">
      <c r="B142" s="5" t="str">
        <f xml:space="preserve"> B141&amp;"_2"</f>
        <v>PT_2</v>
      </c>
      <c r="C142" s="5" t="str">
        <f xml:space="preserve"> "Shape from `" &amp; $B141 &amp; "` marker; bright green replacing dark green."</f>
        <v>Shape from `PT` marker; bright green replacing dark green.</v>
      </c>
      <c r="D142" s="5" t="s">
        <v>2559</v>
      </c>
    </row>
    <row r="143" spans="2:4">
      <c r="B143" s="5" t="s">
        <v>171</v>
      </c>
      <c r="C143" s="5" t="s">
        <v>2560</v>
      </c>
      <c r="D143" s="5" t="s">
        <v>2561</v>
      </c>
    </row>
    <row r="144" spans="2:4">
      <c r="B144" s="5" t="str">
        <f xml:space="preserve"> B143&amp;"_2"</f>
        <v>GR_2</v>
      </c>
      <c r="C144" s="5" t="str">
        <f xml:space="preserve"> "Shape from `" &amp; $B143 &amp; "` marker; green replacing white."</f>
        <v>Shape from `GR` marker; green replacing white.</v>
      </c>
      <c r="D144" s="5" t="s">
        <v>2562</v>
      </c>
    </row>
    <row r="145" spans="2:5">
      <c r="B145" s="5" t="s">
        <v>668</v>
      </c>
      <c r="C145" s="5" t="s">
        <v>2608</v>
      </c>
      <c r="D145" s="5" t="s">
        <v>2563</v>
      </c>
    </row>
    <row r="146" spans="2:5">
      <c r="B146" s="5" t="str">
        <f xml:space="preserve"> B145&amp;"_2"</f>
        <v>IE_2</v>
      </c>
      <c r="C146" s="5" t="str">
        <f xml:space="preserve"> "Shape from `" &amp; $B145 &amp; "` marker; the colours switched."</f>
        <v>Shape from `IE` marker; the colours switched.</v>
      </c>
      <c r="D146" s="5" t="s">
        <v>2564</v>
      </c>
    </row>
    <row r="147" spans="2:5">
      <c r="B147" s="5" t="s">
        <v>650</v>
      </c>
      <c r="C147" s="5" t="s">
        <v>2565</v>
      </c>
      <c r="D147" s="5" t="s">
        <v>2566</v>
      </c>
    </row>
    <row r="148" spans="2:5">
      <c r="B148" s="5" t="str">
        <f xml:space="preserve"> B147&amp;"_2"</f>
        <v>FI_2</v>
      </c>
      <c r="C148" s="5" t="str">
        <f xml:space="preserve"> "Shape from `" &amp; $B147 &amp; "` marker; green replacing white."</f>
        <v>Shape from `FI` marker; green replacing white.</v>
      </c>
      <c r="D148" s="5" t="s">
        <v>2567</v>
      </c>
    </row>
    <row r="149" spans="2:5">
      <c r="B149" s="5" t="s">
        <v>357</v>
      </c>
      <c r="C149" s="5" t="s">
        <v>2568</v>
      </c>
      <c r="D149" s="5" t="s">
        <v>2569</v>
      </c>
    </row>
    <row r="150" spans="2:5">
      <c r="B150" s="5" t="str">
        <f xml:space="preserve"> B149&amp;"_2"</f>
        <v>SK_2</v>
      </c>
      <c r="C150" s="5" t="str">
        <f xml:space="preserve"> "Shape from `" &amp; $B149 &amp; "` marker; the colours switched."</f>
        <v>Shape from `SK` marker; the colours switched.</v>
      </c>
      <c r="D150" s="5" t="s">
        <v>2570</v>
      </c>
    </row>
    <row r="151" spans="2:5">
      <c r="B151" s="5" t="s">
        <v>1654</v>
      </c>
      <c r="C151" s="5" t="s">
        <v>2571</v>
      </c>
    </row>
    <row r="152" spans="2:5">
      <c r="B152" s="5" t="s">
        <v>358</v>
      </c>
      <c r="C152" s="5" t="s">
        <v>2572</v>
      </c>
    </row>
    <row r="153" spans="2:5">
      <c r="B153" s="5" t="s">
        <v>607</v>
      </c>
      <c r="C153" s="5" t="s">
        <v>2573</v>
      </c>
      <c r="E153" s="5" t="s">
        <v>2574</v>
      </c>
    </row>
    <row r="154" spans="2:5">
      <c r="B154" s="5" t="s">
        <v>669</v>
      </c>
      <c r="C154" s="5" t="s">
        <v>2575</v>
      </c>
    </row>
    <row r="155" spans="2:5">
      <c r="B155" s="5" t="s">
        <v>104</v>
      </c>
      <c r="C155" s="5" t="s">
        <v>2576</v>
      </c>
      <c r="E155" s="5" t="s">
        <v>2617</v>
      </c>
    </row>
    <row r="156" spans="2:5">
      <c r="B156" s="5" t="s">
        <v>105</v>
      </c>
      <c r="C156" s="5" t="s">
        <v>2577</v>
      </c>
    </row>
    <row r="157" spans="2:5">
      <c r="B157" s="5" t="s">
        <v>687</v>
      </c>
      <c r="C157" s="5" t="s">
        <v>2578</v>
      </c>
    </row>
    <row r="158" spans="2:5">
      <c r="B158" s="5" t="s">
        <v>707</v>
      </c>
      <c r="C158" s="5" t="s">
        <v>2579</v>
      </c>
    </row>
    <row r="159" spans="2:5">
      <c r="B159" s="5" t="s">
        <v>1690</v>
      </c>
      <c r="C159" s="5" t="s">
        <v>2580</v>
      </c>
      <c r="E159" s="5" t="s">
        <v>2581</v>
      </c>
    </row>
    <row r="160" spans="2:5">
      <c r="B160" s="5" t="s">
        <v>708</v>
      </c>
      <c r="C160" s="5" t="s">
        <v>2582</v>
      </c>
    </row>
    <row r="161" spans="2:3">
      <c r="B161" s="5" t="s">
        <v>783</v>
      </c>
      <c r="C161" s="5" t="s">
        <v>2583</v>
      </c>
    </row>
    <row r="162" spans="2:3">
      <c r="B162" s="5" t="s">
        <v>2117</v>
      </c>
      <c r="C162" s="5" t="s">
        <v>2618</v>
      </c>
    </row>
    <row r="163" spans="2:3">
      <c r="B163" s="5" t="s">
        <v>172</v>
      </c>
      <c r="C163" s="5" t="s">
        <v>2627</v>
      </c>
    </row>
    <row r="164" spans="2:3">
      <c r="B164" s="5" t="s">
        <v>959</v>
      </c>
      <c r="C164" s="5" t="s">
        <v>2584</v>
      </c>
    </row>
    <row r="165" spans="2:3">
      <c r="B165" s="5" t="s">
        <v>2232</v>
      </c>
      <c r="C165" s="5" t="s">
        <v>2585</v>
      </c>
    </row>
    <row r="166" spans="2:3">
      <c r="B166" s="5" t="s">
        <v>1927</v>
      </c>
      <c r="C166" s="5" t="s">
        <v>2586</v>
      </c>
    </row>
    <row r="167" spans="2:3">
      <c r="B167" s="5" t="s">
        <v>786</v>
      </c>
      <c r="C167" s="5" t="s">
        <v>2587</v>
      </c>
    </row>
    <row r="168" spans="2:3">
      <c r="B168" s="5" t="s">
        <v>2233</v>
      </c>
      <c r="C168" s="5" t="s">
        <v>2605</v>
      </c>
    </row>
    <row r="169" spans="2:3">
      <c r="B169" s="5" t="s">
        <v>173</v>
      </c>
      <c r="C169" s="5" t="s">
        <v>2588</v>
      </c>
    </row>
    <row r="170" spans="2:3">
      <c r="B170" s="5" t="s">
        <v>1929</v>
      </c>
      <c r="C170" s="5" t="s">
        <v>2589</v>
      </c>
    </row>
    <row r="171" spans="2:3">
      <c r="B171" s="5" t="s">
        <v>943</v>
      </c>
      <c r="C171" s="5" t="s">
        <v>2590</v>
      </c>
    </row>
    <row r="172" spans="2:3">
      <c r="B172" s="5" t="s">
        <v>106</v>
      </c>
      <c r="C172" s="5" t="s">
        <v>2591</v>
      </c>
    </row>
    <row r="173" spans="2:3">
      <c r="B173" s="5" t="s">
        <v>2028</v>
      </c>
      <c r="C173" s="5" t="s">
        <v>2626</v>
      </c>
    </row>
    <row r="174" spans="2:3">
      <c r="B174" s="5" t="s">
        <v>980</v>
      </c>
      <c r="C174" s="5" t="s">
        <v>2592</v>
      </c>
    </row>
    <row r="175" spans="2:3">
      <c r="B175" s="5" t="s">
        <v>2018</v>
      </c>
      <c r="C175" s="5" t="s">
        <v>2593</v>
      </c>
    </row>
    <row r="176" spans="2:3">
      <c r="B176" s="5" t="s">
        <v>2023</v>
      </c>
      <c r="C176" s="5" t="s">
        <v>2594</v>
      </c>
    </row>
    <row r="177" spans="2:5">
      <c r="B177" s="5" t="s">
        <v>1038</v>
      </c>
      <c r="C177" s="5" t="s">
        <v>2595</v>
      </c>
    </row>
    <row r="178" spans="2:5">
      <c r="B178" s="5" t="s">
        <v>1932</v>
      </c>
      <c r="C178" s="5" t="s">
        <v>2603</v>
      </c>
      <c r="E178" s="5" t="s">
        <v>2604</v>
      </c>
    </row>
    <row r="179" spans="2:5">
      <c r="B179" s="5" t="s">
        <v>1933</v>
      </c>
      <c r="C179" s="5" t="s">
        <v>2601</v>
      </c>
      <c r="D179" s="5" t="s">
        <v>2602</v>
      </c>
    </row>
    <row r="180" spans="2:5">
      <c r="B180" s="5" t="s">
        <v>2695</v>
      </c>
      <c r="C180" s="5" t="s">
        <v>2701</v>
      </c>
    </row>
    <row r="181" spans="2:5">
      <c r="B181" s="5" t="s">
        <v>2697</v>
      </c>
      <c r="C181" s="5" t="s">
        <v>2708</v>
      </c>
    </row>
    <row r="182" spans="2:5">
      <c r="B182" s="5" t="s">
        <v>2698</v>
      </c>
      <c r="C182" s="5" t="s">
        <v>2700</v>
      </c>
    </row>
    <row r="183" spans="2:5">
      <c r="B183" s="5" t="s">
        <v>2699</v>
      </c>
      <c r="C183" s="5" t="s">
        <v>2717</v>
      </c>
    </row>
    <row r="184" spans="2:5">
      <c r="B184" s="5" t="s">
        <v>1935</v>
      </c>
      <c r="C184" s="5" t="s">
        <v>2596</v>
      </c>
    </row>
    <row r="185" spans="2:5">
      <c r="B185" s="5" t="s">
        <v>1936</v>
      </c>
      <c r="C185" s="5" t="s">
        <v>2597</v>
      </c>
    </row>
    <row r="186" spans="2:5">
      <c r="B186" s="5" t="s">
        <v>917</v>
      </c>
      <c r="C186" s="5" t="s">
        <v>2598</v>
      </c>
    </row>
    <row r="187" spans="2:5">
      <c r="B187" s="5" t="s">
        <v>2764</v>
      </c>
      <c r="C187" s="5" t="s">
        <v>2778</v>
      </c>
      <c r="D187" s="5" t="s">
        <v>2780</v>
      </c>
    </row>
    <row r="188" spans="2:5">
      <c r="B188" s="5" t="s">
        <v>2765</v>
      </c>
      <c r="C188" s="5" t="str">
        <f xml:space="preserve"> C$187</f>
        <v>Based on the [generic currency symbol](https://en.wikipedia.org/wiki/Currency_sign_(generic)), &amp;curren;, also known as the scarab character.</v>
      </c>
      <c r="D188" s="5" t="str">
        <f xml:space="preserve"> D$187</f>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89" spans="2:5">
      <c r="B189" s="5" t="s">
        <v>2766</v>
      </c>
      <c r="C189" s="5" t="str">
        <f t="shared" ref="C189:D200" si="0" xml:space="preserve"> C$187</f>
        <v>Based on the [generic currency symbol](https://en.wikipedia.org/wiki/Currency_sign_(generic)), &amp;curren;, also known as the scarab character.</v>
      </c>
      <c r="D189"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0" spans="2:5">
      <c r="B190" s="5" t="s">
        <v>2767</v>
      </c>
      <c r="C190" s="5" t="str">
        <f t="shared" si="0"/>
        <v>Based on the [generic currency symbol](https://en.wikipedia.org/wiki/Currency_sign_(generic)), &amp;curren;, also known as the scarab character.</v>
      </c>
      <c r="D190"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1" spans="2:5">
      <c r="B191" s="5" t="s">
        <v>2768</v>
      </c>
      <c r="C191" s="5" t="str">
        <f t="shared" si="0"/>
        <v>Based on the [generic currency symbol](https://en.wikipedia.org/wiki/Currency_sign_(generic)), &amp;curren;, also known as the scarab character.</v>
      </c>
      <c r="D191"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2" spans="2:5">
      <c r="B192" s="5" t="s">
        <v>2769</v>
      </c>
      <c r="C192" s="5" t="str">
        <f t="shared" si="0"/>
        <v>Based on the [generic currency symbol](https://en.wikipedia.org/wiki/Currency_sign_(generic)), &amp;curren;, also known as the scarab character.</v>
      </c>
      <c r="D192"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3" spans="2:4">
      <c r="B193" s="5" t="s">
        <v>2770</v>
      </c>
      <c r="C193" s="5" t="str">
        <f t="shared" si="0"/>
        <v>Based on the [generic currency symbol](https://en.wikipedia.org/wiki/Currency_sign_(generic)), &amp;curren;, also known as the scarab character.</v>
      </c>
      <c r="D193"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4" spans="2:4">
      <c r="B194" s="5" t="s">
        <v>2771</v>
      </c>
      <c r="C194" s="5" t="str">
        <f t="shared" si="0"/>
        <v>Based on the [generic currency symbol](https://en.wikipedia.org/wiki/Currency_sign_(generic)), &amp;curren;, also known as the scarab character.</v>
      </c>
      <c r="D194"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5" spans="2:4">
      <c r="B195" s="5" t="s">
        <v>2772</v>
      </c>
      <c r="C195" s="5" t="str">
        <f t="shared" si="0"/>
        <v>Based on the [generic currency symbol](https://en.wikipedia.org/wiki/Currency_sign_(generic)), &amp;curren;, also known as the scarab character.</v>
      </c>
      <c r="D195"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6" spans="2:4">
      <c r="B196" s="5" t="s">
        <v>2773</v>
      </c>
      <c r="C196" s="5" t="str">
        <f t="shared" si="0"/>
        <v>Based on the [generic currency symbol](https://en.wikipedia.org/wiki/Currency_sign_(generic)), &amp;curren;, also known as the scarab character.</v>
      </c>
      <c r="D196"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7" spans="2:4">
      <c r="B197" s="5" t="s">
        <v>2774</v>
      </c>
      <c r="C197" s="5" t="str">
        <f t="shared" si="0"/>
        <v>Based on the [generic currency symbol](https://en.wikipedia.org/wiki/Currency_sign_(generic)), &amp;curren;, also known as the scarab character.</v>
      </c>
      <c r="D197"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8" spans="2:4">
      <c r="B198" s="5" t="s">
        <v>2775</v>
      </c>
      <c r="C198" s="5" t="str">
        <f t="shared" si="0"/>
        <v>Based on the [generic currency symbol](https://en.wikipedia.org/wiki/Currency_sign_(generic)), &amp;curren;, also known as the scarab character.</v>
      </c>
      <c r="D198"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199" spans="2:4">
      <c r="B199" s="5" t="s">
        <v>2776</v>
      </c>
      <c r="C199" s="5" t="str">
        <f t="shared" si="0"/>
        <v>Based on the [generic currency symbol](https://en.wikipedia.org/wiki/Currency_sign_(generic)), &amp;curren;, also known as the scarab character.</v>
      </c>
      <c r="D199"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row r="200" spans="2:4">
      <c r="B200" s="5" t="s">
        <v>2777</v>
      </c>
      <c r="C200" s="5" t="str">
        <f t="shared" si="0"/>
        <v>Based on the [generic currency symbol](https://en.wikipedia.org/wiki/Currency_sign_(generic)), &amp;curren;, also known as the scarab character.</v>
      </c>
      <c r="D200" s="5" t="str">
        <f t="shared" si="0"/>
        <v>A multi-currency or multi-issuer marker, where the meaning of the series does not obviously bind more tightly to just one of the component parts. E.g., consider a chart showing yield or asset-swap differences between various eurozone issuers, and Germany: the BE&amp;minus;DE series is really about Belgium so should use the &lt;kbd&gt;BE&lt;/kbd&gt; marker. But an IE&amp;minus;FI series is equally about both, so could use one of the 14 generic markers.</v>
      </c>
    </row>
  </sheetData>
  <pageMargins left="0.7" right="0.7" top="0.75" bottom="0.75" header="0.3" footer="0.3"/>
  <pageSetup paperSize="9" orientation="portrait" horizontalDpi="0" verticalDpi="0"/>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E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1" max="31" width="10.83203125" style="21"/>
  </cols>
  <sheetData>
    <row r="2" spans="2:31" ht="17" thickBot="1">
      <c r="R2" s="3" t="s">
        <v>1062</v>
      </c>
      <c r="S2" s="3" t="s">
        <v>1063</v>
      </c>
      <c r="T2" s="3" t="s">
        <v>1522</v>
      </c>
      <c r="W2" s="3" t="s">
        <v>2142</v>
      </c>
      <c r="AC2" s="3" t="s">
        <v>1809</v>
      </c>
      <c r="AE2" s="36" t="s">
        <v>96</v>
      </c>
    </row>
    <row r="3" spans="2:31">
      <c r="K3" cm="1">
        <f t="array" ref="K3" xml:space="preserve"> 1 + _xlfn.SINGLE(ROW()) - _xlfn.SINGLE(ROW(ExportSubstitutions.RowNum))</f>
        <v>-2</v>
      </c>
      <c r="L3" t="str">
        <f xml:space="preserve">  " -"</f>
        <v xml:space="preserve"> -</v>
      </c>
      <c r="M3" t="str">
        <f xml:space="preserve"> "-"</f>
        <v>-</v>
      </c>
      <c r="N3" t="s">
        <v>1700</v>
      </c>
      <c r="R3" t="str">
        <f t="shared" ref="R3" si="0" xml:space="preserve"> " d='"</f>
        <v xml:space="preserve"> d='</v>
      </c>
      <c r="S3" t="str">
        <f t="shared" ref="S3" si="1" xml:space="preserve"> "'"</f>
        <v>'</v>
      </c>
      <c r="T3" t="b">
        <v>1</v>
      </c>
      <c r="W3">
        <v>6</v>
      </c>
      <c r="AC3">
        <f xml:space="preserve"> 10^2</f>
        <v>100</v>
      </c>
      <c r="AE3" s="21" t="str" cm="1">
        <f t="array" aca="1" ref="AE3" ca="1" xml:space="preserve"> LEFT(CELL("filename"),FIND("[",CELL("filename"))-1)</f>
        <v>/Volumes/JDAW_A/Documents/programming/SVG/CurrencySymbols/</v>
      </c>
    </row>
    <row r="5" spans="2:31" ht="17" thickBot="1">
      <c r="K5" s="3" t="s">
        <v>131</v>
      </c>
      <c r="L5" s="3" t="s">
        <v>129</v>
      </c>
      <c r="M5" s="3" t="s">
        <v>130</v>
      </c>
      <c r="N5" s="3" t="s">
        <v>179</v>
      </c>
      <c r="R5" s="3" t="s">
        <v>1061</v>
      </c>
      <c r="S5" s="3" t="s">
        <v>1064</v>
      </c>
      <c r="T5" s="3" t="s">
        <v>1065</v>
      </c>
      <c r="W5" s="3" t="s">
        <v>920</v>
      </c>
      <c r="X5" s="3" t="s">
        <v>2285</v>
      </c>
      <c r="Y5" s="3" t="s">
        <v>2428</v>
      </c>
      <c r="Z5" s="3" t="s">
        <v>1940</v>
      </c>
      <c r="AA5" s="3" t="s">
        <v>2141</v>
      </c>
      <c r="AB5" s="3" t="s">
        <v>2741</v>
      </c>
      <c r="AC5" s="3" t="s">
        <v>922</v>
      </c>
      <c r="AD5" s="3" t="s">
        <v>923</v>
      </c>
      <c r="AE5" s="36" t="s">
        <v>921</v>
      </c>
    </row>
    <row r="6" spans="2:31">
      <c r="K6" cm="1">
        <f t="array" ref="K6" xml:space="preserve"> 1 + _xlfn.SINGLE(ROW()) - _xlfn.SINGLE(ROW(ExportSubstitutions.RowNum))</f>
        <v>1</v>
      </c>
      <c r="L6" t="s">
        <v>719</v>
      </c>
      <c r="M6" t="str">
        <f xml:space="preserve"> REPT(" ", 1)</f>
        <v xml:space="preserve"> </v>
      </c>
      <c r="N6" t="s">
        <v>1689</v>
      </c>
      <c r="R6" cm="1">
        <f t="array" ref="R6" xml:space="preserve"> 1 + _xlfn.SINGLE(ROW()) - _xlfn.SINGLE(ROW(ExportSubstitutions_Within.RowNum))</f>
        <v>1</v>
      </c>
      <c r="S6" t="s">
        <v>1066</v>
      </c>
      <c r="T6" t="str">
        <f t="shared" ref="T6:T69" si="2" xml:space="preserve"> SUBSTITUTE(ExportSubstitutions_Within.From, " ", "")</f>
        <v>0A</v>
      </c>
      <c r="W6" cm="1">
        <f t="array" ref="W6:W11" xml:space="preserve"> 1 + ROW(ExportControl.RowNum) - _xlfn.SINGLE(ROW(ExportControl.RowNum))</f>
        <v>1</v>
      </c>
      <c r="X6" t="b">
        <v>0</v>
      </c>
      <c r="Y6" t="b">
        <v>0</v>
      </c>
      <c r="Z6" t="b">
        <v>1</v>
      </c>
      <c r="AA6" t="b">
        <v>0</v>
      </c>
      <c r="AB6" t="b">
        <v>0</v>
      </c>
      <c r="AC6">
        <f xml:space="preserve"> ExportControl.BasicBBoxArea_Base * 8^2</f>
        <v>6400</v>
      </c>
      <c r="AD6" t="str">
        <f xml:space="preserve"> "_enlarged"</f>
        <v>_enlarged</v>
      </c>
      <c r="AE6" s="21" t="str">
        <f ca="1" xml:space="preserve"> Path.ThisWorkbook &amp; "ChartMarkers_enlarged/"</f>
        <v>/Volumes/JDAW_A/Documents/programming/SVG/CurrencySymbols/ChartMarkers_enlarged/</v>
      </c>
    </row>
    <row r="7" spans="2:31">
      <c r="B7" s="4" t="s">
        <v>1047</v>
      </c>
      <c r="C7" s="32">
        <f ca="1" xml:space="preserve"> NOW()</f>
        <v>46217.847942476852</v>
      </c>
      <c r="K7" cm="1">
        <f t="array" ref="K7" xml:space="preserve"> 1 + _xlfn.SINGLE(ROW()) - _xlfn.SINGLE(ROW(ExportSubstitutions.RowNum))</f>
        <v>2</v>
      </c>
      <c r="L7" t="s">
        <v>2113</v>
      </c>
      <c r="N7" t="s">
        <v>1689</v>
      </c>
      <c r="R7" cm="1">
        <f t="array" ref="R7" xml:space="preserve"> 1 + _xlfn.SINGLE(ROW()) - _xlfn.SINGLE(ROW(ExportSubstitutions_Within.RowNum))</f>
        <v>2</v>
      </c>
      <c r="S7" t="s">
        <v>1067</v>
      </c>
      <c r="T7" t="str">
        <f t="shared" si="2"/>
        <v>1A</v>
      </c>
      <c r="W7">
        <v>2</v>
      </c>
      <c r="X7" t="b">
        <v>1</v>
      </c>
      <c r="Y7" t="b">
        <v>1</v>
      </c>
      <c r="Z7" t="b">
        <v>1</v>
      </c>
      <c r="AA7" t="b">
        <v>0</v>
      </c>
      <c r="AB7" t="b">
        <v>0</v>
      </c>
      <c r="AC7">
        <f xml:space="preserve"> ExportControl.BasicBBoxArea_Base</f>
        <v>100</v>
      </c>
      <c r="AE7" s="21" t="str">
        <f ca="1" xml:space="preserve"> Path.ThisWorkbook &amp; "ChartMarkers.json"</f>
        <v>/Volumes/JDAW_A/Documents/programming/SVG/CurrencySymbols/ChartMarkers.json</v>
      </c>
    </row>
    <row r="8" spans="2:31">
      <c r="B8" s="4" t="s">
        <v>1048</v>
      </c>
      <c r="C8" s="43">
        <f ca="1" xml:space="preserve"> INT(Now)</f>
        <v>46217</v>
      </c>
      <c r="K8" cm="1">
        <f t="array" ref="K8" xml:space="preserve"> 1 + _xlfn.SINGLE(ROW()) - _xlfn.SINGLE(ROW(ExportSubstitutions.RowNum))</f>
        <v>3</v>
      </c>
      <c r="L8" t="s">
        <v>2114</v>
      </c>
      <c r="N8" t="s">
        <v>1689</v>
      </c>
      <c r="R8" cm="1">
        <f t="array" ref="R8" xml:space="preserve"> 1 + _xlfn.SINGLE(ROW()) - _xlfn.SINGLE(ROW(ExportSubstitutions_Within.RowNum))</f>
        <v>3</v>
      </c>
      <c r="S8" t="s">
        <v>1068</v>
      </c>
      <c r="T8" t="str">
        <f t="shared" si="2"/>
        <v>2A</v>
      </c>
      <c r="W8">
        <v>3</v>
      </c>
      <c r="X8" t="b">
        <v>0</v>
      </c>
      <c r="Y8" t="b">
        <v>0</v>
      </c>
      <c r="Z8" t="b">
        <v>1</v>
      </c>
      <c r="AA8" t="b">
        <v>0</v>
      </c>
      <c r="AB8" t="b">
        <v>0</v>
      </c>
      <c r="AC8">
        <f xml:space="preserve"> ExportControl.BasicBBoxArea_Base</f>
        <v>100</v>
      </c>
      <c r="AD8" t="str">
        <f xml:space="preserve"> ""</f>
        <v/>
      </c>
      <c r="AE8" s="21" t="str">
        <f ca="1" xml:space="preserve"> Path.ThisWorkbook &amp; "ChartMarkers/"</f>
        <v>/Volumes/JDAW_A/Documents/programming/SVG/CurrencySymbols/ChartMarkers/</v>
      </c>
    </row>
    <row r="9" spans="2:31">
      <c r="K9" cm="1">
        <f t="array" ref="K9" xml:space="preserve"> 1 + _xlfn.SINGLE(ROW()) - _xlfn.SINGLE(ROW(ExportSubstitutions.RowNum))</f>
        <v>4</v>
      </c>
      <c r="L9" t="s">
        <v>1696</v>
      </c>
      <c r="M9" t="str">
        <f xml:space="preserve"> REPT(" ", 1)</f>
        <v xml:space="preserve"> </v>
      </c>
      <c r="N9" t="s">
        <v>1697</v>
      </c>
      <c r="R9" cm="1">
        <f t="array" ref="R9" xml:space="preserve"> 1 + _xlfn.SINGLE(ROW()) - _xlfn.SINGLE(ROW(ExportSubstitutions_Within.RowNum))</f>
        <v>4</v>
      </c>
      <c r="S9" t="s">
        <v>1069</v>
      </c>
      <c r="T9" t="str">
        <f t="shared" si="2"/>
        <v>3A</v>
      </c>
      <c r="W9">
        <v>4</v>
      </c>
      <c r="X9" t="b">
        <v>0</v>
      </c>
      <c r="Y9" t="b">
        <v>0</v>
      </c>
      <c r="Z9" t="b">
        <v>0</v>
      </c>
      <c r="AA9" t="b">
        <v>0</v>
      </c>
      <c r="AB9" t="b">
        <v>0</v>
      </c>
      <c r="AD9" t="str">
        <f xml:space="preserve"> "_line"</f>
        <v>_line</v>
      </c>
      <c r="AE9" s="21" t="str">
        <f ca="1" xml:space="preserve"> Path.ThisWorkbook &amp; "ChartLines/"</f>
        <v>/Volumes/JDAW_A/Documents/programming/SVG/CurrencySymbols/ChartLines/</v>
      </c>
    </row>
    <row r="10" spans="2:31">
      <c r="K10" cm="1">
        <f t="array" ref="K10" xml:space="preserve"> 1 + _xlfn.SINGLE(ROW()) - _xlfn.SINGLE(ROW(ExportSubstitutions.RowNum))</f>
        <v>5</v>
      </c>
      <c r="L10" t="s">
        <v>1698</v>
      </c>
      <c r="M10" t="str">
        <f xml:space="preserve"> REPT(" ", 1)</f>
        <v xml:space="preserve"> </v>
      </c>
      <c r="N10" t="s">
        <v>1697</v>
      </c>
      <c r="R10" cm="1">
        <f t="array" ref="R10" xml:space="preserve"> 1 + _xlfn.SINGLE(ROW()) - _xlfn.SINGLE(ROW(ExportSubstitutions_Within.RowNum))</f>
        <v>5</v>
      </c>
      <c r="S10" t="s">
        <v>1070</v>
      </c>
      <c r="T10" t="str">
        <f t="shared" si="2"/>
        <v>4A</v>
      </c>
      <c r="W10">
        <v>5</v>
      </c>
      <c r="X10" t="b">
        <v>0</v>
      </c>
      <c r="Y10" t="b">
        <v>0</v>
      </c>
      <c r="Z10" t="b">
        <v>1</v>
      </c>
      <c r="AA10" t="b">
        <v>0</v>
      </c>
      <c r="AB10" t="b">
        <v>0</v>
      </c>
      <c r="AC10">
        <f xml:space="preserve"> ExportControl.BasicBBoxArea_Base * 1.5^2</f>
        <v>225</v>
      </c>
      <c r="AD10" t="str">
        <f xml:space="preserve"> "_Excel"</f>
        <v>_Excel</v>
      </c>
      <c r="AE10" s="21" t="str">
        <f ca="1" xml:space="preserve"> Path.ThisWorkbook &amp; "ChartMarkers_Excel/"</f>
        <v>/Volumes/JDAW_A/Documents/programming/SVG/CurrencySymbols/ChartMarkers_Excel/</v>
      </c>
    </row>
    <row r="11" spans="2:31">
      <c r="B11" s="4" t="s">
        <v>10</v>
      </c>
      <c r="C11" cm="1">
        <f t="array" ref="C11" xml:space="preserve"> INDEX(ExportControl.BasicBBoxArea, ExportControl.Num)</f>
        <v>100</v>
      </c>
      <c r="K11" cm="1">
        <f t="array" ref="K11" xml:space="preserve"> 1 + _xlfn.SINGLE(ROW()) - _xlfn.SINGLE(ROW(ExportSubstitutions.RowNum))</f>
        <v>6</v>
      </c>
      <c r="L11" t="s">
        <v>1699</v>
      </c>
      <c r="N11" t="s">
        <v>1697</v>
      </c>
      <c r="R11" cm="1">
        <f t="array" ref="R11" xml:space="preserve"> 1 + _xlfn.SINGLE(ROW()) - _xlfn.SINGLE(ROW(ExportSubstitutions_Within.RowNum))</f>
        <v>6</v>
      </c>
      <c r="S11" t="s">
        <v>1071</v>
      </c>
      <c r="T11" t="str">
        <f t="shared" si="2"/>
        <v>5A</v>
      </c>
      <c r="W11">
        <v>6</v>
      </c>
      <c r="X11" t="b">
        <v>0</v>
      </c>
      <c r="Y11" t="b">
        <v>0</v>
      </c>
      <c r="Z11" t="b">
        <v>1</v>
      </c>
      <c r="AA11" t="b">
        <v>0</v>
      </c>
      <c r="AB11" t="b">
        <v>1</v>
      </c>
      <c r="AC11">
        <f xml:space="preserve"> ExportControl.BasicBBoxArea_Base</f>
        <v>100</v>
      </c>
      <c r="AD11" t="s">
        <v>2740</v>
      </c>
      <c r="AE11" s="21" t="str">
        <f ca="1" xml:space="preserve"> Path.ThisWorkbook &amp; "ChartMarkers_characters/"</f>
        <v>/Volumes/JDAW_A/Documents/programming/SVG/CurrencySymbols/ChartMarkers_characters/</v>
      </c>
    </row>
    <row r="12" spans="2:31">
      <c r="B12" s="4" t="s">
        <v>2143</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1072</v>
      </c>
      <c r="T12" t="str">
        <f t="shared" si="2"/>
        <v>6A</v>
      </c>
    </row>
    <row r="13" spans="2:31">
      <c r="B13" s="4" t="s">
        <v>2145</v>
      </c>
      <c r="C13" s="5" t="str">
        <f xml:space="preserve"> "&lt;svg width='" &amp;ROUND(SQRT(BasicBBoxArea), svgSizeDecimalPlaces) &amp; "' height='" &amp;ROUND(SQRT(BasicBBoxArea), svgSizeDecimalPlaces) &amp; "' viewBox='"</f>
        <v>&lt;svg width='10' height='10'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1073</v>
      </c>
      <c r="T13" t="str">
        <f t="shared" si="2"/>
        <v>7A</v>
      </c>
    </row>
    <row r="14" spans="2:31">
      <c r="B14" s="4" t="s">
        <v>2144</v>
      </c>
      <c r="C14" t="e">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#N/A</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1074</v>
      </c>
      <c r="T14" t="str">
        <f t="shared" si="2"/>
        <v>8A</v>
      </c>
    </row>
    <row r="15" spans="2:31">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1075</v>
      </c>
      <c r="T15" t="str">
        <f t="shared" si="2"/>
        <v>9A</v>
      </c>
    </row>
    <row r="16" spans="2:31">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1076</v>
      </c>
      <c r="T16" t="str">
        <f t="shared" si="2"/>
        <v>A0</v>
      </c>
    </row>
    <row r="17" spans="2:31">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1077</v>
      </c>
      <c r="T17" t="str">
        <f t="shared" si="2"/>
        <v>A1</v>
      </c>
    </row>
    <row r="18" spans="2:31">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1078</v>
      </c>
      <c r="T18" t="str">
        <f t="shared" si="2"/>
        <v>A2</v>
      </c>
    </row>
    <row r="19" spans="2:31">
      <c r="B19" s="4" t="s">
        <v>1493</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1079</v>
      </c>
      <c r="T19" t="str">
        <f t="shared" si="2"/>
        <v>A3</v>
      </c>
    </row>
    <row r="20" spans="2:31">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1080</v>
      </c>
      <c r="T20" t="str">
        <f t="shared" si="2"/>
        <v>A4</v>
      </c>
    </row>
    <row r="21" spans="2:31">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1081</v>
      </c>
      <c r="T21" t="str">
        <f t="shared" si="2"/>
        <v>A5</v>
      </c>
    </row>
    <row r="22" spans="2:31">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1082</v>
      </c>
      <c r="T22" t="str">
        <f t="shared" si="2"/>
        <v>A6</v>
      </c>
    </row>
    <row r="23" spans="2:31">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1083</v>
      </c>
      <c r="T23" t="str">
        <f t="shared" si="2"/>
        <v>A7</v>
      </c>
      <c r="X23" t="b">
        <v>1</v>
      </c>
      <c r="Y23" t="b">
        <v>0</v>
      </c>
      <c r="Z23" t="b">
        <v>1</v>
      </c>
      <c r="AA23" t="b">
        <v>0</v>
      </c>
      <c r="AC23">
        <f xml:space="preserve"> ExportControl.BasicBBoxArea_Base</f>
        <v>100</v>
      </c>
      <c r="AD23" t="str">
        <f xml:space="preserve"> ""</f>
        <v/>
      </c>
      <c r="AE23" s="21" t="str">
        <f ca="1" xml:space="preserve"> Path.ThisWorkbook &amp; "ChartMarkers_every.svg"</f>
        <v>/Volumes/JDAW_A/Documents/programming/SVG/CurrencySymbols/ChartMarkers_every.svg</v>
      </c>
    </row>
    <row r="24" spans="2:31">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1084</v>
      </c>
      <c r="T24" t="str">
        <f t="shared" si="2"/>
        <v>A8</v>
      </c>
    </row>
    <row r="25" spans="2:31">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1085</v>
      </c>
      <c r="T25" t="str">
        <f t="shared" si="2"/>
        <v>A9</v>
      </c>
    </row>
    <row r="26" spans="2:31">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1568</v>
      </c>
      <c r="T26" t="str">
        <f t="shared" si="2"/>
        <v>A.</v>
      </c>
    </row>
    <row r="27" spans="2:31">
      <c r="B27" s="4" t="s">
        <v>188</v>
      </c>
      <c r="C27">
        <v>56</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1577</v>
      </c>
      <c r="T27" t="str">
        <f t="shared" si="2"/>
        <v>A-</v>
      </c>
    </row>
    <row r="28" spans="2:31">
      <c r="B28" s="4" t="s">
        <v>570</v>
      </c>
      <c r="C28" s="37">
        <v>0</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1086</v>
      </c>
      <c r="T28" t="str">
        <f t="shared" si="2"/>
        <v>0a</v>
      </c>
    </row>
    <row r="29" spans="2:31">
      <c r="B29" s="4" t="s">
        <v>186</v>
      </c>
      <c r="C29" s="5" t="s">
        <v>2779</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1087</v>
      </c>
      <c r="T29" t="str">
        <f t="shared" si="2"/>
        <v>1a</v>
      </c>
    </row>
    <row r="30" spans="2:31">
      <c r="B30" s="4" t="s">
        <v>187</v>
      </c>
      <c r="C30" s="32">
        <v>46217.847812499997</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1088</v>
      </c>
      <c r="T30" t="str">
        <f t="shared" si="2"/>
        <v>2a</v>
      </c>
    </row>
    <row r="31" spans="2:31">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1089</v>
      </c>
      <c r="T31" t="str">
        <f t="shared" si="2"/>
        <v>3a</v>
      </c>
    </row>
    <row r="32" spans="2:31">
      <c r="B32" s="4" t="s">
        <v>359</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1090</v>
      </c>
      <c r="T32" t="str">
        <f t="shared" si="2"/>
        <v>4a</v>
      </c>
    </row>
    <row r="33" spans="2:20">
      <c r="B33" s="4" t="s">
        <v>1565</v>
      </c>
      <c r="C33" t="s">
        <v>1564</v>
      </c>
      <c r="K33" cm="1">
        <f t="array" ref="K33" xml:space="preserve"> 1 + _xlfn.SINGLE(ROW()) - _xlfn.SINGLE(ROW(ExportSubstitutions.RowNum))</f>
        <v>28</v>
      </c>
      <c r="L33" t="str">
        <f xml:space="preserve"> REPT(" ", 2)</f>
        <v xml:space="preserve">  </v>
      </c>
      <c r="M33" t="str">
        <f t="shared" ref="M33" si="7" xml:space="preserve"> REPT(" ", 1)</f>
        <v xml:space="preserve"> </v>
      </c>
      <c r="N33" t="s">
        <v>1006</v>
      </c>
      <c r="R33" cm="1">
        <f t="array" ref="R33" xml:space="preserve"> 1 + _xlfn.SINGLE(ROW()) - _xlfn.SINGLE(ROW(ExportSubstitutions_Within.RowNum))</f>
        <v>28</v>
      </c>
      <c r="S33" t="s">
        <v>1091</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1092</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1093</v>
      </c>
      <c r="T35" t="str">
        <f t="shared" si="2"/>
        <v>7a</v>
      </c>
    </row>
    <row r="36" spans="2:20">
      <c r="C36">
        <v>1</v>
      </c>
      <c r="K36" cm="1">
        <f t="array" ref="K36" xml:space="preserve"> 1 + _xlfn.SINGLE(ROW()) - _xlfn.SINGLE(ROW(ExportSubstitutions.RowNum))</f>
        <v>31</v>
      </c>
      <c r="L36" t="s">
        <v>2080</v>
      </c>
      <c r="M36" t="s">
        <v>2109</v>
      </c>
      <c r="N36" t="s">
        <v>2112</v>
      </c>
      <c r="R36" cm="1">
        <f t="array" ref="R36" xml:space="preserve"> 1 + _xlfn.SINGLE(ROW()) - _xlfn.SINGLE(ROW(ExportSubstitutions_Within.RowNum))</f>
        <v>31</v>
      </c>
      <c r="S36" t="s">
        <v>1094</v>
      </c>
      <c r="T36" t="str">
        <f t="shared" si="2"/>
        <v>8a</v>
      </c>
    </row>
    <row r="37" spans="2:20">
      <c r="B37" s="4" t="s">
        <v>1683</v>
      </c>
      <c r="C37">
        <v>10</v>
      </c>
      <c r="K37" cm="1">
        <f t="array" ref="K37" xml:space="preserve"> 1 + _xlfn.SINGLE(ROW()) - _xlfn.SINGLE(ROW(ExportSubstitutions.RowNum))</f>
        <v>32</v>
      </c>
      <c r="L37" t="s">
        <v>47</v>
      </c>
      <c r="M37" t="s">
        <v>46</v>
      </c>
      <c r="N37" t="s">
        <v>2112</v>
      </c>
      <c r="R37" cm="1">
        <f t="array" ref="R37" xml:space="preserve"> 1 + _xlfn.SINGLE(ROW()) - _xlfn.SINGLE(ROW(ExportSubstitutions_Within.RowNum))</f>
        <v>32</v>
      </c>
      <c r="S37" t="s">
        <v>1095</v>
      </c>
      <c r="T37" t="str">
        <f t="shared" si="2"/>
        <v>9a</v>
      </c>
    </row>
    <row r="38" spans="2:20">
      <c r="B38" s="4" t="s">
        <v>1682</v>
      </c>
      <c r="C38">
        <f xml:space="preserve"> Thirds_I * 2 - C$36</f>
        <v>19</v>
      </c>
      <c r="K38" cm="1">
        <f t="array" ref="K38" xml:space="preserve"> 1 + _xlfn.SINGLE(ROW()) - _xlfn.SINGLE(ROW(ExportSubstitutions.RowNum))</f>
        <v>33</v>
      </c>
      <c r="L38" t="s">
        <v>2077</v>
      </c>
      <c r="M38" t="s">
        <v>2106</v>
      </c>
      <c r="N38" t="s">
        <v>2112</v>
      </c>
      <c r="R38" cm="1">
        <f t="array" ref="R38" xml:space="preserve"> 1 + _xlfn.SINGLE(ROW()) - _xlfn.SINGLE(ROW(ExportSubstitutions_Within.RowNum))</f>
        <v>33</v>
      </c>
      <c r="S38" t="s">
        <v>1096</v>
      </c>
      <c r="T38" t="str">
        <f t="shared" si="2"/>
        <v>a0</v>
      </c>
    </row>
    <row r="39" spans="2:20">
      <c r="B39" s="4" t="s">
        <v>1681</v>
      </c>
      <c r="C39">
        <f xml:space="preserve"> 2 * Thirds_M - Thirds_I - C$36</f>
        <v>27</v>
      </c>
      <c r="K39" cm="1">
        <f t="array" ref="K39" xml:space="preserve"> 1 + _xlfn.SINGLE(ROW()) - _xlfn.SINGLE(ROW(ExportSubstitutions.RowNum))</f>
        <v>34</v>
      </c>
      <c r="L39" t="s">
        <v>38</v>
      </c>
      <c r="M39" t="s">
        <v>37</v>
      </c>
      <c r="N39" t="s">
        <v>2112</v>
      </c>
      <c r="R39" cm="1">
        <f t="array" ref="R39" xml:space="preserve"> 1 + _xlfn.SINGLE(ROW()) - _xlfn.SINGLE(ROW(ExportSubstitutions_Within.RowNum))</f>
        <v>34</v>
      </c>
      <c r="S39" t="s">
        <v>1097</v>
      </c>
      <c r="T39" t="str">
        <f t="shared" si="2"/>
        <v>a1</v>
      </c>
    </row>
    <row r="40" spans="2:20">
      <c r="K40" cm="1">
        <f t="array" ref="K40" xml:space="preserve"> 1 + _xlfn.SINGLE(ROW()) - _xlfn.SINGLE(ROW(ExportSubstitutions.RowNum))</f>
        <v>35</v>
      </c>
      <c r="L40" t="s">
        <v>61</v>
      </c>
      <c r="M40" t="s">
        <v>60</v>
      </c>
      <c r="N40" t="s">
        <v>2112</v>
      </c>
      <c r="R40" cm="1">
        <f t="array" ref="R40" xml:space="preserve"> 1 + _xlfn.SINGLE(ROW()) - _xlfn.SINGLE(ROW(ExportSubstitutions_Within.RowNum))</f>
        <v>35</v>
      </c>
      <c r="S40" t="s">
        <v>1098</v>
      </c>
      <c r="T40" t="str">
        <f t="shared" si="2"/>
        <v>a2</v>
      </c>
    </row>
    <row r="41" spans="2:20">
      <c r="K41" cm="1">
        <f t="array" ref="K41" xml:space="preserve"> 1 + _xlfn.SINGLE(ROW()) - _xlfn.SINGLE(ROW(ExportSubstitutions.RowNum))</f>
        <v>36</v>
      </c>
      <c r="L41" t="s">
        <v>2078</v>
      </c>
      <c r="M41" t="s">
        <v>2107</v>
      </c>
      <c r="N41" t="s">
        <v>2112</v>
      </c>
      <c r="R41" cm="1">
        <f t="array" ref="R41" xml:space="preserve"> 1 + _xlfn.SINGLE(ROW()) - _xlfn.SINGLE(ROW(ExportSubstitutions_Within.RowNum))</f>
        <v>36</v>
      </c>
      <c r="S41" t="s">
        <v>1099</v>
      </c>
      <c r="T41" t="str">
        <f t="shared" si="2"/>
        <v>a3</v>
      </c>
    </row>
    <row r="42" spans="2:20">
      <c r="B42" s="4" t="s">
        <v>1617</v>
      </c>
      <c r="C42">
        <f xml:space="preserve"> SQRT(2)</f>
        <v>1.4142135623730951</v>
      </c>
      <c r="K42" cm="1">
        <f t="array" ref="K42" xml:space="preserve"> 1 + _xlfn.SINGLE(ROW()) - _xlfn.SINGLE(ROW(ExportSubstitutions.RowNum))</f>
        <v>37</v>
      </c>
      <c r="L42" t="s">
        <v>2079</v>
      </c>
      <c r="M42" t="s">
        <v>2108</v>
      </c>
      <c r="N42" t="s">
        <v>2112</v>
      </c>
      <c r="R42" cm="1">
        <f t="array" ref="R42" xml:space="preserve"> 1 + _xlfn.SINGLE(ROW()) - _xlfn.SINGLE(ROW(ExportSubstitutions_Within.RowNum))</f>
        <v>37</v>
      </c>
      <c r="S42" t="s">
        <v>1100</v>
      </c>
      <c r="T42" t="str">
        <f t="shared" si="2"/>
        <v>a4</v>
      </c>
    </row>
    <row r="43" spans="2:20">
      <c r="B43" s="4" t="s">
        <v>1618</v>
      </c>
      <c r="C43">
        <f xml:space="preserve"> SQRT(3)</f>
        <v>1.7320508075688772</v>
      </c>
      <c r="K43" cm="1">
        <f t="array" ref="K43" xml:space="preserve"> 1 + _xlfn.SINGLE(ROW()) - _xlfn.SINGLE(ROW(ExportSubstitutions.RowNum))</f>
        <v>38</v>
      </c>
      <c r="L43" t="s">
        <v>2082</v>
      </c>
      <c r="M43" t="s">
        <v>2094</v>
      </c>
      <c r="N43" t="s">
        <v>2112</v>
      </c>
      <c r="R43" cm="1">
        <f t="array" ref="R43" xml:space="preserve"> 1 + _xlfn.SINGLE(ROW()) - _xlfn.SINGLE(ROW(ExportSubstitutions_Within.RowNum))</f>
        <v>38</v>
      </c>
      <c r="S43" t="s">
        <v>1101</v>
      </c>
      <c r="T43" t="str">
        <f t="shared" si="2"/>
        <v>a5</v>
      </c>
    </row>
    <row r="44" spans="2:20">
      <c r="B44" s="4" t="s">
        <v>1619</v>
      </c>
      <c r="C44">
        <f xml:space="preserve"> SQRT(5)</f>
        <v>2.2360679774997898</v>
      </c>
      <c r="K44" cm="1">
        <f t="array" ref="K44" xml:space="preserve"> 1 + _xlfn.SINGLE(ROW()) - _xlfn.SINGLE(ROW(ExportSubstitutions.RowNum))</f>
        <v>39</v>
      </c>
      <c r="L44" t="s">
        <v>2286</v>
      </c>
      <c r="M44" t="s">
        <v>2287</v>
      </c>
      <c r="N44" t="s">
        <v>2112</v>
      </c>
      <c r="R44" cm="1">
        <f t="array" ref="R44" xml:space="preserve"> 1 + _xlfn.SINGLE(ROW()) - _xlfn.SINGLE(ROW(ExportSubstitutions_Within.RowNum))</f>
        <v>39</v>
      </c>
      <c r="S44" t="s">
        <v>1102</v>
      </c>
      <c r="T44" t="str">
        <f t="shared" si="2"/>
        <v>a6</v>
      </c>
    </row>
    <row r="45" spans="2:20">
      <c r="B45" s="4" t="s">
        <v>1657</v>
      </c>
      <c r="C45">
        <f xml:space="preserve"> SQRT(13)</f>
        <v>3.6055512754639891</v>
      </c>
      <c r="K45" cm="1">
        <f t="array" ref="K45" xml:space="preserve"> 1 + _xlfn.SINGLE(ROW()) - _xlfn.SINGLE(ROW(ExportSubstitutions.RowNum))</f>
        <v>40</v>
      </c>
      <c r="L45" t="s">
        <v>2083</v>
      </c>
      <c r="M45" t="s">
        <v>2095</v>
      </c>
      <c r="N45" t="s">
        <v>2112</v>
      </c>
      <c r="R45" cm="1">
        <f t="array" ref="R45" xml:space="preserve"> 1 + _xlfn.SINGLE(ROW()) - _xlfn.SINGLE(ROW(ExportSubstitutions_Within.RowNum))</f>
        <v>40</v>
      </c>
      <c r="S45" t="s">
        <v>1103</v>
      </c>
      <c r="T45" t="str">
        <f t="shared" si="2"/>
        <v>a7</v>
      </c>
    </row>
    <row r="46" spans="2:20">
      <c r="B46" s="4" t="s">
        <v>1620</v>
      </c>
      <c r="C46">
        <f xml:space="preserve"> SQRT(15)</f>
        <v>3.872983346207417</v>
      </c>
      <c r="K46" cm="1">
        <f t="array" ref="K46" xml:space="preserve"> 1 + _xlfn.SINGLE(ROW()) - _xlfn.SINGLE(ROW(ExportSubstitutions.RowNum))</f>
        <v>41</v>
      </c>
      <c r="L46" t="s">
        <v>2084</v>
      </c>
      <c r="M46" t="s">
        <v>2096</v>
      </c>
      <c r="N46" t="s">
        <v>2112</v>
      </c>
      <c r="R46" cm="1">
        <f t="array" ref="R46" xml:space="preserve"> 1 + _xlfn.SINGLE(ROW()) - _xlfn.SINGLE(ROW(ExportSubstitutions_Within.RowNum))</f>
        <v>41</v>
      </c>
      <c r="S46" t="s">
        <v>1104</v>
      </c>
      <c r="T46" t="str">
        <f t="shared" si="2"/>
        <v>a8</v>
      </c>
    </row>
    <row r="47" spans="2:20">
      <c r="B47" s="4" t="s">
        <v>1621</v>
      </c>
      <c r="C47">
        <f xml:space="preserve"> SQRT(30)</f>
        <v>5.4772255750516612</v>
      </c>
      <c r="K47" cm="1">
        <f t="array" ref="K47" xml:space="preserve"> 1 + _xlfn.SINGLE(ROW()) - _xlfn.SINGLE(ROW(ExportSubstitutions.RowNum))</f>
        <v>42</v>
      </c>
      <c r="L47" t="s">
        <v>49</v>
      </c>
      <c r="M47" t="s">
        <v>48</v>
      </c>
      <c r="N47" t="s">
        <v>2112</v>
      </c>
      <c r="R47" cm="1">
        <f t="array" ref="R47" xml:space="preserve"> 1 + _xlfn.SINGLE(ROW()) - _xlfn.SINGLE(ROW(ExportSubstitutions_Within.RowNum))</f>
        <v>42</v>
      </c>
      <c r="S47" t="s">
        <v>1105</v>
      </c>
      <c r="T47" t="str">
        <f t="shared" si="2"/>
        <v>a9</v>
      </c>
    </row>
    <row r="48" spans="2:20">
      <c r="B48" s="4" t="s">
        <v>1622</v>
      </c>
      <c r="C48">
        <f xml:space="preserve"> SQRT(1/2)</f>
        <v>0.70710678118654757</v>
      </c>
      <c r="K48" cm="1">
        <f t="array" ref="K48" xml:space="preserve"> 1 + _xlfn.SINGLE(ROW()) - _xlfn.SINGLE(ROW(ExportSubstitutions.RowNum))</f>
        <v>43</v>
      </c>
      <c r="L48" t="s">
        <v>36</v>
      </c>
      <c r="M48" t="s">
        <v>39</v>
      </c>
      <c r="N48" t="s">
        <v>2112</v>
      </c>
      <c r="R48" cm="1">
        <f t="array" ref="R48" xml:space="preserve"> 1 + _xlfn.SINGLE(ROW()) - _xlfn.SINGLE(ROW(ExportSubstitutions_Within.RowNum))</f>
        <v>43</v>
      </c>
      <c r="S48" t="s">
        <v>1569</v>
      </c>
      <c r="T48" t="str">
        <f t="shared" si="2"/>
        <v>a.</v>
      </c>
    </row>
    <row r="49" spans="2:20">
      <c r="B49" s="4" t="s">
        <v>1623</v>
      </c>
      <c r="C49" cm="1">
        <f t="array" ref="C49" xml:space="preserve"> (Sqrt5 + 1) / 2</f>
        <v>1.6180339887498949</v>
      </c>
      <c r="K49" cm="1">
        <f t="array" ref="K49" xml:space="preserve"> 1 + _xlfn.SINGLE(ROW()) - _xlfn.SINGLE(ROW(ExportSubstitutions.RowNum))</f>
        <v>44</v>
      </c>
      <c r="L49" t="s">
        <v>2085</v>
      </c>
      <c r="M49" t="s">
        <v>2097</v>
      </c>
      <c r="N49" t="s">
        <v>2112</v>
      </c>
      <c r="R49" cm="1">
        <f t="array" ref="R49" xml:space="preserve"> 1 + _xlfn.SINGLE(ROW()) - _xlfn.SINGLE(ROW(ExportSubstitutions_Within.RowNum))</f>
        <v>44</v>
      </c>
      <c r="S49" t="s">
        <v>1578</v>
      </c>
      <c r="T49" t="str">
        <f t="shared" si="2"/>
        <v>a-</v>
      </c>
    </row>
    <row r="50" spans="2:20">
      <c r="B50" s="4" t="s">
        <v>1624</v>
      </c>
      <c r="C50">
        <v>0.79295350639999995</v>
      </c>
      <c r="K50" cm="1">
        <f t="array" ref="K50" xml:space="preserve"> 1 + _xlfn.SINGLE(ROW()) - _xlfn.SINGLE(ROW(ExportSubstitutions.RowNum))</f>
        <v>45</v>
      </c>
      <c r="L50" t="s">
        <v>30</v>
      </c>
      <c r="M50" t="s">
        <v>29</v>
      </c>
      <c r="N50" t="s">
        <v>2112</v>
      </c>
      <c r="R50" cm="1">
        <f t="array" ref="R50" xml:space="preserve"> 1 + _xlfn.SINGLE(ROW()) - _xlfn.SINGLE(ROW(ExportSubstitutions_Within.RowNum))</f>
        <v>45</v>
      </c>
      <c r="S50" t="s">
        <v>1106</v>
      </c>
      <c r="T50" t="str">
        <f t="shared" si="2"/>
        <v>0C</v>
      </c>
    </row>
    <row r="51" spans="2:20">
      <c r="K51" cm="1">
        <f t="array" ref="K51" xml:space="preserve"> 1 + _xlfn.SINGLE(ROW()) - _xlfn.SINGLE(ROW(ExportSubstitutions.RowNum))</f>
        <v>46</v>
      </c>
      <c r="L51" t="s">
        <v>2086</v>
      </c>
      <c r="M51" t="s">
        <v>2098</v>
      </c>
      <c r="N51" t="s">
        <v>2112</v>
      </c>
      <c r="R51" cm="1">
        <f t="array" ref="R51" xml:space="preserve"> 1 + _xlfn.SINGLE(ROW()) - _xlfn.SINGLE(ROW(ExportSubstitutions_Within.RowNum))</f>
        <v>46</v>
      </c>
      <c r="S51" t="s">
        <v>1107</v>
      </c>
      <c r="T51" t="str">
        <f t="shared" si="2"/>
        <v>1C</v>
      </c>
    </row>
    <row r="52" spans="2:20">
      <c r="K52" cm="1">
        <f t="array" ref="K52" xml:space="preserve"> 1 + _xlfn.SINGLE(ROW()) - _xlfn.SINGLE(ROW(ExportSubstitutions.RowNum))</f>
        <v>47</v>
      </c>
      <c r="L52" t="s">
        <v>51</v>
      </c>
      <c r="M52" t="s">
        <v>50</v>
      </c>
      <c r="N52" t="s">
        <v>2112</v>
      </c>
      <c r="R52" cm="1">
        <f t="array" ref="R52" xml:space="preserve"> 1 + _xlfn.SINGLE(ROW()) - _xlfn.SINGLE(ROW(ExportSubstitutions_Within.RowNum))</f>
        <v>47</v>
      </c>
      <c r="S52" t="s">
        <v>1108</v>
      </c>
      <c r="T52" t="str">
        <f t="shared" si="2"/>
        <v>2C</v>
      </c>
    </row>
    <row r="53" spans="2:20">
      <c r="K53" cm="1">
        <f t="array" ref="K53" xml:space="preserve"> 1 + _xlfn.SINGLE(ROW()) - _xlfn.SINGLE(ROW(ExportSubstitutions.RowNum))</f>
        <v>48</v>
      </c>
      <c r="L53" t="s">
        <v>59</v>
      </c>
      <c r="M53" t="s">
        <v>58</v>
      </c>
      <c r="N53" t="s">
        <v>2112</v>
      </c>
      <c r="R53" cm="1">
        <f t="array" ref="R53" xml:space="preserve"> 1 + _xlfn.SINGLE(ROW()) - _xlfn.SINGLE(ROW(ExportSubstitutions_Within.RowNum))</f>
        <v>48</v>
      </c>
      <c r="S53" t="s">
        <v>1109</v>
      </c>
      <c r="T53" t="str">
        <f t="shared" si="2"/>
        <v>3C</v>
      </c>
    </row>
    <row r="54" spans="2:20">
      <c r="B54" s="4" t="s">
        <v>2651</v>
      </c>
      <c r="C54" s="64" t="str">
        <f xml:space="preserve"> " XXX_0_FFF  XXX_0_0F0  XXX_0_F00  XXX_0_00F  XXX_0_F0F  XXX_0_0FF  XXX_0_FF0  XXX_6_FFF  XXX_6_0F0  XXX_6_F00  XXX_6_00F  XXX_6_F0F  XXX_6_0FF  XXX_6_FF0 "</f>
        <v xml:space="preserve"> XXX_0_FFF  XXX_0_0F0  XXX_0_F00  XXX_0_00F  XXX_0_F0F  XXX_0_0FF  XXX_0_FF0  XXX_6_FFF  XXX_6_0F0  XXX_6_F00  XXX_6_00F  XXX_6_F0F  XXX_6_0FF  XXX_6_FF0 </v>
      </c>
      <c r="K54" cm="1">
        <f t="array" ref="K54" xml:space="preserve"> 1 + _xlfn.SINGLE(ROW()) - _xlfn.SINGLE(ROW(ExportSubstitutions.RowNum))</f>
        <v>49</v>
      </c>
      <c r="L54" t="s">
        <v>2087</v>
      </c>
      <c r="M54" t="s">
        <v>2099</v>
      </c>
      <c r="N54" t="s">
        <v>2112</v>
      </c>
      <c r="R54" cm="1">
        <f t="array" ref="R54" xml:space="preserve"> 1 + _xlfn.SINGLE(ROW()) - _xlfn.SINGLE(ROW(ExportSubstitutions_Within.RowNum))</f>
        <v>49</v>
      </c>
      <c r="S54" t="s">
        <v>1110</v>
      </c>
      <c r="T54" t="str">
        <f t="shared" si="2"/>
        <v>4C</v>
      </c>
    </row>
    <row r="55" spans="2:20">
      <c r="B55" s="4" t="s">
        <v>2652</v>
      </c>
      <c r="C55" s="67">
        <f xml:space="preserve"> DATE(2026,7,14) + TIME(23, 45, 0)</f>
        <v>46217.989583333336</v>
      </c>
      <c r="K55" cm="1">
        <f t="array" ref="K55" xml:space="preserve"> 1 + _xlfn.SINGLE(ROW()) - _xlfn.SINGLE(ROW(ExportSubstitutions.RowNum))</f>
        <v>50</v>
      </c>
      <c r="L55" t="s">
        <v>55</v>
      </c>
      <c r="M55" t="s">
        <v>54</v>
      </c>
      <c r="N55" t="s">
        <v>2112</v>
      </c>
      <c r="R55" cm="1">
        <f t="array" ref="R55" xml:space="preserve"> 1 + _xlfn.SINGLE(ROW()) - _xlfn.SINGLE(ROW(ExportSubstitutions_Within.RowNum))</f>
        <v>50</v>
      </c>
      <c r="S55" t="s">
        <v>1111</v>
      </c>
      <c r="T55" t="str">
        <f t="shared" si="2"/>
        <v>5C</v>
      </c>
    </row>
    <row r="56" spans="2:20">
      <c r="K56" cm="1">
        <f t="array" ref="K56" xml:space="preserve"> 1 + _xlfn.SINGLE(ROW()) - _xlfn.SINGLE(ROW(ExportSubstitutions.RowNum))</f>
        <v>51</v>
      </c>
      <c r="L56" t="s">
        <v>2088</v>
      </c>
      <c r="M56" t="s">
        <v>2100</v>
      </c>
      <c r="N56" t="s">
        <v>2112</v>
      </c>
      <c r="R56" cm="1">
        <f t="array" ref="R56" xml:space="preserve"> 1 + _xlfn.SINGLE(ROW()) - _xlfn.SINGLE(ROW(ExportSubstitutions_Within.RowNum))</f>
        <v>51</v>
      </c>
      <c r="S56" t="s">
        <v>1112</v>
      </c>
      <c r="T56" t="str">
        <f t="shared" si="2"/>
        <v>6C</v>
      </c>
    </row>
    <row r="57" spans="2:20">
      <c r="K57" cm="1">
        <f t="array" ref="K57" xml:space="preserve"> 1 + _xlfn.SINGLE(ROW()) - _xlfn.SINGLE(ROW(ExportSubstitutions.RowNum))</f>
        <v>52</v>
      </c>
      <c r="L57" t="s">
        <v>43</v>
      </c>
      <c r="M57" t="s">
        <v>42</v>
      </c>
      <c r="N57" t="s">
        <v>2112</v>
      </c>
      <c r="R57" cm="1">
        <f t="array" ref="R57" xml:space="preserve"> 1 + _xlfn.SINGLE(ROW()) - _xlfn.SINGLE(ROW(ExportSubstitutions_Within.RowNum))</f>
        <v>52</v>
      </c>
      <c r="S57" t="s">
        <v>1113</v>
      </c>
      <c r="T57" t="str">
        <f t="shared" si="2"/>
        <v>7C</v>
      </c>
    </row>
    <row r="58" spans="2:20">
      <c r="K58" cm="1">
        <f t="array" ref="K58" xml:space="preserve"> 1 + _xlfn.SINGLE(ROW()) - _xlfn.SINGLE(ROW(ExportSubstitutions.RowNum))</f>
        <v>53</v>
      </c>
      <c r="L58" t="s">
        <v>26</v>
      </c>
      <c r="M58" t="s">
        <v>25</v>
      </c>
      <c r="N58" t="s">
        <v>2112</v>
      </c>
      <c r="R58" cm="1">
        <f t="array" ref="R58" xml:space="preserve"> 1 + _xlfn.SINGLE(ROW()) - _xlfn.SINGLE(ROW(ExportSubstitutions_Within.RowNum))</f>
        <v>53</v>
      </c>
      <c r="S58" t="s">
        <v>1114</v>
      </c>
      <c r="T58" t="str">
        <f t="shared" si="2"/>
        <v>8C</v>
      </c>
    </row>
    <row r="59" spans="2:20">
      <c r="K59" cm="1">
        <f t="array" ref="K59" xml:space="preserve"> 1 + _xlfn.SINGLE(ROW()) - _xlfn.SINGLE(ROW(ExportSubstitutions.RowNum))</f>
        <v>54</v>
      </c>
      <c r="L59" t="s">
        <v>63</v>
      </c>
      <c r="M59" t="s">
        <v>62</v>
      </c>
      <c r="N59" t="s">
        <v>2112</v>
      </c>
      <c r="R59" cm="1">
        <f t="array" ref="R59" xml:space="preserve"> 1 + _xlfn.SINGLE(ROW()) - _xlfn.SINGLE(ROW(ExportSubstitutions_Within.RowNum))</f>
        <v>54</v>
      </c>
      <c r="S59" t="s">
        <v>1115</v>
      </c>
      <c r="T59" t="str">
        <f t="shared" si="2"/>
        <v>9C</v>
      </c>
    </row>
    <row r="60" spans="2:20">
      <c r="K60" cm="1">
        <f t="array" ref="K60" xml:space="preserve"> 1 + _xlfn.SINGLE(ROW()) - _xlfn.SINGLE(ROW(ExportSubstitutions.RowNum))</f>
        <v>55</v>
      </c>
      <c r="L60" t="s">
        <v>28</v>
      </c>
      <c r="M60" t="s">
        <v>27</v>
      </c>
      <c r="N60" t="s">
        <v>2112</v>
      </c>
      <c r="R60" cm="1">
        <f t="array" ref="R60" xml:space="preserve"> 1 + _xlfn.SINGLE(ROW()) - _xlfn.SINGLE(ROW(ExportSubstitutions_Within.RowNum))</f>
        <v>55</v>
      </c>
      <c r="S60" t="s">
        <v>1116</v>
      </c>
      <c r="T60" t="str">
        <f t="shared" si="2"/>
        <v>C0</v>
      </c>
    </row>
    <row r="61" spans="2:20">
      <c r="K61" cm="1">
        <f t="array" ref="K61" xml:space="preserve"> 1 + _xlfn.SINGLE(ROW()) - _xlfn.SINGLE(ROW(ExportSubstitutions.RowNum))</f>
        <v>56</v>
      </c>
      <c r="L61" t="s">
        <v>2089</v>
      </c>
      <c r="M61" t="s">
        <v>2101</v>
      </c>
      <c r="N61" t="s">
        <v>2112</v>
      </c>
      <c r="R61" cm="1">
        <f t="array" ref="R61" xml:space="preserve"> 1 + _xlfn.SINGLE(ROW()) - _xlfn.SINGLE(ROW(ExportSubstitutions_Within.RowNum))</f>
        <v>56</v>
      </c>
      <c r="S61" t="s">
        <v>1117</v>
      </c>
      <c r="T61" t="str">
        <f t="shared" si="2"/>
        <v>C1</v>
      </c>
    </row>
    <row r="62" spans="2:20">
      <c r="K62" cm="1">
        <f t="array" ref="K62" xml:space="preserve"> 1 + _xlfn.SINGLE(ROW()) - _xlfn.SINGLE(ROW(ExportSubstitutions.RowNum))</f>
        <v>57</v>
      </c>
      <c r="L62" t="s">
        <v>45</v>
      </c>
      <c r="M62" t="s">
        <v>44</v>
      </c>
      <c r="N62" t="s">
        <v>2112</v>
      </c>
      <c r="R62" cm="1">
        <f t="array" ref="R62" xml:space="preserve"> 1 + _xlfn.SINGLE(ROW()) - _xlfn.SINGLE(ROW(ExportSubstitutions_Within.RowNum))</f>
        <v>57</v>
      </c>
      <c r="S62" t="s">
        <v>1118</v>
      </c>
      <c r="T62" t="str">
        <f t="shared" si="2"/>
        <v>C2</v>
      </c>
    </row>
    <row r="63" spans="2:20">
      <c r="K63" cm="1">
        <f t="array" ref="K63" xml:space="preserve"> 1 + _xlfn.SINGLE(ROW()) - _xlfn.SINGLE(ROW(ExportSubstitutions.RowNum))</f>
        <v>58</v>
      </c>
      <c r="L63" t="s">
        <v>2076</v>
      </c>
      <c r="M63" t="s">
        <v>2105</v>
      </c>
      <c r="N63" t="s">
        <v>2112</v>
      </c>
      <c r="R63" cm="1">
        <f t="array" ref="R63" xml:space="preserve"> 1 + _xlfn.SINGLE(ROW()) - _xlfn.SINGLE(ROW(ExportSubstitutions_Within.RowNum))</f>
        <v>58</v>
      </c>
      <c r="S63" t="s">
        <v>1119</v>
      </c>
      <c r="T63" t="str">
        <f t="shared" si="2"/>
        <v>C3</v>
      </c>
    </row>
    <row r="64" spans="2:20">
      <c r="K64" cm="1">
        <f t="array" ref="K64" xml:space="preserve"> 1 + _xlfn.SINGLE(ROW()) - _xlfn.SINGLE(ROW(ExportSubstitutions.RowNum))</f>
        <v>59</v>
      </c>
      <c r="L64" t="s">
        <v>2090</v>
      </c>
      <c r="M64" t="s">
        <v>2102</v>
      </c>
      <c r="N64" t="s">
        <v>2112</v>
      </c>
      <c r="R64" cm="1">
        <f t="array" ref="R64" xml:space="preserve"> 1 + _xlfn.SINGLE(ROW()) - _xlfn.SINGLE(ROW(ExportSubstitutions_Within.RowNum))</f>
        <v>59</v>
      </c>
      <c r="S64" t="s">
        <v>1120</v>
      </c>
      <c r="T64" t="str">
        <f t="shared" si="2"/>
        <v>C4</v>
      </c>
    </row>
    <row r="65" spans="11:20">
      <c r="K65" cm="1">
        <f t="array" ref="K65" xml:space="preserve"> 1 + _xlfn.SINGLE(ROW()) - _xlfn.SINGLE(ROW(ExportSubstitutions.RowNum))</f>
        <v>60</v>
      </c>
      <c r="L65" t="s">
        <v>32</v>
      </c>
      <c r="M65" t="s">
        <v>31</v>
      </c>
      <c r="N65" t="s">
        <v>2112</v>
      </c>
      <c r="R65" cm="1">
        <f t="array" ref="R65" xml:space="preserve"> 1 + _xlfn.SINGLE(ROW()) - _xlfn.SINGLE(ROW(ExportSubstitutions_Within.RowNum))</f>
        <v>60</v>
      </c>
      <c r="S65" t="s">
        <v>1121</v>
      </c>
      <c r="T65" t="str">
        <f t="shared" si="2"/>
        <v>C5</v>
      </c>
    </row>
    <row r="66" spans="11:20">
      <c r="K66" cm="1">
        <f t="array" ref="K66" xml:space="preserve"> 1 + _xlfn.SINGLE(ROW()) - _xlfn.SINGLE(ROW(ExportSubstitutions.RowNum))</f>
        <v>61</v>
      </c>
      <c r="L66" t="s">
        <v>2091</v>
      </c>
      <c r="M66" t="s">
        <v>2103</v>
      </c>
      <c r="N66" t="s">
        <v>2112</v>
      </c>
      <c r="R66" cm="1">
        <f t="array" ref="R66" xml:space="preserve"> 1 + _xlfn.SINGLE(ROW()) - _xlfn.SINGLE(ROW(ExportSubstitutions_Within.RowNum))</f>
        <v>61</v>
      </c>
      <c r="S66" t="s">
        <v>1122</v>
      </c>
      <c r="T66" t="str">
        <f t="shared" si="2"/>
        <v>C6</v>
      </c>
    </row>
    <row r="67" spans="11:20">
      <c r="K67" cm="1">
        <f t="array" ref="K67" xml:space="preserve"> 1 + _xlfn.SINGLE(ROW()) - _xlfn.SINGLE(ROW(ExportSubstitutions.RowNum))</f>
        <v>62</v>
      </c>
      <c r="L67" t="s">
        <v>53</v>
      </c>
      <c r="M67" t="s">
        <v>52</v>
      </c>
      <c r="N67" t="s">
        <v>2112</v>
      </c>
      <c r="R67" cm="1">
        <f t="array" ref="R67" xml:space="preserve"> 1 + _xlfn.SINGLE(ROW()) - _xlfn.SINGLE(ROW(ExportSubstitutions_Within.RowNum))</f>
        <v>62</v>
      </c>
      <c r="S67" t="s">
        <v>1123</v>
      </c>
      <c r="T67" t="str">
        <f t="shared" si="2"/>
        <v>C7</v>
      </c>
    </row>
    <row r="68" spans="11:20">
      <c r="K68" cm="1">
        <f t="array" ref="K68" xml:space="preserve"> 1 + _xlfn.SINGLE(ROW()) - _xlfn.SINGLE(ROW(ExportSubstitutions.RowNum))</f>
        <v>63</v>
      </c>
      <c r="L68" t="s">
        <v>34</v>
      </c>
      <c r="M68" t="s">
        <v>33</v>
      </c>
      <c r="N68" t="s">
        <v>2112</v>
      </c>
      <c r="R68" cm="1">
        <f t="array" ref="R68" xml:space="preserve"> 1 + _xlfn.SINGLE(ROW()) - _xlfn.SINGLE(ROW(ExportSubstitutions_Within.RowNum))</f>
        <v>63</v>
      </c>
      <c r="S68" t="s">
        <v>1124</v>
      </c>
      <c r="T68" t="str">
        <f t="shared" si="2"/>
        <v>C8</v>
      </c>
    </row>
    <row r="69" spans="11:20">
      <c r="K69" cm="1">
        <f t="array" ref="K69" xml:space="preserve"> 1 + _xlfn.SINGLE(ROW()) - _xlfn.SINGLE(ROW(ExportSubstitutions.RowNum))</f>
        <v>64</v>
      </c>
      <c r="L69" t="s">
        <v>2092</v>
      </c>
      <c r="M69" t="s">
        <v>2104</v>
      </c>
      <c r="N69" t="s">
        <v>2112</v>
      </c>
      <c r="R69" cm="1">
        <f t="array" ref="R69" xml:space="preserve"> 1 + _xlfn.SINGLE(ROW()) - _xlfn.SINGLE(ROW(ExportSubstitutions_Within.RowNum))</f>
        <v>64</v>
      </c>
      <c r="S69" t="s">
        <v>1125</v>
      </c>
      <c r="T69" t="str">
        <f t="shared" si="2"/>
        <v>C9</v>
      </c>
    </row>
    <row r="70" spans="11:20">
      <c r="K70" cm="1">
        <f t="array" ref="K70" xml:space="preserve"> 1 + _xlfn.SINGLE(ROW()) - _xlfn.SINGLE(ROW(ExportSubstitutions.RowNum))</f>
        <v>65</v>
      </c>
      <c r="L70" t="s">
        <v>57</v>
      </c>
      <c r="M70" t="s">
        <v>56</v>
      </c>
      <c r="N70" t="s">
        <v>2112</v>
      </c>
      <c r="R70" cm="1">
        <f t="array" ref="R70" xml:space="preserve"> 1 + _xlfn.SINGLE(ROW()) - _xlfn.SINGLE(ROW(ExportSubstitutions_Within.RowNum))</f>
        <v>65</v>
      </c>
      <c r="S70" t="s">
        <v>1570</v>
      </c>
      <c r="T70" t="str">
        <f t="shared" ref="T70:T133" si="8" xml:space="preserve"> SUBSTITUTE(ExportSubstitutions_Within.From, " ", "")</f>
        <v>C.</v>
      </c>
    </row>
    <row r="71" spans="11:20">
      <c r="K71" cm="1">
        <f t="array" ref="K71" xml:space="preserve"> 1 + _xlfn.SINGLE(ROW()) - _xlfn.SINGLE(ROW(ExportSubstitutions.RowNum))</f>
        <v>66</v>
      </c>
      <c r="L71" t="s">
        <v>2093</v>
      </c>
      <c r="M71" t="s">
        <v>2111</v>
      </c>
      <c r="N71" t="s">
        <v>2112</v>
      </c>
      <c r="R71" cm="1">
        <f t="array" ref="R71" xml:space="preserve"> 1 + _xlfn.SINGLE(ROW()) - _xlfn.SINGLE(ROW(ExportSubstitutions_Within.RowNum))</f>
        <v>66</v>
      </c>
      <c r="S71" t="s">
        <v>1579</v>
      </c>
      <c r="T71" t="str">
        <f t="shared" si="8"/>
        <v>C-</v>
      </c>
    </row>
    <row r="72" spans="11:20">
      <c r="K72" cm="1">
        <f t="array" ref="K72" xml:space="preserve"> 1 + _xlfn.SINGLE(ROW()) - _xlfn.SINGLE(ROW(ExportSubstitutions.RowNum))</f>
        <v>67</v>
      </c>
      <c r="L72" t="s">
        <v>41</v>
      </c>
      <c r="M72" t="s">
        <v>40</v>
      </c>
      <c r="N72" t="s">
        <v>2112</v>
      </c>
      <c r="R72" cm="1">
        <f t="array" ref="R72" xml:space="preserve"> 1 + _xlfn.SINGLE(ROW()) - _xlfn.SINGLE(ROW(ExportSubstitutions_Within.RowNum))</f>
        <v>67</v>
      </c>
      <c r="S72" t="s">
        <v>1126</v>
      </c>
      <c r="T72" t="str">
        <f t="shared" si="8"/>
        <v>0c</v>
      </c>
    </row>
    <row r="73" spans="11:20">
      <c r="K73" cm="1">
        <f t="array" ref="K73" xml:space="preserve"> 1 + _xlfn.SINGLE(ROW()) - _xlfn.SINGLE(ROW(ExportSubstitutions.RowNum))</f>
        <v>68</v>
      </c>
      <c r="L73" t="s">
        <v>2081</v>
      </c>
      <c r="M73" t="s">
        <v>2110</v>
      </c>
      <c r="N73" t="s">
        <v>2112</v>
      </c>
      <c r="R73" cm="1">
        <f t="array" ref="R73" xml:space="preserve"> 1 + _xlfn.SINGLE(ROW()) - _xlfn.SINGLE(ROW(ExportSubstitutions_Within.RowNum))</f>
        <v>68</v>
      </c>
      <c r="S73" t="s">
        <v>1127</v>
      </c>
      <c r="T73" t="str">
        <f t="shared" si="8"/>
        <v>1c</v>
      </c>
    </row>
    <row r="74" spans="11:20">
      <c r="R74" cm="1">
        <f t="array" ref="R74" xml:space="preserve"> 1 + _xlfn.SINGLE(ROW()) - _xlfn.SINGLE(ROW(ExportSubstitutions_Within.RowNum))</f>
        <v>69</v>
      </c>
      <c r="S74" t="s">
        <v>1128</v>
      </c>
      <c r="T74" t="str">
        <f t="shared" si="8"/>
        <v>2c</v>
      </c>
    </row>
    <row r="75" spans="11:20">
      <c r="R75" cm="1">
        <f t="array" ref="R75" xml:space="preserve"> 1 + _xlfn.SINGLE(ROW()) - _xlfn.SINGLE(ROW(ExportSubstitutions_Within.RowNum))</f>
        <v>70</v>
      </c>
      <c r="S75" t="s">
        <v>1129</v>
      </c>
      <c r="T75" t="str">
        <f t="shared" si="8"/>
        <v>3c</v>
      </c>
    </row>
    <row r="76" spans="11:20">
      <c r="R76" cm="1">
        <f t="array" ref="R76" xml:space="preserve"> 1 + _xlfn.SINGLE(ROW()) - _xlfn.SINGLE(ROW(ExportSubstitutions_Within.RowNum))</f>
        <v>71</v>
      </c>
      <c r="S76" t="s">
        <v>1130</v>
      </c>
      <c r="T76" t="str">
        <f t="shared" si="8"/>
        <v>4c</v>
      </c>
    </row>
    <row r="77" spans="11:20">
      <c r="R77" cm="1">
        <f t="array" ref="R77" xml:space="preserve"> 1 + _xlfn.SINGLE(ROW()) - _xlfn.SINGLE(ROW(ExportSubstitutions_Within.RowNum))</f>
        <v>72</v>
      </c>
      <c r="S77" t="s">
        <v>1131</v>
      </c>
      <c r="T77" t="str">
        <f t="shared" si="8"/>
        <v>5c</v>
      </c>
    </row>
    <row r="78" spans="11:20">
      <c r="R78" cm="1">
        <f t="array" ref="R78" xml:space="preserve"> 1 + _xlfn.SINGLE(ROW()) - _xlfn.SINGLE(ROW(ExportSubstitutions_Within.RowNum))</f>
        <v>73</v>
      </c>
      <c r="S78" t="s">
        <v>1132</v>
      </c>
      <c r="T78" t="str">
        <f t="shared" si="8"/>
        <v>6c</v>
      </c>
    </row>
    <row r="79" spans="11:20">
      <c r="R79" cm="1">
        <f t="array" ref="R79" xml:space="preserve"> 1 + _xlfn.SINGLE(ROW()) - _xlfn.SINGLE(ROW(ExportSubstitutions_Within.RowNum))</f>
        <v>74</v>
      </c>
      <c r="S79" t="s">
        <v>1133</v>
      </c>
      <c r="T79" t="str">
        <f t="shared" si="8"/>
        <v>7c</v>
      </c>
    </row>
    <row r="80" spans="11:20">
      <c r="R80" cm="1">
        <f t="array" ref="R80" xml:space="preserve"> 1 + _xlfn.SINGLE(ROW()) - _xlfn.SINGLE(ROW(ExportSubstitutions_Within.RowNum))</f>
        <v>75</v>
      </c>
      <c r="S80" t="s">
        <v>1134</v>
      </c>
      <c r="T80" t="str">
        <f t="shared" si="8"/>
        <v>8c</v>
      </c>
    </row>
    <row r="81" spans="18:20">
      <c r="R81" cm="1">
        <f t="array" ref="R81" xml:space="preserve"> 1 + _xlfn.SINGLE(ROW()) - _xlfn.SINGLE(ROW(ExportSubstitutions_Within.RowNum))</f>
        <v>76</v>
      </c>
      <c r="S81" t="s">
        <v>1135</v>
      </c>
      <c r="T81" t="str">
        <f t="shared" si="8"/>
        <v>9c</v>
      </c>
    </row>
    <row r="82" spans="18:20">
      <c r="R82" cm="1">
        <f t="array" ref="R82" xml:space="preserve"> 1 + _xlfn.SINGLE(ROW()) - _xlfn.SINGLE(ROW(ExportSubstitutions_Within.RowNum))</f>
        <v>77</v>
      </c>
      <c r="S82" t="s">
        <v>1136</v>
      </c>
      <c r="T82" t="str">
        <f t="shared" si="8"/>
        <v>c0</v>
      </c>
    </row>
    <row r="83" spans="18:20">
      <c r="R83" cm="1">
        <f t="array" ref="R83" xml:space="preserve"> 1 + _xlfn.SINGLE(ROW()) - _xlfn.SINGLE(ROW(ExportSubstitutions_Within.RowNum))</f>
        <v>78</v>
      </c>
      <c r="S83" t="s">
        <v>1137</v>
      </c>
      <c r="T83" t="str">
        <f t="shared" si="8"/>
        <v>c1</v>
      </c>
    </row>
    <row r="84" spans="18:20">
      <c r="R84" cm="1">
        <f t="array" ref="R84" xml:space="preserve"> 1 + _xlfn.SINGLE(ROW()) - _xlfn.SINGLE(ROW(ExportSubstitutions_Within.RowNum))</f>
        <v>79</v>
      </c>
      <c r="S84" t="s">
        <v>1138</v>
      </c>
      <c r="T84" t="str">
        <f t="shared" si="8"/>
        <v>c2</v>
      </c>
    </row>
    <row r="85" spans="18:20">
      <c r="R85" cm="1">
        <f t="array" ref="R85" xml:space="preserve"> 1 + _xlfn.SINGLE(ROW()) - _xlfn.SINGLE(ROW(ExportSubstitutions_Within.RowNum))</f>
        <v>80</v>
      </c>
      <c r="S85" t="s">
        <v>1139</v>
      </c>
      <c r="T85" t="str">
        <f t="shared" si="8"/>
        <v>c3</v>
      </c>
    </row>
    <row r="86" spans="18:20">
      <c r="R86" cm="1">
        <f t="array" ref="R86" xml:space="preserve"> 1 + _xlfn.SINGLE(ROW()) - _xlfn.SINGLE(ROW(ExportSubstitutions_Within.RowNum))</f>
        <v>81</v>
      </c>
      <c r="S86" t="s">
        <v>1140</v>
      </c>
      <c r="T86" t="str">
        <f t="shared" si="8"/>
        <v>c4</v>
      </c>
    </row>
    <row r="87" spans="18:20">
      <c r="R87" cm="1">
        <f t="array" ref="R87" xml:space="preserve"> 1 + _xlfn.SINGLE(ROW()) - _xlfn.SINGLE(ROW(ExportSubstitutions_Within.RowNum))</f>
        <v>82</v>
      </c>
      <c r="S87" t="s">
        <v>1141</v>
      </c>
      <c r="T87" t="str">
        <f t="shared" si="8"/>
        <v>c5</v>
      </c>
    </row>
    <row r="88" spans="18:20">
      <c r="R88" cm="1">
        <f t="array" ref="R88" xml:space="preserve"> 1 + _xlfn.SINGLE(ROW()) - _xlfn.SINGLE(ROW(ExportSubstitutions_Within.RowNum))</f>
        <v>83</v>
      </c>
      <c r="S88" t="s">
        <v>1142</v>
      </c>
      <c r="T88" t="str">
        <f t="shared" si="8"/>
        <v>c6</v>
      </c>
    </row>
    <row r="89" spans="18:20">
      <c r="R89" cm="1">
        <f t="array" ref="R89" xml:space="preserve"> 1 + _xlfn.SINGLE(ROW()) - _xlfn.SINGLE(ROW(ExportSubstitutions_Within.RowNum))</f>
        <v>84</v>
      </c>
      <c r="S89" t="s">
        <v>1143</v>
      </c>
      <c r="T89" t="str">
        <f t="shared" si="8"/>
        <v>c7</v>
      </c>
    </row>
    <row r="90" spans="18:20">
      <c r="R90" cm="1">
        <f t="array" ref="R90" xml:space="preserve"> 1 + _xlfn.SINGLE(ROW()) - _xlfn.SINGLE(ROW(ExportSubstitutions_Within.RowNum))</f>
        <v>85</v>
      </c>
      <c r="S90" t="s">
        <v>1144</v>
      </c>
      <c r="T90" t="str">
        <f t="shared" si="8"/>
        <v>c8</v>
      </c>
    </row>
    <row r="91" spans="18:20">
      <c r="R91" cm="1">
        <f t="array" ref="R91" xml:space="preserve"> 1 + _xlfn.SINGLE(ROW()) - _xlfn.SINGLE(ROW(ExportSubstitutions_Within.RowNum))</f>
        <v>86</v>
      </c>
      <c r="S91" t="s">
        <v>1145</v>
      </c>
      <c r="T91" t="str">
        <f t="shared" si="8"/>
        <v>c9</v>
      </c>
    </row>
    <row r="92" spans="18:20">
      <c r="R92" cm="1">
        <f t="array" ref="R92" xml:space="preserve"> 1 + _xlfn.SINGLE(ROW()) - _xlfn.SINGLE(ROW(ExportSubstitutions_Within.RowNum))</f>
        <v>87</v>
      </c>
      <c r="S92" t="s">
        <v>1571</v>
      </c>
      <c r="T92" t="str">
        <f t="shared" si="8"/>
        <v>c.</v>
      </c>
    </row>
    <row r="93" spans="18:20">
      <c r="R93" cm="1">
        <f t="array" ref="R93" xml:space="preserve"> 1 + _xlfn.SINGLE(ROW()) - _xlfn.SINGLE(ROW(ExportSubstitutions_Within.RowNum))</f>
        <v>88</v>
      </c>
      <c r="S93" t="s">
        <v>1580</v>
      </c>
      <c r="T93" t="str">
        <f t="shared" si="8"/>
        <v>c-</v>
      </c>
    </row>
    <row r="94" spans="18:20">
      <c r="R94" cm="1">
        <f t="array" ref="R94" xml:space="preserve"> 1 + _xlfn.SINGLE(ROW()) - _xlfn.SINGLE(ROW(ExportSubstitutions_Within.RowNum))</f>
        <v>89</v>
      </c>
      <c r="S94" t="s">
        <v>1146</v>
      </c>
      <c r="T94" t="str">
        <f t="shared" si="8"/>
        <v>0H</v>
      </c>
    </row>
    <row r="95" spans="18:20">
      <c r="R95" cm="1">
        <f t="array" ref="R95" xml:space="preserve"> 1 + _xlfn.SINGLE(ROW()) - _xlfn.SINGLE(ROW(ExportSubstitutions_Within.RowNum))</f>
        <v>90</v>
      </c>
      <c r="S95" t="s">
        <v>1147</v>
      </c>
      <c r="T95" t="str">
        <f t="shared" si="8"/>
        <v>1H</v>
      </c>
    </row>
    <row r="96" spans="18:20">
      <c r="R96" cm="1">
        <f t="array" ref="R96" xml:space="preserve"> 1 + _xlfn.SINGLE(ROW()) - _xlfn.SINGLE(ROW(ExportSubstitutions_Within.RowNum))</f>
        <v>91</v>
      </c>
      <c r="S96" t="s">
        <v>1148</v>
      </c>
      <c r="T96" t="str">
        <f t="shared" si="8"/>
        <v>2H</v>
      </c>
    </row>
    <row r="97" spans="18:20">
      <c r="R97" cm="1">
        <f t="array" ref="R97" xml:space="preserve"> 1 + _xlfn.SINGLE(ROW()) - _xlfn.SINGLE(ROW(ExportSubstitutions_Within.RowNum))</f>
        <v>92</v>
      </c>
      <c r="S97" t="s">
        <v>1149</v>
      </c>
      <c r="T97" t="str">
        <f t="shared" si="8"/>
        <v>3H</v>
      </c>
    </row>
    <row r="98" spans="18:20">
      <c r="R98" cm="1">
        <f t="array" ref="R98" xml:space="preserve"> 1 + _xlfn.SINGLE(ROW()) - _xlfn.SINGLE(ROW(ExportSubstitutions_Within.RowNum))</f>
        <v>93</v>
      </c>
      <c r="S98" t="s">
        <v>1150</v>
      </c>
      <c r="T98" t="str">
        <f t="shared" si="8"/>
        <v>4H</v>
      </c>
    </row>
    <row r="99" spans="18:20">
      <c r="R99" cm="1">
        <f t="array" ref="R99" xml:space="preserve"> 1 + _xlfn.SINGLE(ROW()) - _xlfn.SINGLE(ROW(ExportSubstitutions_Within.RowNum))</f>
        <v>94</v>
      </c>
      <c r="S99" t="s">
        <v>1151</v>
      </c>
      <c r="T99" t="str">
        <f t="shared" si="8"/>
        <v>5H</v>
      </c>
    </row>
    <row r="100" spans="18:20">
      <c r="R100" cm="1">
        <f t="array" ref="R100" xml:space="preserve"> 1 + _xlfn.SINGLE(ROW()) - _xlfn.SINGLE(ROW(ExportSubstitutions_Within.RowNum))</f>
        <v>95</v>
      </c>
      <c r="S100" t="s">
        <v>1152</v>
      </c>
      <c r="T100" t="str">
        <f t="shared" si="8"/>
        <v>6H</v>
      </c>
    </row>
    <row r="101" spans="18:20">
      <c r="R101" cm="1">
        <f t="array" ref="R101" xml:space="preserve"> 1 + _xlfn.SINGLE(ROW()) - _xlfn.SINGLE(ROW(ExportSubstitutions_Within.RowNum))</f>
        <v>96</v>
      </c>
      <c r="S101" t="s">
        <v>1153</v>
      </c>
      <c r="T101" t="str">
        <f t="shared" si="8"/>
        <v>7H</v>
      </c>
    </row>
    <row r="102" spans="18:20">
      <c r="R102" cm="1">
        <f t="array" ref="R102" xml:space="preserve"> 1 + _xlfn.SINGLE(ROW()) - _xlfn.SINGLE(ROW(ExportSubstitutions_Within.RowNum))</f>
        <v>97</v>
      </c>
      <c r="S102" t="s">
        <v>1154</v>
      </c>
      <c r="T102" t="str">
        <f t="shared" si="8"/>
        <v>8H</v>
      </c>
    </row>
    <row r="103" spans="18:20">
      <c r="R103" cm="1">
        <f t="array" ref="R103" xml:space="preserve"> 1 + _xlfn.SINGLE(ROW()) - _xlfn.SINGLE(ROW(ExportSubstitutions_Within.RowNum))</f>
        <v>98</v>
      </c>
      <c r="S103" t="s">
        <v>1155</v>
      </c>
      <c r="T103" t="str">
        <f t="shared" si="8"/>
        <v>9H</v>
      </c>
    </row>
    <row r="104" spans="18:20">
      <c r="R104" cm="1">
        <f t="array" ref="R104" xml:space="preserve"> 1 + _xlfn.SINGLE(ROW()) - _xlfn.SINGLE(ROW(ExportSubstitutions_Within.RowNum))</f>
        <v>99</v>
      </c>
      <c r="S104" t="s">
        <v>1156</v>
      </c>
      <c r="T104" t="str">
        <f t="shared" si="8"/>
        <v>H0</v>
      </c>
    </row>
    <row r="105" spans="18:20">
      <c r="R105" cm="1">
        <f t="array" ref="R105" xml:space="preserve"> 1 + _xlfn.SINGLE(ROW()) - _xlfn.SINGLE(ROW(ExportSubstitutions_Within.RowNum))</f>
        <v>100</v>
      </c>
      <c r="S105" t="s">
        <v>1157</v>
      </c>
      <c r="T105" t="str">
        <f t="shared" si="8"/>
        <v>H1</v>
      </c>
    </row>
    <row r="106" spans="18:20">
      <c r="R106" cm="1">
        <f t="array" ref="R106" xml:space="preserve"> 1 + _xlfn.SINGLE(ROW()) - _xlfn.SINGLE(ROW(ExportSubstitutions_Within.RowNum))</f>
        <v>101</v>
      </c>
      <c r="S106" t="s">
        <v>1158</v>
      </c>
      <c r="T106" t="str">
        <f t="shared" si="8"/>
        <v>H2</v>
      </c>
    </row>
    <row r="107" spans="18:20">
      <c r="R107" cm="1">
        <f t="array" ref="R107" xml:space="preserve"> 1 + _xlfn.SINGLE(ROW()) - _xlfn.SINGLE(ROW(ExportSubstitutions_Within.RowNum))</f>
        <v>102</v>
      </c>
      <c r="S107" t="s">
        <v>1159</v>
      </c>
      <c r="T107" t="str">
        <f t="shared" si="8"/>
        <v>H3</v>
      </c>
    </row>
    <row r="108" spans="18:20">
      <c r="R108" cm="1">
        <f t="array" ref="R108" xml:space="preserve"> 1 + _xlfn.SINGLE(ROW()) - _xlfn.SINGLE(ROW(ExportSubstitutions_Within.RowNum))</f>
        <v>103</v>
      </c>
      <c r="S108" t="s">
        <v>1160</v>
      </c>
      <c r="T108" t="str">
        <f t="shared" si="8"/>
        <v>H4</v>
      </c>
    </row>
    <row r="109" spans="18:20">
      <c r="R109" cm="1">
        <f t="array" ref="R109" xml:space="preserve"> 1 + _xlfn.SINGLE(ROW()) - _xlfn.SINGLE(ROW(ExportSubstitutions_Within.RowNum))</f>
        <v>104</v>
      </c>
      <c r="S109" t="s">
        <v>1161</v>
      </c>
      <c r="T109" t="str">
        <f t="shared" si="8"/>
        <v>H5</v>
      </c>
    </row>
    <row r="110" spans="18:20">
      <c r="R110" cm="1">
        <f t="array" ref="R110" xml:space="preserve"> 1 + _xlfn.SINGLE(ROW()) - _xlfn.SINGLE(ROW(ExportSubstitutions_Within.RowNum))</f>
        <v>105</v>
      </c>
      <c r="S110" t="s">
        <v>1162</v>
      </c>
      <c r="T110" t="str">
        <f t="shared" si="8"/>
        <v>H6</v>
      </c>
    </row>
    <row r="111" spans="18:20">
      <c r="R111" cm="1">
        <f t="array" ref="R111" xml:space="preserve"> 1 + _xlfn.SINGLE(ROW()) - _xlfn.SINGLE(ROW(ExportSubstitutions_Within.RowNum))</f>
        <v>106</v>
      </c>
      <c r="S111" t="s">
        <v>1163</v>
      </c>
      <c r="T111" t="str">
        <f t="shared" si="8"/>
        <v>H7</v>
      </c>
    </row>
    <row r="112" spans="18:20">
      <c r="R112" cm="1">
        <f t="array" ref="R112" xml:space="preserve"> 1 + _xlfn.SINGLE(ROW()) - _xlfn.SINGLE(ROW(ExportSubstitutions_Within.RowNum))</f>
        <v>107</v>
      </c>
      <c r="S112" t="s">
        <v>1164</v>
      </c>
      <c r="T112" t="str">
        <f t="shared" si="8"/>
        <v>H8</v>
      </c>
    </row>
    <row r="113" spans="18:20">
      <c r="R113" cm="1">
        <f t="array" ref="R113" xml:space="preserve"> 1 + _xlfn.SINGLE(ROW()) - _xlfn.SINGLE(ROW(ExportSubstitutions_Within.RowNum))</f>
        <v>108</v>
      </c>
      <c r="S113" t="s">
        <v>1165</v>
      </c>
      <c r="T113" t="str">
        <f t="shared" si="8"/>
        <v>H9</v>
      </c>
    </row>
    <row r="114" spans="18:20">
      <c r="R114" cm="1">
        <f t="array" ref="R114" xml:space="preserve"> 1 + _xlfn.SINGLE(ROW()) - _xlfn.SINGLE(ROW(ExportSubstitutions_Within.RowNum))</f>
        <v>109</v>
      </c>
      <c r="S114" t="s">
        <v>1572</v>
      </c>
      <c r="T114" t="str">
        <f t="shared" si="8"/>
        <v>H.</v>
      </c>
    </row>
    <row r="115" spans="18:20">
      <c r="R115" cm="1">
        <f t="array" ref="R115" xml:space="preserve"> 1 + _xlfn.SINGLE(ROW()) - _xlfn.SINGLE(ROW(ExportSubstitutions_Within.RowNum))</f>
        <v>110</v>
      </c>
      <c r="S115" t="s">
        <v>1581</v>
      </c>
      <c r="T115" t="str">
        <f t="shared" si="8"/>
        <v>H-</v>
      </c>
    </row>
    <row r="116" spans="18:20">
      <c r="R116" cm="1">
        <f t="array" ref="R116" xml:space="preserve"> 1 + _xlfn.SINGLE(ROW()) - _xlfn.SINGLE(ROW(ExportSubstitutions_Within.RowNum))</f>
        <v>111</v>
      </c>
      <c r="S116" t="s">
        <v>1166</v>
      </c>
      <c r="T116" t="str">
        <f t="shared" si="8"/>
        <v>0h</v>
      </c>
    </row>
    <row r="117" spans="18:20">
      <c r="R117" cm="1">
        <f t="array" ref="R117" xml:space="preserve"> 1 + _xlfn.SINGLE(ROW()) - _xlfn.SINGLE(ROW(ExportSubstitutions_Within.RowNum))</f>
        <v>112</v>
      </c>
      <c r="S117" t="s">
        <v>1167</v>
      </c>
      <c r="T117" t="str">
        <f t="shared" si="8"/>
        <v>1h</v>
      </c>
    </row>
    <row r="118" spans="18:20">
      <c r="R118" cm="1">
        <f t="array" ref="R118" xml:space="preserve"> 1 + _xlfn.SINGLE(ROW()) - _xlfn.SINGLE(ROW(ExportSubstitutions_Within.RowNum))</f>
        <v>113</v>
      </c>
      <c r="S118" t="s">
        <v>1168</v>
      </c>
      <c r="T118" t="str">
        <f t="shared" si="8"/>
        <v>2h</v>
      </c>
    </row>
    <row r="119" spans="18:20">
      <c r="R119" cm="1">
        <f t="array" ref="R119" xml:space="preserve"> 1 + _xlfn.SINGLE(ROW()) - _xlfn.SINGLE(ROW(ExportSubstitutions_Within.RowNum))</f>
        <v>114</v>
      </c>
      <c r="S119" t="s">
        <v>1169</v>
      </c>
      <c r="T119" t="str">
        <f t="shared" si="8"/>
        <v>3h</v>
      </c>
    </row>
    <row r="120" spans="18:20">
      <c r="R120" cm="1">
        <f t="array" ref="R120" xml:space="preserve"> 1 + _xlfn.SINGLE(ROW()) - _xlfn.SINGLE(ROW(ExportSubstitutions_Within.RowNum))</f>
        <v>115</v>
      </c>
      <c r="S120" t="s">
        <v>1170</v>
      </c>
      <c r="T120" t="str">
        <f t="shared" si="8"/>
        <v>4h</v>
      </c>
    </row>
    <row r="121" spans="18:20">
      <c r="R121" cm="1">
        <f t="array" ref="R121" xml:space="preserve"> 1 + _xlfn.SINGLE(ROW()) - _xlfn.SINGLE(ROW(ExportSubstitutions_Within.RowNum))</f>
        <v>116</v>
      </c>
      <c r="S121" t="s">
        <v>1171</v>
      </c>
      <c r="T121" t="str">
        <f t="shared" si="8"/>
        <v>5h</v>
      </c>
    </row>
    <row r="122" spans="18:20">
      <c r="R122" cm="1">
        <f t="array" ref="R122" xml:space="preserve"> 1 + _xlfn.SINGLE(ROW()) - _xlfn.SINGLE(ROW(ExportSubstitutions_Within.RowNum))</f>
        <v>117</v>
      </c>
      <c r="S122" t="s">
        <v>1172</v>
      </c>
      <c r="T122" t="str">
        <f t="shared" si="8"/>
        <v>6h</v>
      </c>
    </row>
    <row r="123" spans="18:20">
      <c r="R123" cm="1">
        <f t="array" ref="R123" xml:space="preserve"> 1 + _xlfn.SINGLE(ROW()) - _xlfn.SINGLE(ROW(ExportSubstitutions_Within.RowNum))</f>
        <v>118</v>
      </c>
      <c r="S123" t="s">
        <v>1173</v>
      </c>
      <c r="T123" t="str">
        <f t="shared" si="8"/>
        <v>7h</v>
      </c>
    </row>
    <row r="124" spans="18:20">
      <c r="R124" cm="1">
        <f t="array" ref="R124" xml:space="preserve"> 1 + _xlfn.SINGLE(ROW()) - _xlfn.SINGLE(ROW(ExportSubstitutions_Within.RowNum))</f>
        <v>119</v>
      </c>
      <c r="S124" t="s">
        <v>1174</v>
      </c>
      <c r="T124" t="str">
        <f t="shared" si="8"/>
        <v>8h</v>
      </c>
    </row>
    <row r="125" spans="18:20">
      <c r="R125" cm="1">
        <f t="array" ref="R125" xml:space="preserve"> 1 + _xlfn.SINGLE(ROW()) - _xlfn.SINGLE(ROW(ExportSubstitutions_Within.RowNum))</f>
        <v>120</v>
      </c>
      <c r="S125" t="s">
        <v>1175</v>
      </c>
      <c r="T125" t="str">
        <f t="shared" si="8"/>
        <v>9h</v>
      </c>
    </row>
    <row r="126" spans="18:20">
      <c r="R126" cm="1">
        <f t="array" ref="R126" xml:space="preserve"> 1 + _xlfn.SINGLE(ROW()) - _xlfn.SINGLE(ROW(ExportSubstitutions_Within.RowNum))</f>
        <v>121</v>
      </c>
      <c r="S126" t="s">
        <v>1176</v>
      </c>
      <c r="T126" t="str">
        <f t="shared" si="8"/>
        <v>h0</v>
      </c>
    </row>
    <row r="127" spans="18:20">
      <c r="R127" cm="1">
        <f t="array" ref="R127" xml:space="preserve"> 1 + _xlfn.SINGLE(ROW()) - _xlfn.SINGLE(ROW(ExportSubstitutions_Within.RowNum))</f>
        <v>122</v>
      </c>
      <c r="S127" t="s">
        <v>1177</v>
      </c>
      <c r="T127" t="str">
        <f t="shared" si="8"/>
        <v>h1</v>
      </c>
    </row>
    <row r="128" spans="18:20">
      <c r="R128" cm="1">
        <f t="array" ref="R128" xml:space="preserve"> 1 + _xlfn.SINGLE(ROW()) - _xlfn.SINGLE(ROW(ExportSubstitutions_Within.RowNum))</f>
        <v>123</v>
      </c>
      <c r="S128" t="s">
        <v>1178</v>
      </c>
      <c r="T128" t="str">
        <f t="shared" si="8"/>
        <v>h2</v>
      </c>
    </row>
    <row r="129" spans="18:20">
      <c r="R129" cm="1">
        <f t="array" ref="R129" xml:space="preserve"> 1 + _xlfn.SINGLE(ROW()) - _xlfn.SINGLE(ROW(ExportSubstitutions_Within.RowNum))</f>
        <v>124</v>
      </c>
      <c r="S129" t="s">
        <v>1179</v>
      </c>
      <c r="T129" t="str">
        <f t="shared" si="8"/>
        <v>h3</v>
      </c>
    </row>
    <row r="130" spans="18:20">
      <c r="R130" cm="1">
        <f t="array" ref="R130" xml:space="preserve"> 1 + _xlfn.SINGLE(ROW()) - _xlfn.SINGLE(ROW(ExportSubstitutions_Within.RowNum))</f>
        <v>125</v>
      </c>
      <c r="S130" t="s">
        <v>1180</v>
      </c>
      <c r="T130" t="str">
        <f t="shared" si="8"/>
        <v>h4</v>
      </c>
    </row>
    <row r="131" spans="18:20">
      <c r="R131" cm="1">
        <f t="array" ref="R131" xml:space="preserve"> 1 + _xlfn.SINGLE(ROW()) - _xlfn.SINGLE(ROW(ExportSubstitutions_Within.RowNum))</f>
        <v>126</v>
      </c>
      <c r="S131" t="s">
        <v>1181</v>
      </c>
      <c r="T131" t="str">
        <f t="shared" si="8"/>
        <v>h5</v>
      </c>
    </row>
    <row r="132" spans="18:20">
      <c r="R132" cm="1">
        <f t="array" ref="R132" xml:space="preserve"> 1 + _xlfn.SINGLE(ROW()) - _xlfn.SINGLE(ROW(ExportSubstitutions_Within.RowNum))</f>
        <v>127</v>
      </c>
      <c r="S132" t="s">
        <v>1182</v>
      </c>
      <c r="T132" t="str">
        <f t="shared" si="8"/>
        <v>h6</v>
      </c>
    </row>
    <row r="133" spans="18:20">
      <c r="R133" cm="1">
        <f t="array" ref="R133" xml:space="preserve"> 1 + _xlfn.SINGLE(ROW()) - _xlfn.SINGLE(ROW(ExportSubstitutions_Within.RowNum))</f>
        <v>128</v>
      </c>
      <c r="S133" t="s">
        <v>1183</v>
      </c>
      <c r="T133" t="str">
        <f t="shared" si="8"/>
        <v>h7</v>
      </c>
    </row>
    <row r="134" spans="18:20">
      <c r="R134" cm="1">
        <f t="array" ref="R134" xml:space="preserve"> 1 + _xlfn.SINGLE(ROW()) - _xlfn.SINGLE(ROW(ExportSubstitutions_Within.RowNum))</f>
        <v>129</v>
      </c>
      <c r="S134" t="s">
        <v>1184</v>
      </c>
      <c r="T134" t="str">
        <f t="shared" ref="T134:T197" si="9" xml:space="preserve"> SUBSTITUTE(ExportSubstitutions_Within.From, " ", "")</f>
        <v>h8</v>
      </c>
    </row>
    <row r="135" spans="18:20">
      <c r="R135" cm="1">
        <f t="array" ref="R135" xml:space="preserve"> 1 + _xlfn.SINGLE(ROW()) - _xlfn.SINGLE(ROW(ExportSubstitutions_Within.RowNum))</f>
        <v>130</v>
      </c>
      <c r="S135" t="s">
        <v>1185</v>
      </c>
      <c r="T135" t="str">
        <f t="shared" si="9"/>
        <v>h9</v>
      </c>
    </row>
    <row r="136" spans="18:20">
      <c r="R136" cm="1">
        <f t="array" ref="R136" xml:space="preserve"> 1 + _xlfn.SINGLE(ROW()) - _xlfn.SINGLE(ROW(ExportSubstitutions_Within.RowNum))</f>
        <v>131</v>
      </c>
      <c r="S136" t="s">
        <v>1573</v>
      </c>
      <c r="T136" t="str">
        <f t="shared" si="9"/>
        <v>h.</v>
      </c>
    </row>
    <row r="137" spans="18:20">
      <c r="R137" cm="1">
        <f t="array" ref="R137" xml:space="preserve"> 1 + _xlfn.SINGLE(ROW()) - _xlfn.SINGLE(ROW(ExportSubstitutions_Within.RowNum))</f>
        <v>132</v>
      </c>
      <c r="S137" t="s">
        <v>1582</v>
      </c>
      <c r="T137" t="str">
        <f t="shared" si="9"/>
        <v>h-</v>
      </c>
    </row>
    <row r="138" spans="18:20">
      <c r="R138" cm="1">
        <f t="array" ref="R138" xml:space="preserve"> 1 + _xlfn.SINGLE(ROW()) - _xlfn.SINGLE(ROW(ExportSubstitutions_Within.RowNum))</f>
        <v>133</v>
      </c>
      <c r="S138" t="s">
        <v>1186</v>
      </c>
      <c r="T138" t="str">
        <f t="shared" si="9"/>
        <v>0L</v>
      </c>
    </row>
    <row r="139" spans="18:20">
      <c r="R139" cm="1">
        <f t="array" ref="R139" xml:space="preserve"> 1 + _xlfn.SINGLE(ROW()) - _xlfn.SINGLE(ROW(ExportSubstitutions_Within.RowNum))</f>
        <v>134</v>
      </c>
      <c r="S139" t="s">
        <v>1187</v>
      </c>
      <c r="T139" t="str">
        <f t="shared" si="9"/>
        <v>1L</v>
      </c>
    </row>
    <row r="140" spans="18:20">
      <c r="R140" cm="1">
        <f t="array" ref="R140" xml:space="preserve"> 1 + _xlfn.SINGLE(ROW()) - _xlfn.SINGLE(ROW(ExportSubstitutions_Within.RowNum))</f>
        <v>135</v>
      </c>
      <c r="S140" t="s">
        <v>1188</v>
      </c>
      <c r="T140" t="str">
        <f t="shared" si="9"/>
        <v>2L</v>
      </c>
    </row>
    <row r="141" spans="18:20">
      <c r="R141" cm="1">
        <f t="array" ref="R141" xml:space="preserve"> 1 + _xlfn.SINGLE(ROW()) - _xlfn.SINGLE(ROW(ExportSubstitutions_Within.RowNum))</f>
        <v>136</v>
      </c>
      <c r="S141" t="s">
        <v>1189</v>
      </c>
      <c r="T141" t="str">
        <f t="shared" si="9"/>
        <v>3L</v>
      </c>
    </row>
    <row r="142" spans="18:20">
      <c r="R142" cm="1">
        <f t="array" ref="R142" xml:space="preserve"> 1 + _xlfn.SINGLE(ROW()) - _xlfn.SINGLE(ROW(ExportSubstitutions_Within.RowNum))</f>
        <v>137</v>
      </c>
      <c r="S142" t="s">
        <v>1190</v>
      </c>
      <c r="T142" t="str">
        <f t="shared" si="9"/>
        <v>4L</v>
      </c>
    </row>
    <row r="143" spans="18:20">
      <c r="R143" cm="1">
        <f t="array" ref="R143" xml:space="preserve"> 1 + _xlfn.SINGLE(ROW()) - _xlfn.SINGLE(ROW(ExportSubstitutions_Within.RowNum))</f>
        <v>138</v>
      </c>
      <c r="S143" t="s">
        <v>1191</v>
      </c>
      <c r="T143" t="str">
        <f t="shared" si="9"/>
        <v>5L</v>
      </c>
    </row>
    <row r="144" spans="18:20">
      <c r="R144" cm="1">
        <f t="array" ref="R144" xml:space="preserve"> 1 + _xlfn.SINGLE(ROW()) - _xlfn.SINGLE(ROW(ExportSubstitutions_Within.RowNum))</f>
        <v>139</v>
      </c>
      <c r="S144" t="s">
        <v>1192</v>
      </c>
      <c r="T144" t="str">
        <f t="shared" si="9"/>
        <v>6L</v>
      </c>
    </row>
    <row r="145" spans="18:20">
      <c r="R145" cm="1">
        <f t="array" ref="R145" xml:space="preserve"> 1 + _xlfn.SINGLE(ROW()) - _xlfn.SINGLE(ROW(ExportSubstitutions_Within.RowNum))</f>
        <v>140</v>
      </c>
      <c r="S145" t="s">
        <v>1193</v>
      </c>
      <c r="T145" t="str">
        <f t="shared" si="9"/>
        <v>7L</v>
      </c>
    </row>
    <row r="146" spans="18:20">
      <c r="R146" cm="1">
        <f t="array" ref="R146" xml:space="preserve"> 1 + _xlfn.SINGLE(ROW()) - _xlfn.SINGLE(ROW(ExportSubstitutions_Within.RowNum))</f>
        <v>141</v>
      </c>
      <c r="S146" t="s">
        <v>1194</v>
      </c>
      <c r="T146" t="str">
        <f t="shared" si="9"/>
        <v>8L</v>
      </c>
    </row>
    <row r="147" spans="18:20">
      <c r="R147" cm="1">
        <f t="array" ref="R147" xml:space="preserve"> 1 + _xlfn.SINGLE(ROW()) - _xlfn.SINGLE(ROW(ExportSubstitutions_Within.RowNum))</f>
        <v>142</v>
      </c>
      <c r="S147" t="s">
        <v>1195</v>
      </c>
      <c r="T147" t="str">
        <f t="shared" si="9"/>
        <v>9L</v>
      </c>
    </row>
    <row r="148" spans="18:20">
      <c r="R148" cm="1">
        <f t="array" ref="R148" xml:space="preserve"> 1 + _xlfn.SINGLE(ROW()) - _xlfn.SINGLE(ROW(ExportSubstitutions_Within.RowNum))</f>
        <v>143</v>
      </c>
      <c r="S148" t="s">
        <v>1196</v>
      </c>
      <c r="T148" t="str">
        <f t="shared" si="9"/>
        <v>L0</v>
      </c>
    </row>
    <row r="149" spans="18:20">
      <c r="R149" cm="1">
        <f t="array" ref="R149" xml:space="preserve"> 1 + _xlfn.SINGLE(ROW()) - _xlfn.SINGLE(ROW(ExportSubstitutions_Within.RowNum))</f>
        <v>144</v>
      </c>
      <c r="S149" t="s">
        <v>1197</v>
      </c>
      <c r="T149" t="str">
        <f t="shared" si="9"/>
        <v>L1</v>
      </c>
    </row>
    <row r="150" spans="18:20">
      <c r="R150" cm="1">
        <f t="array" ref="R150" xml:space="preserve"> 1 + _xlfn.SINGLE(ROW()) - _xlfn.SINGLE(ROW(ExportSubstitutions_Within.RowNum))</f>
        <v>145</v>
      </c>
      <c r="S150" t="s">
        <v>1198</v>
      </c>
      <c r="T150" t="str">
        <f t="shared" si="9"/>
        <v>L2</v>
      </c>
    </row>
    <row r="151" spans="18:20">
      <c r="R151" cm="1">
        <f t="array" ref="R151" xml:space="preserve"> 1 + _xlfn.SINGLE(ROW()) - _xlfn.SINGLE(ROW(ExportSubstitutions_Within.RowNum))</f>
        <v>146</v>
      </c>
      <c r="S151" t="s">
        <v>1199</v>
      </c>
      <c r="T151" t="str">
        <f t="shared" si="9"/>
        <v>L3</v>
      </c>
    </row>
    <row r="152" spans="18:20">
      <c r="R152" cm="1">
        <f t="array" ref="R152" xml:space="preserve"> 1 + _xlfn.SINGLE(ROW()) - _xlfn.SINGLE(ROW(ExportSubstitutions_Within.RowNum))</f>
        <v>147</v>
      </c>
      <c r="S152" t="s">
        <v>1200</v>
      </c>
      <c r="T152" t="str">
        <f t="shared" si="9"/>
        <v>L4</v>
      </c>
    </row>
    <row r="153" spans="18:20">
      <c r="R153" cm="1">
        <f t="array" ref="R153" xml:space="preserve"> 1 + _xlfn.SINGLE(ROW()) - _xlfn.SINGLE(ROW(ExportSubstitutions_Within.RowNum))</f>
        <v>148</v>
      </c>
      <c r="S153" t="s">
        <v>1201</v>
      </c>
      <c r="T153" t="str">
        <f t="shared" si="9"/>
        <v>L5</v>
      </c>
    </row>
    <row r="154" spans="18:20">
      <c r="R154" cm="1">
        <f t="array" ref="R154" xml:space="preserve"> 1 + _xlfn.SINGLE(ROW()) - _xlfn.SINGLE(ROW(ExportSubstitutions_Within.RowNum))</f>
        <v>149</v>
      </c>
      <c r="S154" t="s">
        <v>1202</v>
      </c>
      <c r="T154" t="str">
        <f t="shared" si="9"/>
        <v>L6</v>
      </c>
    </row>
    <row r="155" spans="18:20">
      <c r="R155" cm="1">
        <f t="array" ref="R155" xml:space="preserve"> 1 + _xlfn.SINGLE(ROW()) - _xlfn.SINGLE(ROW(ExportSubstitutions_Within.RowNum))</f>
        <v>150</v>
      </c>
      <c r="S155" t="s">
        <v>1203</v>
      </c>
      <c r="T155" t="str">
        <f t="shared" si="9"/>
        <v>L7</v>
      </c>
    </row>
    <row r="156" spans="18:20">
      <c r="R156" cm="1">
        <f t="array" ref="R156" xml:space="preserve"> 1 + _xlfn.SINGLE(ROW()) - _xlfn.SINGLE(ROW(ExportSubstitutions_Within.RowNum))</f>
        <v>151</v>
      </c>
      <c r="S156" t="s">
        <v>1204</v>
      </c>
      <c r="T156" t="str">
        <f t="shared" si="9"/>
        <v>L8</v>
      </c>
    </row>
    <row r="157" spans="18:20">
      <c r="R157" cm="1">
        <f t="array" ref="R157" xml:space="preserve"> 1 + _xlfn.SINGLE(ROW()) - _xlfn.SINGLE(ROW(ExportSubstitutions_Within.RowNum))</f>
        <v>152</v>
      </c>
      <c r="S157" t="s">
        <v>1205</v>
      </c>
      <c r="T157" t="str">
        <f t="shared" si="9"/>
        <v>L9</v>
      </c>
    </row>
    <row r="158" spans="18:20">
      <c r="R158" cm="1">
        <f t="array" ref="R158" xml:space="preserve"> 1 + _xlfn.SINGLE(ROW()) - _xlfn.SINGLE(ROW(ExportSubstitutions_Within.RowNum))</f>
        <v>153</v>
      </c>
      <c r="S158" t="s">
        <v>1574</v>
      </c>
      <c r="T158" t="str">
        <f t="shared" si="9"/>
        <v>L.</v>
      </c>
    </row>
    <row r="159" spans="18:20">
      <c r="R159" cm="1">
        <f t="array" ref="R159" xml:space="preserve"> 1 + _xlfn.SINGLE(ROW()) - _xlfn.SINGLE(ROW(ExportSubstitutions_Within.RowNum))</f>
        <v>154</v>
      </c>
      <c r="S159" t="s">
        <v>1583</v>
      </c>
      <c r="T159" t="str">
        <f t="shared" si="9"/>
        <v>L-</v>
      </c>
    </row>
    <row r="160" spans="18:20">
      <c r="R160" cm="1">
        <f t="array" ref="R160" xml:space="preserve"> 1 + _xlfn.SINGLE(ROW()) - _xlfn.SINGLE(ROW(ExportSubstitutions_Within.RowNum))</f>
        <v>155</v>
      </c>
      <c r="S160" t="s">
        <v>1206</v>
      </c>
      <c r="T160" t="str">
        <f t="shared" si="9"/>
        <v>0l</v>
      </c>
    </row>
    <row r="161" spans="18:20">
      <c r="R161" cm="1">
        <f t="array" ref="R161" xml:space="preserve"> 1 + _xlfn.SINGLE(ROW()) - _xlfn.SINGLE(ROW(ExportSubstitutions_Within.RowNum))</f>
        <v>156</v>
      </c>
      <c r="S161" t="s">
        <v>1207</v>
      </c>
      <c r="T161" t="str">
        <f t="shared" si="9"/>
        <v>1l</v>
      </c>
    </row>
    <row r="162" spans="18:20">
      <c r="R162" cm="1">
        <f t="array" ref="R162" xml:space="preserve"> 1 + _xlfn.SINGLE(ROW()) - _xlfn.SINGLE(ROW(ExportSubstitutions_Within.RowNum))</f>
        <v>157</v>
      </c>
      <c r="S162" t="s">
        <v>1208</v>
      </c>
      <c r="T162" t="str">
        <f t="shared" si="9"/>
        <v>2l</v>
      </c>
    </row>
    <row r="163" spans="18:20">
      <c r="R163" cm="1">
        <f t="array" ref="R163" xml:space="preserve"> 1 + _xlfn.SINGLE(ROW()) - _xlfn.SINGLE(ROW(ExportSubstitutions_Within.RowNum))</f>
        <v>158</v>
      </c>
      <c r="S163" t="s">
        <v>1209</v>
      </c>
      <c r="T163" t="str">
        <f t="shared" si="9"/>
        <v>3l</v>
      </c>
    </row>
    <row r="164" spans="18:20">
      <c r="R164" cm="1">
        <f t="array" ref="R164" xml:space="preserve"> 1 + _xlfn.SINGLE(ROW()) - _xlfn.SINGLE(ROW(ExportSubstitutions_Within.RowNum))</f>
        <v>159</v>
      </c>
      <c r="S164" t="s">
        <v>1210</v>
      </c>
      <c r="T164" t="str">
        <f t="shared" si="9"/>
        <v>4l</v>
      </c>
    </row>
    <row r="165" spans="18:20">
      <c r="R165" cm="1">
        <f t="array" ref="R165" xml:space="preserve"> 1 + _xlfn.SINGLE(ROW()) - _xlfn.SINGLE(ROW(ExportSubstitutions_Within.RowNum))</f>
        <v>160</v>
      </c>
      <c r="S165" t="s">
        <v>1211</v>
      </c>
      <c r="T165" t="str">
        <f t="shared" si="9"/>
        <v>5l</v>
      </c>
    </row>
    <row r="166" spans="18:20">
      <c r="R166" cm="1">
        <f t="array" ref="R166" xml:space="preserve"> 1 + _xlfn.SINGLE(ROW()) - _xlfn.SINGLE(ROW(ExportSubstitutions_Within.RowNum))</f>
        <v>161</v>
      </c>
      <c r="S166" t="s">
        <v>1212</v>
      </c>
      <c r="T166" t="str">
        <f t="shared" si="9"/>
        <v>6l</v>
      </c>
    </row>
    <row r="167" spans="18:20">
      <c r="R167" cm="1">
        <f t="array" ref="R167" xml:space="preserve"> 1 + _xlfn.SINGLE(ROW()) - _xlfn.SINGLE(ROW(ExportSubstitutions_Within.RowNum))</f>
        <v>162</v>
      </c>
      <c r="S167" t="s">
        <v>1213</v>
      </c>
      <c r="T167" t="str">
        <f t="shared" si="9"/>
        <v>7l</v>
      </c>
    </row>
    <row r="168" spans="18:20">
      <c r="R168" cm="1">
        <f t="array" ref="R168" xml:space="preserve"> 1 + _xlfn.SINGLE(ROW()) - _xlfn.SINGLE(ROW(ExportSubstitutions_Within.RowNum))</f>
        <v>163</v>
      </c>
      <c r="S168" t="s">
        <v>1214</v>
      </c>
      <c r="T168" t="str">
        <f t="shared" si="9"/>
        <v>8l</v>
      </c>
    </row>
    <row r="169" spans="18:20">
      <c r="R169" cm="1">
        <f t="array" ref="R169" xml:space="preserve"> 1 + _xlfn.SINGLE(ROW()) - _xlfn.SINGLE(ROW(ExportSubstitutions_Within.RowNum))</f>
        <v>164</v>
      </c>
      <c r="S169" t="s">
        <v>1215</v>
      </c>
      <c r="T169" t="str">
        <f t="shared" si="9"/>
        <v>9l</v>
      </c>
    </row>
    <row r="170" spans="18:20">
      <c r="R170" cm="1">
        <f t="array" ref="R170" xml:space="preserve"> 1 + _xlfn.SINGLE(ROW()) - _xlfn.SINGLE(ROW(ExportSubstitutions_Within.RowNum))</f>
        <v>165</v>
      </c>
      <c r="S170" t="s">
        <v>1216</v>
      </c>
      <c r="T170" t="str">
        <f t="shared" si="9"/>
        <v>l0</v>
      </c>
    </row>
    <row r="171" spans="18:20">
      <c r="R171" cm="1">
        <f t="array" ref="R171" xml:space="preserve"> 1 + _xlfn.SINGLE(ROW()) - _xlfn.SINGLE(ROW(ExportSubstitutions_Within.RowNum))</f>
        <v>166</v>
      </c>
      <c r="S171" t="s">
        <v>1217</v>
      </c>
      <c r="T171" t="str">
        <f t="shared" si="9"/>
        <v>l1</v>
      </c>
    </row>
    <row r="172" spans="18:20">
      <c r="R172" cm="1">
        <f t="array" ref="R172" xml:space="preserve"> 1 + _xlfn.SINGLE(ROW()) - _xlfn.SINGLE(ROW(ExportSubstitutions_Within.RowNum))</f>
        <v>167</v>
      </c>
      <c r="S172" t="s">
        <v>1218</v>
      </c>
      <c r="T172" t="str">
        <f t="shared" si="9"/>
        <v>l2</v>
      </c>
    </row>
    <row r="173" spans="18:20">
      <c r="R173" cm="1">
        <f t="array" ref="R173" xml:space="preserve"> 1 + _xlfn.SINGLE(ROW()) - _xlfn.SINGLE(ROW(ExportSubstitutions_Within.RowNum))</f>
        <v>168</v>
      </c>
      <c r="S173" t="s">
        <v>1219</v>
      </c>
      <c r="T173" t="str">
        <f t="shared" si="9"/>
        <v>l3</v>
      </c>
    </row>
    <row r="174" spans="18:20">
      <c r="R174" cm="1">
        <f t="array" ref="R174" xml:space="preserve"> 1 + _xlfn.SINGLE(ROW()) - _xlfn.SINGLE(ROW(ExportSubstitutions_Within.RowNum))</f>
        <v>169</v>
      </c>
      <c r="S174" t="s">
        <v>1220</v>
      </c>
      <c r="T174" t="str">
        <f t="shared" si="9"/>
        <v>l4</v>
      </c>
    </row>
    <row r="175" spans="18:20">
      <c r="R175" cm="1">
        <f t="array" ref="R175" xml:space="preserve"> 1 + _xlfn.SINGLE(ROW()) - _xlfn.SINGLE(ROW(ExportSubstitutions_Within.RowNum))</f>
        <v>170</v>
      </c>
      <c r="S175" t="s">
        <v>1221</v>
      </c>
      <c r="T175" t="str">
        <f t="shared" si="9"/>
        <v>l5</v>
      </c>
    </row>
    <row r="176" spans="18:20">
      <c r="R176" cm="1">
        <f t="array" ref="R176" xml:space="preserve"> 1 + _xlfn.SINGLE(ROW()) - _xlfn.SINGLE(ROW(ExportSubstitutions_Within.RowNum))</f>
        <v>171</v>
      </c>
      <c r="S176" t="s">
        <v>1222</v>
      </c>
      <c r="T176" t="str">
        <f t="shared" si="9"/>
        <v>l6</v>
      </c>
    </row>
    <row r="177" spans="18:20">
      <c r="R177" cm="1">
        <f t="array" ref="R177" xml:space="preserve"> 1 + _xlfn.SINGLE(ROW()) - _xlfn.SINGLE(ROW(ExportSubstitutions_Within.RowNum))</f>
        <v>172</v>
      </c>
      <c r="S177" t="s">
        <v>1223</v>
      </c>
      <c r="T177" t="str">
        <f t="shared" si="9"/>
        <v>l7</v>
      </c>
    </row>
    <row r="178" spans="18:20">
      <c r="R178" cm="1">
        <f t="array" ref="R178" xml:space="preserve"> 1 + _xlfn.SINGLE(ROW()) - _xlfn.SINGLE(ROW(ExportSubstitutions_Within.RowNum))</f>
        <v>173</v>
      </c>
      <c r="S178" t="s">
        <v>1224</v>
      </c>
      <c r="T178" t="str">
        <f t="shared" si="9"/>
        <v>l8</v>
      </c>
    </row>
    <row r="179" spans="18:20">
      <c r="R179" cm="1">
        <f t="array" ref="R179" xml:space="preserve"> 1 + _xlfn.SINGLE(ROW()) - _xlfn.SINGLE(ROW(ExportSubstitutions_Within.RowNum))</f>
        <v>174</v>
      </c>
      <c r="S179" t="s">
        <v>1225</v>
      </c>
      <c r="T179" t="str">
        <f t="shared" si="9"/>
        <v>l9</v>
      </c>
    </row>
    <row r="180" spans="18:20">
      <c r="R180" cm="1">
        <f t="array" ref="R180" xml:space="preserve"> 1 + _xlfn.SINGLE(ROW()) - _xlfn.SINGLE(ROW(ExportSubstitutions_Within.RowNum))</f>
        <v>175</v>
      </c>
      <c r="S180" t="s">
        <v>1575</v>
      </c>
      <c r="T180" t="str">
        <f t="shared" si="9"/>
        <v>l.</v>
      </c>
    </row>
    <row r="181" spans="18:20">
      <c r="R181" cm="1">
        <f t="array" ref="R181" xml:space="preserve"> 1 + _xlfn.SINGLE(ROW()) - _xlfn.SINGLE(ROW(ExportSubstitutions_Within.RowNum))</f>
        <v>176</v>
      </c>
      <c r="S181" t="s">
        <v>1584</v>
      </c>
      <c r="T181" t="str">
        <f t="shared" si="9"/>
        <v>l-</v>
      </c>
    </row>
    <row r="182" spans="18:20">
      <c r="R182" cm="1">
        <f t="array" ref="R182" xml:space="preserve"> 1 + _xlfn.SINGLE(ROW()) - _xlfn.SINGLE(ROW(ExportSubstitutions_Within.RowNum))</f>
        <v>177</v>
      </c>
      <c r="S182" t="s">
        <v>1226</v>
      </c>
      <c r="T182" t="str">
        <f t="shared" si="9"/>
        <v>0M</v>
      </c>
    </row>
    <row r="183" spans="18:20">
      <c r="R183" cm="1">
        <f t="array" ref="R183" xml:space="preserve"> 1 + _xlfn.SINGLE(ROW()) - _xlfn.SINGLE(ROW(ExportSubstitutions_Within.RowNum))</f>
        <v>178</v>
      </c>
      <c r="S183" t="s">
        <v>1227</v>
      </c>
      <c r="T183" t="str">
        <f t="shared" si="9"/>
        <v>1M</v>
      </c>
    </row>
    <row r="184" spans="18:20">
      <c r="R184" cm="1">
        <f t="array" ref="R184" xml:space="preserve"> 1 + _xlfn.SINGLE(ROW()) - _xlfn.SINGLE(ROW(ExportSubstitutions_Within.RowNum))</f>
        <v>179</v>
      </c>
      <c r="S184" t="s">
        <v>1228</v>
      </c>
      <c r="T184" t="str">
        <f t="shared" si="9"/>
        <v>2M</v>
      </c>
    </row>
    <row r="185" spans="18:20">
      <c r="R185" cm="1">
        <f t="array" ref="R185" xml:space="preserve"> 1 + _xlfn.SINGLE(ROW()) - _xlfn.SINGLE(ROW(ExportSubstitutions_Within.RowNum))</f>
        <v>180</v>
      </c>
      <c r="S185" t="s">
        <v>1229</v>
      </c>
      <c r="T185" t="str">
        <f t="shared" si="9"/>
        <v>3M</v>
      </c>
    </row>
    <row r="186" spans="18:20">
      <c r="R186" cm="1">
        <f t="array" ref="R186" xml:space="preserve"> 1 + _xlfn.SINGLE(ROW()) - _xlfn.SINGLE(ROW(ExportSubstitutions_Within.RowNum))</f>
        <v>181</v>
      </c>
      <c r="S186" t="s">
        <v>1230</v>
      </c>
      <c r="T186" t="str">
        <f t="shared" si="9"/>
        <v>4M</v>
      </c>
    </row>
    <row r="187" spans="18:20">
      <c r="R187" cm="1">
        <f t="array" ref="R187" xml:space="preserve"> 1 + _xlfn.SINGLE(ROW()) - _xlfn.SINGLE(ROW(ExportSubstitutions_Within.RowNum))</f>
        <v>182</v>
      </c>
      <c r="S187" t="s">
        <v>1231</v>
      </c>
      <c r="T187" t="str">
        <f t="shared" si="9"/>
        <v>5M</v>
      </c>
    </row>
    <row r="188" spans="18:20">
      <c r="R188" cm="1">
        <f t="array" ref="R188" xml:space="preserve"> 1 + _xlfn.SINGLE(ROW()) - _xlfn.SINGLE(ROW(ExportSubstitutions_Within.RowNum))</f>
        <v>183</v>
      </c>
      <c r="S188" t="s">
        <v>1232</v>
      </c>
      <c r="T188" t="str">
        <f t="shared" si="9"/>
        <v>6M</v>
      </c>
    </row>
    <row r="189" spans="18:20">
      <c r="R189" cm="1">
        <f t="array" ref="R189" xml:space="preserve"> 1 + _xlfn.SINGLE(ROW()) - _xlfn.SINGLE(ROW(ExportSubstitutions_Within.RowNum))</f>
        <v>184</v>
      </c>
      <c r="S189" t="s">
        <v>1233</v>
      </c>
      <c r="T189" t="str">
        <f t="shared" si="9"/>
        <v>7M</v>
      </c>
    </row>
    <row r="190" spans="18:20">
      <c r="R190" cm="1">
        <f t="array" ref="R190" xml:space="preserve"> 1 + _xlfn.SINGLE(ROW()) - _xlfn.SINGLE(ROW(ExportSubstitutions_Within.RowNum))</f>
        <v>185</v>
      </c>
      <c r="S190" t="s">
        <v>1234</v>
      </c>
      <c r="T190" t="str">
        <f t="shared" si="9"/>
        <v>8M</v>
      </c>
    </row>
    <row r="191" spans="18:20">
      <c r="R191" cm="1">
        <f t="array" ref="R191" xml:space="preserve"> 1 + _xlfn.SINGLE(ROW()) - _xlfn.SINGLE(ROW(ExportSubstitutions_Within.RowNum))</f>
        <v>186</v>
      </c>
      <c r="S191" t="s">
        <v>1235</v>
      </c>
      <c r="T191" t="str">
        <f t="shared" si="9"/>
        <v>9M</v>
      </c>
    </row>
    <row r="192" spans="18:20">
      <c r="R192" cm="1">
        <f t="array" ref="R192" xml:space="preserve"> 1 + _xlfn.SINGLE(ROW()) - _xlfn.SINGLE(ROW(ExportSubstitutions_Within.RowNum))</f>
        <v>187</v>
      </c>
      <c r="S192" t="s">
        <v>1236</v>
      </c>
      <c r="T192" t="str">
        <f t="shared" si="9"/>
        <v>M0</v>
      </c>
    </row>
    <row r="193" spans="18:20">
      <c r="R193" cm="1">
        <f t="array" ref="R193" xml:space="preserve"> 1 + _xlfn.SINGLE(ROW()) - _xlfn.SINGLE(ROW(ExportSubstitutions_Within.RowNum))</f>
        <v>188</v>
      </c>
      <c r="S193" t="s">
        <v>1237</v>
      </c>
      <c r="T193" t="str">
        <f t="shared" si="9"/>
        <v>M1</v>
      </c>
    </row>
    <row r="194" spans="18:20">
      <c r="R194" cm="1">
        <f t="array" ref="R194" xml:space="preserve"> 1 + _xlfn.SINGLE(ROW()) - _xlfn.SINGLE(ROW(ExportSubstitutions_Within.RowNum))</f>
        <v>189</v>
      </c>
      <c r="S194" t="s">
        <v>1238</v>
      </c>
      <c r="T194" t="str">
        <f t="shared" si="9"/>
        <v>M2</v>
      </c>
    </row>
    <row r="195" spans="18:20">
      <c r="R195" cm="1">
        <f t="array" ref="R195" xml:space="preserve"> 1 + _xlfn.SINGLE(ROW()) - _xlfn.SINGLE(ROW(ExportSubstitutions_Within.RowNum))</f>
        <v>190</v>
      </c>
      <c r="S195" t="s">
        <v>1239</v>
      </c>
      <c r="T195" t="str">
        <f t="shared" si="9"/>
        <v>M3</v>
      </c>
    </row>
    <row r="196" spans="18:20">
      <c r="R196" cm="1">
        <f t="array" ref="R196" xml:space="preserve"> 1 + _xlfn.SINGLE(ROW()) - _xlfn.SINGLE(ROW(ExportSubstitutions_Within.RowNum))</f>
        <v>191</v>
      </c>
      <c r="S196" t="s">
        <v>1240</v>
      </c>
      <c r="T196" t="str">
        <f t="shared" si="9"/>
        <v>M4</v>
      </c>
    </row>
    <row r="197" spans="18:20">
      <c r="R197" cm="1">
        <f t="array" ref="R197" xml:space="preserve"> 1 + _xlfn.SINGLE(ROW()) - _xlfn.SINGLE(ROW(ExportSubstitutions_Within.RowNum))</f>
        <v>192</v>
      </c>
      <c r="S197" t="s">
        <v>1241</v>
      </c>
      <c r="T197" t="str">
        <f t="shared" si="9"/>
        <v>M5</v>
      </c>
    </row>
    <row r="198" spans="18:20">
      <c r="R198" cm="1">
        <f t="array" ref="R198" xml:space="preserve"> 1 + _xlfn.SINGLE(ROW()) - _xlfn.SINGLE(ROW(ExportSubstitutions_Within.RowNum))</f>
        <v>193</v>
      </c>
      <c r="S198" t="s">
        <v>1242</v>
      </c>
      <c r="T198" t="str">
        <f t="shared" ref="T198:T261" si="10" xml:space="preserve"> SUBSTITUTE(ExportSubstitutions_Within.From, " ", "")</f>
        <v>M6</v>
      </c>
    </row>
    <row r="199" spans="18:20">
      <c r="R199" cm="1">
        <f t="array" ref="R199" xml:space="preserve"> 1 + _xlfn.SINGLE(ROW()) - _xlfn.SINGLE(ROW(ExportSubstitutions_Within.RowNum))</f>
        <v>194</v>
      </c>
      <c r="S199" t="s">
        <v>1243</v>
      </c>
      <c r="T199" t="str">
        <f t="shared" si="10"/>
        <v>M7</v>
      </c>
    </row>
    <row r="200" spans="18:20">
      <c r="R200" cm="1">
        <f t="array" ref="R200" xml:space="preserve"> 1 + _xlfn.SINGLE(ROW()) - _xlfn.SINGLE(ROW(ExportSubstitutions_Within.RowNum))</f>
        <v>195</v>
      </c>
      <c r="S200" t="s">
        <v>1244</v>
      </c>
      <c r="T200" t="str">
        <f t="shared" si="10"/>
        <v>M8</v>
      </c>
    </row>
    <row r="201" spans="18:20">
      <c r="R201" cm="1">
        <f t="array" ref="R201" xml:space="preserve"> 1 + _xlfn.SINGLE(ROW()) - _xlfn.SINGLE(ROW(ExportSubstitutions_Within.RowNum))</f>
        <v>196</v>
      </c>
      <c r="S201" t="s">
        <v>1245</v>
      </c>
      <c r="T201" t="str">
        <f t="shared" si="10"/>
        <v>M9</v>
      </c>
    </row>
    <row r="202" spans="18:20">
      <c r="R202" cm="1">
        <f t="array" ref="R202" xml:space="preserve"> 1 + _xlfn.SINGLE(ROW()) - _xlfn.SINGLE(ROW(ExportSubstitutions_Within.RowNum))</f>
        <v>197</v>
      </c>
      <c r="S202" t="s">
        <v>1576</v>
      </c>
      <c r="T202" t="str">
        <f t="shared" si="10"/>
        <v>M.</v>
      </c>
    </row>
    <row r="203" spans="18:20">
      <c r="R203" cm="1">
        <f t="array" ref="R203" xml:space="preserve"> 1 + _xlfn.SINGLE(ROW()) - _xlfn.SINGLE(ROW(ExportSubstitutions_Within.RowNum))</f>
        <v>198</v>
      </c>
      <c r="S203" t="s">
        <v>1585</v>
      </c>
      <c r="T203" t="str">
        <f t="shared" si="10"/>
        <v>M-</v>
      </c>
    </row>
    <row r="204" spans="18:20">
      <c r="R204" cm="1">
        <f t="array" ref="R204" xml:space="preserve"> 1 + _xlfn.SINGLE(ROW()) - _xlfn.SINGLE(ROW(ExportSubstitutions_Within.RowNum))</f>
        <v>199</v>
      </c>
      <c r="S204" t="s">
        <v>1246</v>
      </c>
      <c r="T204" t="str">
        <f t="shared" si="10"/>
        <v>0m</v>
      </c>
    </row>
    <row r="205" spans="18:20">
      <c r="R205" cm="1">
        <f t="array" ref="R205" xml:space="preserve"> 1 + _xlfn.SINGLE(ROW()) - _xlfn.SINGLE(ROW(ExportSubstitutions_Within.RowNum))</f>
        <v>200</v>
      </c>
      <c r="S205" t="s">
        <v>1247</v>
      </c>
      <c r="T205" t="str">
        <f t="shared" si="10"/>
        <v>1m</v>
      </c>
    </row>
    <row r="206" spans="18:20">
      <c r="R206" cm="1">
        <f t="array" ref="R206" xml:space="preserve"> 1 + _xlfn.SINGLE(ROW()) - _xlfn.SINGLE(ROW(ExportSubstitutions_Within.RowNum))</f>
        <v>201</v>
      </c>
      <c r="S206" t="s">
        <v>1248</v>
      </c>
      <c r="T206" t="str">
        <f t="shared" si="10"/>
        <v>2m</v>
      </c>
    </row>
    <row r="207" spans="18:20">
      <c r="R207" cm="1">
        <f t="array" ref="R207" xml:space="preserve"> 1 + _xlfn.SINGLE(ROW()) - _xlfn.SINGLE(ROW(ExportSubstitutions_Within.RowNum))</f>
        <v>202</v>
      </c>
      <c r="S207" t="s">
        <v>1249</v>
      </c>
      <c r="T207" t="str">
        <f t="shared" si="10"/>
        <v>3m</v>
      </c>
    </row>
    <row r="208" spans="18:20">
      <c r="R208" cm="1">
        <f t="array" ref="R208" xml:space="preserve"> 1 + _xlfn.SINGLE(ROW()) - _xlfn.SINGLE(ROW(ExportSubstitutions_Within.RowNum))</f>
        <v>203</v>
      </c>
      <c r="S208" t="s">
        <v>1250</v>
      </c>
      <c r="T208" t="str">
        <f t="shared" si="10"/>
        <v>4m</v>
      </c>
    </row>
    <row r="209" spans="18:20">
      <c r="R209" cm="1">
        <f t="array" ref="R209" xml:space="preserve"> 1 + _xlfn.SINGLE(ROW()) - _xlfn.SINGLE(ROW(ExportSubstitutions_Within.RowNum))</f>
        <v>204</v>
      </c>
      <c r="S209" t="s">
        <v>1251</v>
      </c>
      <c r="T209" t="str">
        <f t="shared" si="10"/>
        <v>5m</v>
      </c>
    </row>
    <row r="210" spans="18:20">
      <c r="R210" cm="1">
        <f t="array" ref="R210" xml:space="preserve"> 1 + _xlfn.SINGLE(ROW()) - _xlfn.SINGLE(ROW(ExportSubstitutions_Within.RowNum))</f>
        <v>205</v>
      </c>
      <c r="S210" t="s">
        <v>1252</v>
      </c>
      <c r="T210" t="str">
        <f t="shared" si="10"/>
        <v>6m</v>
      </c>
    </row>
    <row r="211" spans="18:20">
      <c r="R211" cm="1">
        <f t="array" ref="R211" xml:space="preserve"> 1 + _xlfn.SINGLE(ROW()) - _xlfn.SINGLE(ROW(ExportSubstitutions_Within.RowNum))</f>
        <v>206</v>
      </c>
      <c r="S211" t="s">
        <v>1253</v>
      </c>
      <c r="T211" t="str">
        <f t="shared" si="10"/>
        <v>7m</v>
      </c>
    </row>
    <row r="212" spans="18:20">
      <c r="R212" cm="1">
        <f t="array" ref="R212" xml:space="preserve"> 1 + _xlfn.SINGLE(ROW()) - _xlfn.SINGLE(ROW(ExportSubstitutions_Within.RowNum))</f>
        <v>207</v>
      </c>
      <c r="S212" t="s">
        <v>1254</v>
      </c>
      <c r="T212" t="str">
        <f t="shared" si="10"/>
        <v>8m</v>
      </c>
    </row>
    <row r="213" spans="18:20">
      <c r="R213" cm="1">
        <f t="array" ref="R213" xml:space="preserve"> 1 + _xlfn.SINGLE(ROW()) - _xlfn.SINGLE(ROW(ExportSubstitutions_Within.RowNum))</f>
        <v>208</v>
      </c>
      <c r="S213" t="s">
        <v>1255</v>
      </c>
      <c r="T213" t="str">
        <f t="shared" si="10"/>
        <v>9m</v>
      </c>
    </row>
    <row r="214" spans="18:20">
      <c r="R214" cm="1">
        <f t="array" ref="R214" xml:space="preserve"> 1 + _xlfn.SINGLE(ROW()) - _xlfn.SINGLE(ROW(ExportSubstitutions_Within.RowNum))</f>
        <v>209</v>
      </c>
      <c r="S214" t="s">
        <v>1256</v>
      </c>
      <c r="T214" t="str">
        <f t="shared" si="10"/>
        <v>m0</v>
      </c>
    </row>
    <row r="215" spans="18:20">
      <c r="R215" cm="1">
        <f t="array" ref="R215" xml:space="preserve"> 1 + _xlfn.SINGLE(ROW()) - _xlfn.SINGLE(ROW(ExportSubstitutions_Within.RowNum))</f>
        <v>210</v>
      </c>
      <c r="S215" t="s">
        <v>1257</v>
      </c>
      <c r="T215" t="str">
        <f t="shared" si="10"/>
        <v>m1</v>
      </c>
    </row>
    <row r="216" spans="18:20">
      <c r="R216" cm="1">
        <f t="array" ref="R216" xml:space="preserve"> 1 + _xlfn.SINGLE(ROW()) - _xlfn.SINGLE(ROW(ExportSubstitutions_Within.RowNum))</f>
        <v>211</v>
      </c>
      <c r="S216" t="s">
        <v>1258</v>
      </c>
      <c r="T216" t="str">
        <f t="shared" si="10"/>
        <v>m2</v>
      </c>
    </row>
    <row r="217" spans="18:20">
      <c r="R217" cm="1">
        <f t="array" ref="R217" xml:space="preserve"> 1 + _xlfn.SINGLE(ROW()) - _xlfn.SINGLE(ROW(ExportSubstitutions_Within.RowNum))</f>
        <v>212</v>
      </c>
      <c r="S217" t="s">
        <v>1259</v>
      </c>
      <c r="T217" t="str">
        <f t="shared" si="10"/>
        <v>m3</v>
      </c>
    </row>
    <row r="218" spans="18:20">
      <c r="R218" cm="1">
        <f t="array" ref="R218" xml:space="preserve"> 1 + _xlfn.SINGLE(ROW()) - _xlfn.SINGLE(ROW(ExportSubstitutions_Within.RowNum))</f>
        <v>213</v>
      </c>
      <c r="S218" t="s">
        <v>1260</v>
      </c>
      <c r="T218" t="str">
        <f t="shared" si="10"/>
        <v>m4</v>
      </c>
    </row>
    <row r="219" spans="18:20">
      <c r="R219" cm="1">
        <f t="array" ref="R219" xml:space="preserve"> 1 + _xlfn.SINGLE(ROW()) - _xlfn.SINGLE(ROW(ExportSubstitutions_Within.RowNum))</f>
        <v>214</v>
      </c>
      <c r="S219" t="s">
        <v>1261</v>
      </c>
      <c r="T219" t="str">
        <f t="shared" si="10"/>
        <v>m5</v>
      </c>
    </row>
    <row r="220" spans="18:20">
      <c r="R220" cm="1">
        <f t="array" ref="R220" xml:space="preserve"> 1 + _xlfn.SINGLE(ROW()) - _xlfn.SINGLE(ROW(ExportSubstitutions_Within.RowNum))</f>
        <v>215</v>
      </c>
      <c r="S220" t="s">
        <v>1262</v>
      </c>
      <c r="T220" t="str">
        <f t="shared" si="10"/>
        <v>m6</v>
      </c>
    </row>
    <row r="221" spans="18:20">
      <c r="R221" cm="1">
        <f t="array" ref="R221" xml:space="preserve"> 1 + _xlfn.SINGLE(ROW()) - _xlfn.SINGLE(ROW(ExportSubstitutions_Within.RowNum))</f>
        <v>216</v>
      </c>
      <c r="S221" t="s">
        <v>1263</v>
      </c>
      <c r="T221" t="str">
        <f t="shared" si="10"/>
        <v>m7</v>
      </c>
    </row>
    <row r="222" spans="18:20">
      <c r="R222" cm="1">
        <f t="array" ref="R222" xml:space="preserve"> 1 + _xlfn.SINGLE(ROW()) - _xlfn.SINGLE(ROW(ExportSubstitutions_Within.RowNum))</f>
        <v>217</v>
      </c>
      <c r="S222" t="s">
        <v>1264</v>
      </c>
      <c r="T222" t="str">
        <f t="shared" si="10"/>
        <v>m8</v>
      </c>
    </row>
    <row r="223" spans="18:20">
      <c r="R223" cm="1">
        <f t="array" ref="R223" xml:space="preserve"> 1 + _xlfn.SINGLE(ROW()) - _xlfn.SINGLE(ROW(ExportSubstitutions_Within.RowNum))</f>
        <v>218</v>
      </c>
      <c r="S223" t="s">
        <v>1265</v>
      </c>
      <c r="T223" t="str">
        <f t="shared" si="10"/>
        <v>m9</v>
      </c>
    </row>
    <row r="224" spans="18:20">
      <c r="R224" cm="1">
        <f t="array" ref="R224" xml:space="preserve"> 1 + _xlfn.SINGLE(ROW()) - _xlfn.SINGLE(ROW(ExportSubstitutions_Within.RowNum))</f>
        <v>219</v>
      </c>
      <c r="S224" t="s">
        <v>1586</v>
      </c>
      <c r="T224" t="str">
        <f t="shared" si="10"/>
        <v>m.</v>
      </c>
    </row>
    <row r="225" spans="18:20">
      <c r="R225" cm="1">
        <f t="array" ref="R225" xml:space="preserve"> 1 + _xlfn.SINGLE(ROW()) - _xlfn.SINGLE(ROW(ExportSubstitutions_Within.RowNum))</f>
        <v>220</v>
      </c>
      <c r="S225" t="s">
        <v>1587</v>
      </c>
      <c r="T225" t="str">
        <f t="shared" si="10"/>
        <v>m-</v>
      </c>
    </row>
    <row r="226" spans="18:20">
      <c r="R226" cm="1">
        <f t="array" ref="R226" xml:space="preserve"> 1 + _xlfn.SINGLE(ROW()) - _xlfn.SINGLE(ROW(ExportSubstitutions_Within.RowNum))</f>
        <v>221</v>
      </c>
      <c r="S226" t="s">
        <v>1266</v>
      </c>
      <c r="T226" t="str">
        <f t="shared" si="10"/>
        <v>0Q</v>
      </c>
    </row>
    <row r="227" spans="18:20">
      <c r="R227" cm="1">
        <f t="array" ref="R227" xml:space="preserve"> 1 + _xlfn.SINGLE(ROW()) - _xlfn.SINGLE(ROW(ExportSubstitutions_Within.RowNum))</f>
        <v>222</v>
      </c>
      <c r="S227" t="s">
        <v>1267</v>
      </c>
      <c r="T227" t="str">
        <f t="shared" si="10"/>
        <v>1Q</v>
      </c>
    </row>
    <row r="228" spans="18:20">
      <c r="R228" cm="1">
        <f t="array" ref="R228" xml:space="preserve"> 1 + _xlfn.SINGLE(ROW()) - _xlfn.SINGLE(ROW(ExportSubstitutions_Within.RowNum))</f>
        <v>223</v>
      </c>
      <c r="S228" t="s">
        <v>1268</v>
      </c>
      <c r="T228" t="str">
        <f t="shared" si="10"/>
        <v>2Q</v>
      </c>
    </row>
    <row r="229" spans="18:20">
      <c r="R229" cm="1">
        <f t="array" ref="R229" xml:space="preserve"> 1 + _xlfn.SINGLE(ROW()) - _xlfn.SINGLE(ROW(ExportSubstitutions_Within.RowNum))</f>
        <v>224</v>
      </c>
      <c r="S229" t="s">
        <v>1269</v>
      </c>
      <c r="T229" t="str">
        <f t="shared" si="10"/>
        <v>3Q</v>
      </c>
    </row>
    <row r="230" spans="18:20">
      <c r="R230" cm="1">
        <f t="array" ref="R230" xml:space="preserve"> 1 + _xlfn.SINGLE(ROW()) - _xlfn.SINGLE(ROW(ExportSubstitutions_Within.RowNum))</f>
        <v>225</v>
      </c>
      <c r="S230" t="s">
        <v>1270</v>
      </c>
      <c r="T230" t="str">
        <f t="shared" si="10"/>
        <v>4Q</v>
      </c>
    </row>
    <row r="231" spans="18:20">
      <c r="R231" cm="1">
        <f t="array" ref="R231" xml:space="preserve"> 1 + _xlfn.SINGLE(ROW()) - _xlfn.SINGLE(ROW(ExportSubstitutions_Within.RowNum))</f>
        <v>226</v>
      </c>
      <c r="S231" t="s">
        <v>1271</v>
      </c>
      <c r="T231" t="str">
        <f t="shared" si="10"/>
        <v>5Q</v>
      </c>
    </row>
    <row r="232" spans="18:20">
      <c r="R232" cm="1">
        <f t="array" ref="R232" xml:space="preserve"> 1 + _xlfn.SINGLE(ROW()) - _xlfn.SINGLE(ROW(ExportSubstitutions_Within.RowNum))</f>
        <v>227</v>
      </c>
      <c r="S232" t="s">
        <v>1272</v>
      </c>
      <c r="T232" t="str">
        <f t="shared" si="10"/>
        <v>6Q</v>
      </c>
    </row>
    <row r="233" spans="18:20">
      <c r="R233" cm="1">
        <f t="array" ref="R233" xml:space="preserve"> 1 + _xlfn.SINGLE(ROW()) - _xlfn.SINGLE(ROW(ExportSubstitutions_Within.RowNum))</f>
        <v>228</v>
      </c>
      <c r="S233" t="s">
        <v>1273</v>
      </c>
      <c r="T233" t="str">
        <f t="shared" si="10"/>
        <v>7Q</v>
      </c>
    </row>
    <row r="234" spans="18:20">
      <c r="R234" cm="1">
        <f t="array" ref="R234" xml:space="preserve"> 1 + _xlfn.SINGLE(ROW()) - _xlfn.SINGLE(ROW(ExportSubstitutions_Within.RowNum))</f>
        <v>229</v>
      </c>
      <c r="S234" t="s">
        <v>1274</v>
      </c>
      <c r="T234" t="str">
        <f t="shared" si="10"/>
        <v>8Q</v>
      </c>
    </row>
    <row r="235" spans="18:20">
      <c r="R235" cm="1">
        <f t="array" ref="R235" xml:space="preserve"> 1 + _xlfn.SINGLE(ROW()) - _xlfn.SINGLE(ROW(ExportSubstitutions_Within.RowNum))</f>
        <v>230</v>
      </c>
      <c r="S235" t="s">
        <v>1275</v>
      </c>
      <c r="T235" t="str">
        <f t="shared" si="10"/>
        <v>9Q</v>
      </c>
    </row>
    <row r="236" spans="18:20">
      <c r="R236" cm="1">
        <f t="array" ref="R236" xml:space="preserve"> 1 + _xlfn.SINGLE(ROW()) - _xlfn.SINGLE(ROW(ExportSubstitutions_Within.RowNum))</f>
        <v>231</v>
      </c>
      <c r="S236" t="s">
        <v>1276</v>
      </c>
      <c r="T236" t="str">
        <f t="shared" si="10"/>
        <v>Q0</v>
      </c>
    </row>
    <row r="237" spans="18:20">
      <c r="R237" cm="1">
        <f t="array" ref="R237" xml:space="preserve"> 1 + _xlfn.SINGLE(ROW()) - _xlfn.SINGLE(ROW(ExportSubstitutions_Within.RowNum))</f>
        <v>232</v>
      </c>
      <c r="S237" t="s">
        <v>1277</v>
      </c>
      <c r="T237" t="str">
        <f t="shared" si="10"/>
        <v>Q1</v>
      </c>
    </row>
    <row r="238" spans="18:20">
      <c r="R238" cm="1">
        <f t="array" ref="R238" xml:space="preserve"> 1 + _xlfn.SINGLE(ROW()) - _xlfn.SINGLE(ROW(ExportSubstitutions_Within.RowNum))</f>
        <v>233</v>
      </c>
      <c r="S238" t="s">
        <v>1278</v>
      </c>
      <c r="T238" t="str">
        <f t="shared" si="10"/>
        <v>Q2</v>
      </c>
    </row>
    <row r="239" spans="18:20">
      <c r="R239" cm="1">
        <f t="array" ref="R239" xml:space="preserve"> 1 + _xlfn.SINGLE(ROW()) - _xlfn.SINGLE(ROW(ExportSubstitutions_Within.RowNum))</f>
        <v>234</v>
      </c>
      <c r="S239" t="s">
        <v>1279</v>
      </c>
      <c r="T239" t="str">
        <f t="shared" si="10"/>
        <v>Q3</v>
      </c>
    </row>
    <row r="240" spans="18:20">
      <c r="R240" cm="1">
        <f t="array" ref="R240" xml:space="preserve"> 1 + _xlfn.SINGLE(ROW()) - _xlfn.SINGLE(ROW(ExportSubstitutions_Within.RowNum))</f>
        <v>235</v>
      </c>
      <c r="S240" t="s">
        <v>1280</v>
      </c>
      <c r="T240" t="str">
        <f t="shared" si="10"/>
        <v>Q4</v>
      </c>
    </row>
    <row r="241" spans="18:20">
      <c r="R241" cm="1">
        <f t="array" ref="R241" xml:space="preserve"> 1 + _xlfn.SINGLE(ROW()) - _xlfn.SINGLE(ROW(ExportSubstitutions_Within.RowNum))</f>
        <v>236</v>
      </c>
      <c r="S241" t="s">
        <v>1281</v>
      </c>
      <c r="T241" t="str">
        <f t="shared" si="10"/>
        <v>Q5</v>
      </c>
    </row>
    <row r="242" spans="18:20">
      <c r="R242" cm="1">
        <f t="array" ref="R242" xml:space="preserve"> 1 + _xlfn.SINGLE(ROW()) - _xlfn.SINGLE(ROW(ExportSubstitutions_Within.RowNum))</f>
        <v>237</v>
      </c>
      <c r="S242" t="s">
        <v>1282</v>
      </c>
      <c r="T242" t="str">
        <f t="shared" si="10"/>
        <v>Q6</v>
      </c>
    </row>
    <row r="243" spans="18:20">
      <c r="R243" cm="1">
        <f t="array" ref="R243" xml:space="preserve"> 1 + _xlfn.SINGLE(ROW()) - _xlfn.SINGLE(ROW(ExportSubstitutions_Within.RowNum))</f>
        <v>238</v>
      </c>
      <c r="S243" t="s">
        <v>1283</v>
      </c>
      <c r="T243" t="str">
        <f t="shared" si="10"/>
        <v>Q7</v>
      </c>
    </row>
    <row r="244" spans="18:20">
      <c r="R244" cm="1">
        <f t="array" ref="R244" xml:space="preserve"> 1 + _xlfn.SINGLE(ROW()) - _xlfn.SINGLE(ROW(ExportSubstitutions_Within.RowNum))</f>
        <v>239</v>
      </c>
      <c r="S244" t="s">
        <v>1284</v>
      </c>
      <c r="T244" t="str">
        <f t="shared" si="10"/>
        <v>Q8</v>
      </c>
    </row>
    <row r="245" spans="18:20">
      <c r="R245" cm="1">
        <f t="array" ref="R245" xml:space="preserve"> 1 + _xlfn.SINGLE(ROW()) - _xlfn.SINGLE(ROW(ExportSubstitutions_Within.RowNum))</f>
        <v>240</v>
      </c>
      <c r="S245" t="s">
        <v>1285</v>
      </c>
      <c r="T245" t="str">
        <f t="shared" si="10"/>
        <v>Q9</v>
      </c>
    </row>
    <row r="246" spans="18:20">
      <c r="R246" cm="1">
        <f t="array" ref="R246" xml:space="preserve"> 1 + _xlfn.SINGLE(ROW()) - _xlfn.SINGLE(ROW(ExportSubstitutions_Within.RowNum))</f>
        <v>241</v>
      </c>
      <c r="S246" t="s">
        <v>1588</v>
      </c>
      <c r="T246" t="str">
        <f t="shared" si="10"/>
        <v>Q.</v>
      </c>
    </row>
    <row r="247" spans="18:20">
      <c r="R247" cm="1">
        <f t="array" ref="R247" xml:space="preserve"> 1 + _xlfn.SINGLE(ROW()) - _xlfn.SINGLE(ROW(ExportSubstitutions_Within.RowNum))</f>
        <v>242</v>
      </c>
      <c r="S247" t="s">
        <v>1589</v>
      </c>
      <c r="T247" t="str">
        <f t="shared" si="10"/>
        <v>Q-</v>
      </c>
    </row>
    <row r="248" spans="18:20">
      <c r="R248" cm="1">
        <f t="array" ref="R248" xml:space="preserve"> 1 + _xlfn.SINGLE(ROW()) - _xlfn.SINGLE(ROW(ExportSubstitutions_Within.RowNum))</f>
        <v>243</v>
      </c>
      <c r="S248" t="s">
        <v>1286</v>
      </c>
      <c r="T248" t="str">
        <f t="shared" si="10"/>
        <v>0q</v>
      </c>
    </row>
    <row r="249" spans="18:20">
      <c r="R249" cm="1">
        <f t="array" ref="R249" xml:space="preserve"> 1 + _xlfn.SINGLE(ROW()) - _xlfn.SINGLE(ROW(ExportSubstitutions_Within.RowNum))</f>
        <v>244</v>
      </c>
      <c r="S249" t="s">
        <v>1287</v>
      </c>
      <c r="T249" t="str">
        <f t="shared" si="10"/>
        <v>1q</v>
      </c>
    </row>
    <row r="250" spans="18:20">
      <c r="R250" cm="1">
        <f t="array" ref="R250" xml:space="preserve"> 1 + _xlfn.SINGLE(ROW()) - _xlfn.SINGLE(ROW(ExportSubstitutions_Within.RowNum))</f>
        <v>245</v>
      </c>
      <c r="S250" t="s">
        <v>1288</v>
      </c>
      <c r="T250" t="str">
        <f t="shared" si="10"/>
        <v>2q</v>
      </c>
    </row>
    <row r="251" spans="18:20">
      <c r="R251" cm="1">
        <f t="array" ref="R251" xml:space="preserve"> 1 + _xlfn.SINGLE(ROW()) - _xlfn.SINGLE(ROW(ExportSubstitutions_Within.RowNum))</f>
        <v>246</v>
      </c>
      <c r="S251" t="s">
        <v>1289</v>
      </c>
      <c r="T251" t="str">
        <f t="shared" si="10"/>
        <v>3q</v>
      </c>
    </row>
    <row r="252" spans="18:20">
      <c r="R252" cm="1">
        <f t="array" ref="R252" xml:space="preserve"> 1 + _xlfn.SINGLE(ROW()) - _xlfn.SINGLE(ROW(ExportSubstitutions_Within.RowNum))</f>
        <v>247</v>
      </c>
      <c r="S252" t="s">
        <v>1290</v>
      </c>
      <c r="T252" t="str">
        <f t="shared" si="10"/>
        <v>4q</v>
      </c>
    </row>
    <row r="253" spans="18:20">
      <c r="R253" cm="1">
        <f t="array" ref="R253" xml:space="preserve"> 1 + _xlfn.SINGLE(ROW()) - _xlfn.SINGLE(ROW(ExportSubstitutions_Within.RowNum))</f>
        <v>248</v>
      </c>
      <c r="S253" t="s">
        <v>1291</v>
      </c>
      <c r="T253" t="str">
        <f t="shared" si="10"/>
        <v>5q</v>
      </c>
    </row>
    <row r="254" spans="18:20">
      <c r="R254" cm="1">
        <f t="array" ref="R254" xml:space="preserve"> 1 + _xlfn.SINGLE(ROW()) - _xlfn.SINGLE(ROW(ExportSubstitutions_Within.RowNum))</f>
        <v>249</v>
      </c>
      <c r="S254" t="s">
        <v>1292</v>
      </c>
      <c r="T254" t="str">
        <f t="shared" si="10"/>
        <v>6q</v>
      </c>
    </row>
    <row r="255" spans="18:20">
      <c r="R255" cm="1">
        <f t="array" ref="R255" xml:space="preserve"> 1 + _xlfn.SINGLE(ROW()) - _xlfn.SINGLE(ROW(ExportSubstitutions_Within.RowNum))</f>
        <v>250</v>
      </c>
      <c r="S255" t="s">
        <v>1293</v>
      </c>
      <c r="T255" t="str">
        <f t="shared" si="10"/>
        <v>7q</v>
      </c>
    </row>
    <row r="256" spans="18:20">
      <c r="R256" cm="1">
        <f t="array" ref="R256" xml:space="preserve"> 1 + _xlfn.SINGLE(ROW()) - _xlfn.SINGLE(ROW(ExportSubstitutions_Within.RowNum))</f>
        <v>251</v>
      </c>
      <c r="S256" t="s">
        <v>1294</v>
      </c>
      <c r="T256" t="str">
        <f t="shared" si="10"/>
        <v>8q</v>
      </c>
    </row>
    <row r="257" spans="18:20">
      <c r="R257" cm="1">
        <f t="array" ref="R257" xml:space="preserve"> 1 + _xlfn.SINGLE(ROW()) - _xlfn.SINGLE(ROW(ExportSubstitutions_Within.RowNum))</f>
        <v>252</v>
      </c>
      <c r="S257" t="s">
        <v>1295</v>
      </c>
      <c r="T257" t="str">
        <f t="shared" si="10"/>
        <v>9q</v>
      </c>
    </row>
    <row r="258" spans="18:20">
      <c r="R258" cm="1">
        <f t="array" ref="R258" xml:space="preserve"> 1 + _xlfn.SINGLE(ROW()) - _xlfn.SINGLE(ROW(ExportSubstitutions_Within.RowNum))</f>
        <v>253</v>
      </c>
      <c r="S258" t="s">
        <v>1296</v>
      </c>
      <c r="T258" t="str">
        <f t="shared" si="10"/>
        <v>q0</v>
      </c>
    </row>
    <row r="259" spans="18:20">
      <c r="R259" cm="1">
        <f t="array" ref="R259" xml:space="preserve"> 1 + _xlfn.SINGLE(ROW()) - _xlfn.SINGLE(ROW(ExportSubstitutions_Within.RowNum))</f>
        <v>254</v>
      </c>
      <c r="S259" t="s">
        <v>1297</v>
      </c>
      <c r="T259" t="str">
        <f t="shared" si="10"/>
        <v>q1</v>
      </c>
    </row>
    <row r="260" spans="18:20">
      <c r="R260" cm="1">
        <f t="array" ref="R260" xml:space="preserve"> 1 + _xlfn.SINGLE(ROW()) - _xlfn.SINGLE(ROW(ExportSubstitutions_Within.RowNum))</f>
        <v>255</v>
      </c>
      <c r="S260" t="s">
        <v>1298</v>
      </c>
      <c r="T260" t="str">
        <f t="shared" si="10"/>
        <v>q2</v>
      </c>
    </row>
    <row r="261" spans="18:20">
      <c r="R261" cm="1">
        <f t="array" ref="R261" xml:space="preserve"> 1 + _xlfn.SINGLE(ROW()) - _xlfn.SINGLE(ROW(ExportSubstitutions_Within.RowNum))</f>
        <v>256</v>
      </c>
      <c r="S261" t="s">
        <v>1299</v>
      </c>
      <c r="T261" t="str">
        <f t="shared" si="10"/>
        <v>q3</v>
      </c>
    </row>
    <row r="262" spans="18:20">
      <c r="R262" cm="1">
        <f t="array" ref="R262" xml:space="preserve"> 1 + _xlfn.SINGLE(ROW()) - _xlfn.SINGLE(ROW(ExportSubstitutions_Within.RowNum))</f>
        <v>257</v>
      </c>
      <c r="S262" t="s">
        <v>1300</v>
      </c>
      <c r="T262" t="str">
        <f t="shared" ref="T262:T325" si="11" xml:space="preserve"> SUBSTITUTE(ExportSubstitutions_Within.From, " ", "")</f>
        <v>q4</v>
      </c>
    </row>
    <row r="263" spans="18:20">
      <c r="R263" cm="1">
        <f t="array" ref="R263" xml:space="preserve"> 1 + _xlfn.SINGLE(ROW()) - _xlfn.SINGLE(ROW(ExportSubstitutions_Within.RowNum))</f>
        <v>258</v>
      </c>
      <c r="S263" t="s">
        <v>1301</v>
      </c>
      <c r="T263" t="str">
        <f t="shared" si="11"/>
        <v>q5</v>
      </c>
    </row>
    <row r="264" spans="18:20">
      <c r="R264" cm="1">
        <f t="array" ref="R264" xml:space="preserve"> 1 + _xlfn.SINGLE(ROW()) - _xlfn.SINGLE(ROW(ExportSubstitutions_Within.RowNum))</f>
        <v>259</v>
      </c>
      <c r="S264" t="s">
        <v>1302</v>
      </c>
      <c r="T264" t="str">
        <f t="shared" si="11"/>
        <v>q6</v>
      </c>
    </row>
    <row r="265" spans="18:20">
      <c r="R265" cm="1">
        <f t="array" ref="R265" xml:space="preserve"> 1 + _xlfn.SINGLE(ROW()) - _xlfn.SINGLE(ROW(ExportSubstitutions_Within.RowNum))</f>
        <v>260</v>
      </c>
      <c r="S265" t="s">
        <v>1303</v>
      </c>
      <c r="T265" t="str">
        <f t="shared" si="11"/>
        <v>q7</v>
      </c>
    </row>
    <row r="266" spans="18:20">
      <c r="R266" cm="1">
        <f t="array" ref="R266" xml:space="preserve"> 1 + _xlfn.SINGLE(ROW()) - _xlfn.SINGLE(ROW(ExportSubstitutions_Within.RowNum))</f>
        <v>261</v>
      </c>
      <c r="S266" t="s">
        <v>1304</v>
      </c>
      <c r="T266" t="str">
        <f t="shared" si="11"/>
        <v>q8</v>
      </c>
    </row>
    <row r="267" spans="18:20">
      <c r="R267" cm="1">
        <f t="array" ref="R267" xml:space="preserve"> 1 + _xlfn.SINGLE(ROW()) - _xlfn.SINGLE(ROW(ExportSubstitutions_Within.RowNum))</f>
        <v>262</v>
      </c>
      <c r="S267" t="s">
        <v>1305</v>
      </c>
      <c r="T267" t="str">
        <f t="shared" si="11"/>
        <v>q9</v>
      </c>
    </row>
    <row r="268" spans="18:20">
      <c r="R268" cm="1">
        <f t="array" ref="R268" xml:space="preserve"> 1 + _xlfn.SINGLE(ROW()) - _xlfn.SINGLE(ROW(ExportSubstitutions_Within.RowNum))</f>
        <v>263</v>
      </c>
      <c r="S268" t="s">
        <v>1590</v>
      </c>
      <c r="T268" t="str">
        <f t="shared" si="11"/>
        <v>q.</v>
      </c>
    </row>
    <row r="269" spans="18:20">
      <c r="R269" cm="1">
        <f t="array" ref="R269" xml:space="preserve"> 1 + _xlfn.SINGLE(ROW()) - _xlfn.SINGLE(ROW(ExportSubstitutions_Within.RowNum))</f>
        <v>264</v>
      </c>
      <c r="S269" t="s">
        <v>1591</v>
      </c>
      <c r="T269" t="str">
        <f t="shared" si="11"/>
        <v>q-</v>
      </c>
    </row>
    <row r="270" spans="18:20">
      <c r="R270" cm="1">
        <f t="array" ref="R270" xml:space="preserve"> 1 + _xlfn.SINGLE(ROW()) - _xlfn.SINGLE(ROW(ExportSubstitutions_Within.RowNum))</f>
        <v>265</v>
      </c>
      <c r="S270" t="s">
        <v>1306</v>
      </c>
      <c r="T270" t="str">
        <f t="shared" si="11"/>
        <v>0S</v>
      </c>
    </row>
    <row r="271" spans="18:20">
      <c r="R271" cm="1">
        <f t="array" ref="R271" xml:space="preserve"> 1 + _xlfn.SINGLE(ROW()) - _xlfn.SINGLE(ROW(ExportSubstitutions_Within.RowNum))</f>
        <v>266</v>
      </c>
      <c r="S271" t="s">
        <v>1307</v>
      </c>
      <c r="T271" t="str">
        <f t="shared" si="11"/>
        <v>1S</v>
      </c>
    </row>
    <row r="272" spans="18:20">
      <c r="R272" cm="1">
        <f t="array" ref="R272" xml:space="preserve"> 1 + _xlfn.SINGLE(ROW()) - _xlfn.SINGLE(ROW(ExportSubstitutions_Within.RowNum))</f>
        <v>267</v>
      </c>
      <c r="S272" t="s">
        <v>1308</v>
      </c>
      <c r="T272" t="str">
        <f t="shared" si="11"/>
        <v>2S</v>
      </c>
    </row>
    <row r="273" spans="18:20">
      <c r="R273" cm="1">
        <f t="array" ref="R273" xml:space="preserve"> 1 + _xlfn.SINGLE(ROW()) - _xlfn.SINGLE(ROW(ExportSubstitutions_Within.RowNum))</f>
        <v>268</v>
      </c>
      <c r="S273" t="s">
        <v>1309</v>
      </c>
      <c r="T273" t="str">
        <f t="shared" si="11"/>
        <v>3S</v>
      </c>
    </row>
    <row r="274" spans="18:20">
      <c r="R274" cm="1">
        <f t="array" ref="R274" xml:space="preserve"> 1 + _xlfn.SINGLE(ROW()) - _xlfn.SINGLE(ROW(ExportSubstitutions_Within.RowNum))</f>
        <v>269</v>
      </c>
      <c r="S274" t="s">
        <v>1310</v>
      </c>
      <c r="T274" t="str">
        <f t="shared" si="11"/>
        <v>4S</v>
      </c>
    </row>
    <row r="275" spans="18:20">
      <c r="R275" cm="1">
        <f t="array" ref="R275" xml:space="preserve"> 1 + _xlfn.SINGLE(ROW()) - _xlfn.SINGLE(ROW(ExportSubstitutions_Within.RowNum))</f>
        <v>270</v>
      </c>
      <c r="S275" t="s">
        <v>1311</v>
      </c>
      <c r="T275" t="str">
        <f t="shared" si="11"/>
        <v>5S</v>
      </c>
    </row>
    <row r="276" spans="18:20">
      <c r="R276" cm="1">
        <f t="array" ref="R276" xml:space="preserve"> 1 + _xlfn.SINGLE(ROW()) - _xlfn.SINGLE(ROW(ExportSubstitutions_Within.RowNum))</f>
        <v>271</v>
      </c>
      <c r="S276" t="s">
        <v>1312</v>
      </c>
      <c r="T276" t="str">
        <f t="shared" si="11"/>
        <v>6S</v>
      </c>
    </row>
    <row r="277" spans="18:20">
      <c r="R277" cm="1">
        <f t="array" ref="R277" xml:space="preserve"> 1 + _xlfn.SINGLE(ROW()) - _xlfn.SINGLE(ROW(ExportSubstitutions_Within.RowNum))</f>
        <v>272</v>
      </c>
      <c r="S277" t="s">
        <v>1313</v>
      </c>
      <c r="T277" t="str">
        <f t="shared" si="11"/>
        <v>7S</v>
      </c>
    </row>
    <row r="278" spans="18:20">
      <c r="R278" cm="1">
        <f t="array" ref="R278" xml:space="preserve"> 1 + _xlfn.SINGLE(ROW()) - _xlfn.SINGLE(ROW(ExportSubstitutions_Within.RowNum))</f>
        <v>273</v>
      </c>
      <c r="S278" t="s">
        <v>1314</v>
      </c>
      <c r="T278" t="str">
        <f t="shared" si="11"/>
        <v>8S</v>
      </c>
    </row>
    <row r="279" spans="18:20">
      <c r="R279" cm="1">
        <f t="array" ref="R279" xml:space="preserve"> 1 + _xlfn.SINGLE(ROW()) - _xlfn.SINGLE(ROW(ExportSubstitutions_Within.RowNum))</f>
        <v>274</v>
      </c>
      <c r="S279" t="s">
        <v>1315</v>
      </c>
      <c r="T279" t="str">
        <f t="shared" si="11"/>
        <v>9S</v>
      </c>
    </row>
    <row r="280" spans="18:20">
      <c r="R280" cm="1">
        <f t="array" ref="R280" xml:space="preserve"> 1 + _xlfn.SINGLE(ROW()) - _xlfn.SINGLE(ROW(ExportSubstitutions_Within.RowNum))</f>
        <v>275</v>
      </c>
      <c r="S280" t="s">
        <v>1316</v>
      </c>
      <c r="T280" t="str">
        <f t="shared" si="11"/>
        <v>S0</v>
      </c>
    </row>
    <row r="281" spans="18:20">
      <c r="R281" cm="1">
        <f t="array" ref="R281" xml:space="preserve"> 1 + _xlfn.SINGLE(ROW()) - _xlfn.SINGLE(ROW(ExportSubstitutions_Within.RowNum))</f>
        <v>276</v>
      </c>
      <c r="S281" t="s">
        <v>1317</v>
      </c>
      <c r="T281" t="str">
        <f t="shared" si="11"/>
        <v>S1</v>
      </c>
    </row>
    <row r="282" spans="18:20">
      <c r="R282" cm="1">
        <f t="array" ref="R282" xml:space="preserve"> 1 + _xlfn.SINGLE(ROW()) - _xlfn.SINGLE(ROW(ExportSubstitutions_Within.RowNum))</f>
        <v>277</v>
      </c>
      <c r="S282" t="s">
        <v>1318</v>
      </c>
      <c r="T282" t="str">
        <f t="shared" si="11"/>
        <v>S2</v>
      </c>
    </row>
    <row r="283" spans="18:20">
      <c r="R283" cm="1">
        <f t="array" ref="R283" xml:space="preserve"> 1 + _xlfn.SINGLE(ROW()) - _xlfn.SINGLE(ROW(ExportSubstitutions_Within.RowNum))</f>
        <v>278</v>
      </c>
      <c r="S283" t="s">
        <v>1319</v>
      </c>
      <c r="T283" t="str">
        <f t="shared" si="11"/>
        <v>S3</v>
      </c>
    </row>
    <row r="284" spans="18:20">
      <c r="R284" cm="1">
        <f t="array" ref="R284" xml:space="preserve"> 1 + _xlfn.SINGLE(ROW()) - _xlfn.SINGLE(ROW(ExportSubstitutions_Within.RowNum))</f>
        <v>279</v>
      </c>
      <c r="S284" t="s">
        <v>1320</v>
      </c>
      <c r="T284" t="str">
        <f t="shared" si="11"/>
        <v>S4</v>
      </c>
    </row>
    <row r="285" spans="18:20">
      <c r="R285" cm="1">
        <f t="array" ref="R285" xml:space="preserve"> 1 + _xlfn.SINGLE(ROW()) - _xlfn.SINGLE(ROW(ExportSubstitutions_Within.RowNum))</f>
        <v>280</v>
      </c>
      <c r="S285" t="s">
        <v>1321</v>
      </c>
      <c r="T285" t="str">
        <f t="shared" si="11"/>
        <v>S5</v>
      </c>
    </row>
    <row r="286" spans="18:20">
      <c r="R286" cm="1">
        <f t="array" ref="R286" xml:space="preserve"> 1 + _xlfn.SINGLE(ROW()) - _xlfn.SINGLE(ROW(ExportSubstitutions_Within.RowNum))</f>
        <v>281</v>
      </c>
      <c r="S286" t="s">
        <v>1322</v>
      </c>
      <c r="T286" t="str">
        <f t="shared" si="11"/>
        <v>S6</v>
      </c>
    </row>
    <row r="287" spans="18:20">
      <c r="R287" cm="1">
        <f t="array" ref="R287" xml:space="preserve"> 1 + _xlfn.SINGLE(ROW()) - _xlfn.SINGLE(ROW(ExportSubstitutions_Within.RowNum))</f>
        <v>282</v>
      </c>
      <c r="S287" t="s">
        <v>1323</v>
      </c>
      <c r="T287" t="str">
        <f t="shared" si="11"/>
        <v>S7</v>
      </c>
    </row>
    <row r="288" spans="18:20">
      <c r="R288" cm="1">
        <f t="array" ref="R288" xml:space="preserve"> 1 + _xlfn.SINGLE(ROW()) - _xlfn.SINGLE(ROW(ExportSubstitutions_Within.RowNum))</f>
        <v>283</v>
      </c>
      <c r="S288" t="s">
        <v>1324</v>
      </c>
      <c r="T288" t="str">
        <f t="shared" si="11"/>
        <v>S8</v>
      </c>
    </row>
    <row r="289" spans="18:20">
      <c r="R289" cm="1">
        <f t="array" ref="R289" xml:space="preserve"> 1 + _xlfn.SINGLE(ROW()) - _xlfn.SINGLE(ROW(ExportSubstitutions_Within.RowNum))</f>
        <v>284</v>
      </c>
      <c r="S289" t="s">
        <v>1325</v>
      </c>
      <c r="T289" t="str">
        <f t="shared" si="11"/>
        <v>S9</v>
      </c>
    </row>
    <row r="290" spans="18:20">
      <c r="R290" cm="1">
        <f t="array" ref="R290" xml:space="preserve"> 1 + _xlfn.SINGLE(ROW()) - _xlfn.SINGLE(ROW(ExportSubstitutions_Within.RowNum))</f>
        <v>285</v>
      </c>
      <c r="S290" t="s">
        <v>1592</v>
      </c>
      <c r="T290" t="str">
        <f t="shared" si="11"/>
        <v>S.</v>
      </c>
    </row>
    <row r="291" spans="18:20">
      <c r="R291" cm="1">
        <f t="array" ref="R291" xml:space="preserve"> 1 + _xlfn.SINGLE(ROW()) - _xlfn.SINGLE(ROW(ExportSubstitutions_Within.RowNum))</f>
        <v>286</v>
      </c>
      <c r="S291" t="s">
        <v>1593</v>
      </c>
      <c r="T291" t="str">
        <f t="shared" si="11"/>
        <v>S-</v>
      </c>
    </row>
    <row r="292" spans="18:20">
      <c r="R292" cm="1">
        <f t="array" ref="R292" xml:space="preserve"> 1 + _xlfn.SINGLE(ROW()) - _xlfn.SINGLE(ROW(ExportSubstitutions_Within.RowNum))</f>
        <v>287</v>
      </c>
      <c r="S292" t="s">
        <v>1326</v>
      </c>
      <c r="T292" t="str">
        <f t="shared" si="11"/>
        <v>0s</v>
      </c>
    </row>
    <row r="293" spans="18:20">
      <c r="R293" cm="1">
        <f t="array" ref="R293" xml:space="preserve"> 1 + _xlfn.SINGLE(ROW()) - _xlfn.SINGLE(ROW(ExportSubstitutions_Within.RowNum))</f>
        <v>288</v>
      </c>
      <c r="S293" t="s">
        <v>1327</v>
      </c>
      <c r="T293" t="str">
        <f t="shared" si="11"/>
        <v>1s</v>
      </c>
    </row>
    <row r="294" spans="18:20">
      <c r="R294" cm="1">
        <f t="array" ref="R294" xml:space="preserve"> 1 + _xlfn.SINGLE(ROW()) - _xlfn.SINGLE(ROW(ExportSubstitutions_Within.RowNum))</f>
        <v>289</v>
      </c>
      <c r="S294" t="s">
        <v>1328</v>
      </c>
      <c r="T294" t="str">
        <f t="shared" si="11"/>
        <v>2s</v>
      </c>
    </row>
    <row r="295" spans="18:20">
      <c r="R295" cm="1">
        <f t="array" ref="R295" xml:space="preserve"> 1 + _xlfn.SINGLE(ROW()) - _xlfn.SINGLE(ROW(ExportSubstitutions_Within.RowNum))</f>
        <v>290</v>
      </c>
      <c r="S295" t="s">
        <v>1329</v>
      </c>
      <c r="T295" t="str">
        <f t="shared" si="11"/>
        <v>3s</v>
      </c>
    </row>
    <row r="296" spans="18:20">
      <c r="R296" cm="1">
        <f t="array" ref="R296" xml:space="preserve"> 1 + _xlfn.SINGLE(ROW()) - _xlfn.SINGLE(ROW(ExportSubstitutions_Within.RowNum))</f>
        <v>291</v>
      </c>
      <c r="S296" t="s">
        <v>1330</v>
      </c>
      <c r="T296" t="str">
        <f t="shared" si="11"/>
        <v>4s</v>
      </c>
    </row>
    <row r="297" spans="18:20">
      <c r="R297" cm="1">
        <f t="array" ref="R297" xml:space="preserve"> 1 + _xlfn.SINGLE(ROW()) - _xlfn.SINGLE(ROW(ExportSubstitutions_Within.RowNum))</f>
        <v>292</v>
      </c>
      <c r="S297" t="s">
        <v>1331</v>
      </c>
      <c r="T297" t="str">
        <f t="shared" si="11"/>
        <v>5s</v>
      </c>
    </row>
    <row r="298" spans="18:20">
      <c r="R298" cm="1">
        <f t="array" ref="R298" xml:space="preserve"> 1 + _xlfn.SINGLE(ROW()) - _xlfn.SINGLE(ROW(ExportSubstitutions_Within.RowNum))</f>
        <v>293</v>
      </c>
      <c r="S298" t="s">
        <v>1332</v>
      </c>
      <c r="T298" t="str">
        <f t="shared" si="11"/>
        <v>6s</v>
      </c>
    </row>
    <row r="299" spans="18:20">
      <c r="R299" cm="1">
        <f t="array" ref="R299" xml:space="preserve"> 1 + _xlfn.SINGLE(ROW()) - _xlfn.SINGLE(ROW(ExportSubstitutions_Within.RowNum))</f>
        <v>294</v>
      </c>
      <c r="S299" t="s">
        <v>1333</v>
      </c>
      <c r="T299" t="str">
        <f t="shared" si="11"/>
        <v>7s</v>
      </c>
    </row>
    <row r="300" spans="18:20">
      <c r="R300" cm="1">
        <f t="array" ref="R300" xml:space="preserve"> 1 + _xlfn.SINGLE(ROW()) - _xlfn.SINGLE(ROW(ExportSubstitutions_Within.RowNum))</f>
        <v>295</v>
      </c>
      <c r="S300" t="s">
        <v>1334</v>
      </c>
      <c r="T300" t="str">
        <f t="shared" si="11"/>
        <v>8s</v>
      </c>
    </row>
    <row r="301" spans="18:20">
      <c r="R301" cm="1">
        <f t="array" ref="R301" xml:space="preserve"> 1 + _xlfn.SINGLE(ROW()) - _xlfn.SINGLE(ROW(ExportSubstitutions_Within.RowNum))</f>
        <v>296</v>
      </c>
      <c r="S301" t="s">
        <v>1335</v>
      </c>
      <c r="T301" t="str">
        <f t="shared" si="11"/>
        <v>9s</v>
      </c>
    </row>
    <row r="302" spans="18:20">
      <c r="R302" cm="1">
        <f t="array" ref="R302" xml:space="preserve"> 1 + _xlfn.SINGLE(ROW()) - _xlfn.SINGLE(ROW(ExportSubstitutions_Within.RowNum))</f>
        <v>297</v>
      </c>
      <c r="S302" t="s">
        <v>1336</v>
      </c>
      <c r="T302" t="str">
        <f t="shared" si="11"/>
        <v>s0</v>
      </c>
    </row>
    <row r="303" spans="18:20">
      <c r="R303" cm="1">
        <f t="array" ref="R303" xml:space="preserve"> 1 + _xlfn.SINGLE(ROW()) - _xlfn.SINGLE(ROW(ExportSubstitutions_Within.RowNum))</f>
        <v>298</v>
      </c>
      <c r="S303" t="s">
        <v>1337</v>
      </c>
      <c r="T303" t="str">
        <f t="shared" si="11"/>
        <v>s1</v>
      </c>
    </row>
    <row r="304" spans="18:20">
      <c r="R304" cm="1">
        <f t="array" ref="R304" xml:space="preserve"> 1 + _xlfn.SINGLE(ROW()) - _xlfn.SINGLE(ROW(ExportSubstitutions_Within.RowNum))</f>
        <v>299</v>
      </c>
      <c r="S304" t="s">
        <v>1338</v>
      </c>
      <c r="T304" t="str">
        <f t="shared" si="11"/>
        <v>s2</v>
      </c>
    </row>
    <row r="305" spans="18:20">
      <c r="R305" cm="1">
        <f t="array" ref="R305" xml:space="preserve"> 1 + _xlfn.SINGLE(ROW()) - _xlfn.SINGLE(ROW(ExportSubstitutions_Within.RowNum))</f>
        <v>300</v>
      </c>
      <c r="S305" t="s">
        <v>1339</v>
      </c>
      <c r="T305" t="str">
        <f t="shared" si="11"/>
        <v>s3</v>
      </c>
    </row>
    <row r="306" spans="18:20">
      <c r="R306" cm="1">
        <f t="array" ref="R306" xml:space="preserve"> 1 + _xlfn.SINGLE(ROW()) - _xlfn.SINGLE(ROW(ExportSubstitutions_Within.RowNum))</f>
        <v>301</v>
      </c>
      <c r="S306" t="s">
        <v>1340</v>
      </c>
      <c r="T306" t="str">
        <f t="shared" si="11"/>
        <v>s4</v>
      </c>
    </row>
    <row r="307" spans="18:20">
      <c r="R307" cm="1">
        <f t="array" ref="R307" xml:space="preserve"> 1 + _xlfn.SINGLE(ROW()) - _xlfn.SINGLE(ROW(ExportSubstitutions_Within.RowNum))</f>
        <v>302</v>
      </c>
      <c r="S307" t="s">
        <v>1341</v>
      </c>
      <c r="T307" t="str">
        <f t="shared" si="11"/>
        <v>s5</v>
      </c>
    </row>
    <row r="308" spans="18:20">
      <c r="R308" cm="1">
        <f t="array" ref="R308" xml:space="preserve"> 1 + _xlfn.SINGLE(ROW()) - _xlfn.SINGLE(ROW(ExportSubstitutions_Within.RowNum))</f>
        <v>303</v>
      </c>
      <c r="S308" t="s">
        <v>1342</v>
      </c>
      <c r="T308" t="str">
        <f t="shared" si="11"/>
        <v>s6</v>
      </c>
    </row>
    <row r="309" spans="18:20">
      <c r="R309" cm="1">
        <f t="array" ref="R309" xml:space="preserve"> 1 + _xlfn.SINGLE(ROW()) - _xlfn.SINGLE(ROW(ExportSubstitutions_Within.RowNum))</f>
        <v>304</v>
      </c>
      <c r="S309" t="s">
        <v>1343</v>
      </c>
      <c r="T309" t="str">
        <f t="shared" si="11"/>
        <v>s7</v>
      </c>
    </row>
    <row r="310" spans="18:20">
      <c r="R310" cm="1">
        <f t="array" ref="R310" xml:space="preserve"> 1 + _xlfn.SINGLE(ROW()) - _xlfn.SINGLE(ROW(ExportSubstitutions_Within.RowNum))</f>
        <v>305</v>
      </c>
      <c r="S310" t="s">
        <v>1344</v>
      </c>
      <c r="T310" t="str">
        <f t="shared" si="11"/>
        <v>s8</v>
      </c>
    </row>
    <row r="311" spans="18:20">
      <c r="R311" cm="1">
        <f t="array" ref="R311" xml:space="preserve"> 1 + _xlfn.SINGLE(ROW()) - _xlfn.SINGLE(ROW(ExportSubstitutions_Within.RowNum))</f>
        <v>306</v>
      </c>
      <c r="S311" t="s">
        <v>1345</v>
      </c>
      <c r="T311" t="str">
        <f t="shared" si="11"/>
        <v>s9</v>
      </c>
    </row>
    <row r="312" spans="18:20">
      <c r="R312" cm="1">
        <f t="array" ref="R312" xml:space="preserve"> 1 + _xlfn.SINGLE(ROW()) - _xlfn.SINGLE(ROW(ExportSubstitutions_Within.RowNum))</f>
        <v>307</v>
      </c>
      <c r="S312" t="s">
        <v>1594</v>
      </c>
      <c r="T312" t="str">
        <f t="shared" si="11"/>
        <v>s.</v>
      </c>
    </row>
    <row r="313" spans="18:20">
      <c r="R313" cm="1">
        <f t="array" ref="R313" xml:space="preserve"> 1 + _xlfn.SINGLE(ROW()) - _xlfn.SINGLE(ROW(ExportSubstitutions_Within.RowNum))</f>
        <v>308</v>
      </c>
      <c r="S313" t="s">
        <v>1595</v>
      </c>
      <c r="T313" t="str">
        <f t="shared" si="11"/>
        <v>s-</v>
      </c>
    </row>
    <row r="314" spans="18:20">
      <c r="R314" cm="1">
        <f t="array" ref="R314" xml:space="preserve"> 1 + _xlfn.SINGLE(ROW()) - _xlfn.SINGLE(ROW(ExportSubstitutions_Within.RowNum))</f>
        <v>309</v>
      </c>
      <c r="S314" t="s">
        <v>1346</v>
      </c>
      <c r="T314" t="str">
        <f t="shared" si="11"/>
        <v>0T</v>
      </c>
    </row>
    <row r="315" spans="18:20">
      <c r="R315" cm="1">
        <f t="array" ref="R315" xml:space="preserve"> 1 + _xlfn.SINGLE(ROW()) - _xlfn.SINGLE(ROW(ExportSubstitutions_Within.RowNum))</f>
        <v>310</v>
      </c>
      <c r="S315" t="s">
        <v>1347</v>
      </c>
      <c r="T315" t="str">
        <f t="shared" si="11"/>
        <v>1T</v>
      </c>
    </row>
    <row r="316" spans="18:20">
      <c r="R316" cm="1">
        <f t="array" ref="R316" xml:space="preserve"> 1 + _xlfn.SINGLE(ROW()) - _xlfn.SINGLE(ROW(ExportSubstitutions_Within.RowNum))</f>
        <v>311</v>
      </c>
      <c r="S316" t="s">
        <v>1348</v>
      </c>
      <c r="T316" t="str">
        <f t="shared" si="11"/>
        <v>2T</v>
      </c>
    </row>
    <row r="317" spans="18:20">
      <c r="R317" cm="1">
        <f t="array" ref="R317" xml:space="preserve"> 1 + _xlfn.SINGLE(ROW()) - _xlfn.SINGLE(ROW(ExportSubstitutions_Within.RowNum))</f>
        <v>312</v>
      </c>
      <c r="S317" t="s">
        <v>1349</v>
      </c>
      <c r="T317" t="str">
        <f t="shared" si="11"/>
        <v>3T</v>
      </c>
    </row>
    <row r="318" spans="18:20">
      <c r="R318" cm="1">
        <f t="array" ref="R318" xml:space="preserve"> 1 + _xlfn.SINGLE(ROW()) - _xlfn.SINGLE(ROW(ExportSubstitutions_Within.RowNum))</f>
        <v>313</v>
      </c>
      <c r="S318" t="s">
        <v>1350</v>
      </c>
      <c r="T318" t="str">
        <f t="shared" si="11"/>
        <v>4T</v>
      </c>
    </row>
    <row r="319" spans="18:20">
      <c r="R319" cm="1">
        <f t="array" ref="R319" xml:space="preserve"> 1 + _xlfn.SINGLE(ROW()) - _xlfn.SINGLE(ROW(ExportSubstitutions_Within.RowNum))</f>
        <v>314</v>
      </c>
      <c r="S319" t="s">
        <v>1351</v>
      </c>
      <c r="T319" t="str">
        <f t="shared" si="11"/>
        <v>5T</v>
      </c>
    </row>
    <row r="320" spans="18:20">
      <c r="R320" cm="1">
        <f t="array" ref="R320" xml:space="preserve"> 1 + _xlfn.SINGLE(ROW()) - _xlfn.SINGLE(ROW(ExportSubstitutions_Within.RowNum))</f>
        <v>315</v>
      </c>
      <c r="S320" t="s">
        <v>1352</v>
      </c>
      <c r="T320" t="str">
        <f t="shared" si="11"/>
        <v>6T</v>
      </c>
    </row>
    <row r="321" spans="18:20">
      <c r="R321" cm="1">
        <f t="array" ref="R321" xml:space="preserve"> 1 + _xlfn.SINGLE(ROW()) - _xlfn.SINGLE(ROW(ExportSubstitutions_Within.RowNum))</f>
        <v>316</v>
      </c>
      <c r="S321" t="s">
        <v>1353</v>
      </c>
      <c r="T321" t="str">
        <f t="shared" si="11"/>
        <v>7T</v>
      </c>
    </row>
    <row r="322" spans="18:20">
      <c r="R322" cm="1">
        <f t="array" ref="R322" xml:space="preserve"> 1 + _xlfn.SINGLE(ROW()) - _xlfn.SINGLE(ROW(ExportSubstitutions_Within.RowNum))</f>
        <v>317</v>
      </c>
      <c r="S322" t="s">
        <v>1354</v>
      </c>
      <c r="T322" t="str">
        <f t="shared" si="11"/>
        <v>8T</v>
      </c>
    </row>
    <row r="323" spans="18:20">
      <c r="R323" cm="1">
        <f t="array" ref="R323" xml:space="preserve"> 1 + _xlfn.SINGLE(ROW()) - _xlfn.SINGLE(ROW(ExportSubstitutions_Within.RowNum))</f>
        <v>318</v>
      </c>
      <c r="S323" t="s">
        <v>1355</v>
      </c>
      <c r="T323" t="str">
        <f t="shared" si="11"/>
        <v>9T</v>
      </c>
    </row>
    <row r="324" spans="18:20">
      <c r="R324" cm="1">
        <f t="array" ref="R324" xml:space="preserve"> 1 + _xlfn.SINGLE(ROW()) - _xlfn.SINGLE(ROW(ExportSubstitutions_Within.RowNum))</f>
        <v>319</v>
      </c>
      <c r="S324" t="s">
        <v>1356</v>
      </c>
      <c r="T324" t="str">
        <f t="shared" si="11"/>
        <v>T0</v>
      </c>
    </row>
    <row r="325" spans="18:20">
      <c r="R325" cm="1">
        <f t="array" ref="R325" xml:space="preserve"> 1 + _xlfn.SINGLE(ROW()) - _xlfn.SINGLE(ROW(ExportSubstitutions_Within.RowNum))</f>
        <v>320</v>
      </c>
      <c r="S325" t="s">
        <v>1357</v>
      </c>
      <c r="T325" t="str">
        <f t="shared" si="11"/>
        <v>T1</v>
      </c>
    </row>
    <row r="326" spans="18:20">
      <c r="R326" cm="1">
        <f t="array" ref="R326" xml:space="preserve"> 1 + _xlfn.SINGLE(ROW()) - _xlfn.SINGLE(ROW(ExportSubstitutions_Within.RowNum))</f>
        <v>321</v>
      </c>
      <c r="S326" t="s">
        <v>1358</v>
      </c>
      <c r="T326" t="str">
        <f t="shared" ref="T326:T389" si="12" xml:space="preserve"> SUBSTITUTE(ExportSubstitutions_Within.From, " ", "")</f>
        <v>T2</v>
      </c>
    </row>
    <row r="327" spans="18:20">
      <c r="R327" cm="1">
        <f t="array" ref="R327" xml:space="preserve"> 1 + _xlfn.SINGLE(ROW()) - _xlfn.SINGLE(ROW(ExportSubstitutions_Within.RowNum))</f>
        <v>322</v>
      </c>
      <c r="S327" t="s">
        <v>1359</v>
      </c>
      <c r="T327" t="str">
        <f t="shared" si="12"/>
        <v>T3</v>
      </c>
    </row>
    <row r="328" spans="18:20">
      <c r="R328" cm="1">
        <f t="array" ref="R328" xml:space="preserve"> 1 + _xlfn.SINGLE(ROW()) - _xlfn.SINGLE(ROW(ExportSubstitutions_Within.RowNum))</f>
        <v>323</v>
      </c>
      <c r="S328" t="s">
        <v>1360</v>
      </c>
      <c r="T328" t="str">
        <f t="shared" si="12"/>
        <v>T4</v>
      </c>
    </row>
    <row r="329" spans="18:20">
      <c r="R329" cm="1">
        <f t="array" ref="R329" xml:space="preserve"> 1 + _xlfn.SINGLE(ROW()) - _xlfn.SINGLE(ROW(ExportSubstitutions_Within.RowNum))</f>
        <v>324</v>
      </c>
      <c r="S329" t="s">
        <v>1361</v>
      </c>
      <c r="T329" t="str">
        <f t="shared" si="12"/>
        <v>T5</v>
      </c>
    </row>
    <row r="330" spans="18:20">
      <c r="R330" cm="1">
        <f t="array" ref="R330" xml:space="preserve"> 1 + _xlfn.SINGLE(ROW()) - _xlfn.SINGLE(ROW(ExportSubstitutions_Within.RowNum))</f>
        <v>325</v>
      </c>
      <c r="S330" t="s">
        <v>1362</v>
      </c>
      <c r="T330" t="str">
        <f t="shared" si="12"/>
        <v>T6</v>
      </c>
    </row>
    <row r="331" spans="18:20">
      <c r="R331" cm="1">
        <f t="array" ref="R331" xml:space="preserve"> 1 + _xlfn.SINGLE(ROW()) - _xlfn.SINGLE(ROW(ExportSubstitutions_Within.RowNum))</f>
        <v>326</v>
      </c>
      <c r="S331" t="s">
        <v>1363</v>
      </c>
      <c r="T331" t="str">
        <f t="shared" si="12"/>
        <v>T7</v>
      </c>
    </row>
    <row r="332" spans="18:20">
      <c r="R332" cm="1">
        <f t="array" ref="R332" xml:space="preserve"> 1 + _xlfn.SINGLE(ROW()) - _xlfn.SINGLE(ROW(ExportSubstitutions_Within.RowNum))</f>
        <v>327</v>
      </c>
      <c r="S332" t="s">
        <v>1364</v>
      </c>
      <c r="T332" t="str">
        <f t="shared" si="12"/>
        <v>T8</v>
      </c>
    </row>
    <row r="333" spans="18:20">
      <c r="R333" cm="1">
        <f t="array" ref="R333" xml:space="preserve"> 1 + _xlfn.SINGLE(ROW()) - _xlfn.SINGLE(ROW(ExportSubstitutions_Within.RowNum))</f>
        <v>328</v>
      </c>
      <c r="S333" t="s">
        <v>1365</v>
      </c>
      <c r="T333" t="str">
        <f t="shared" si="12"/>
        <v>T9</v>
      </c>
    </row>
    <row r="334" spans="18:20">
      <c r="R334" cm="1">
        <f t="array" ref="R334" xml:space="preserve"> 1 + _xlfn.SINGLE(ROW()) - _xlfn.SINGLE(ROW(ExportSubstitutions_Within.RowNum))</f>
        <v>329</v>
      </c>
      <c r="S334" t="s">
        <v>1596</v>
      </c>
      <c r="T334" t="str">
        <f t="shared" si="12"/>
        <v>T.</v>
      </c>
    </row>
    <row r="335" spans="18:20">
      <c r="R335" cm="1">
        <f t="array" ref="R335" xml:space="preserve"> 1 + _xlfn.SINGLE(ROW()) - _xlfn.SINGLE(ROW(ExportSubstitutions_Within.RowNum))</f>
        <v>330</v>
      </c>
      <c r="S335" t="s">
        <v>1597</v>
      </c>
      <c r="T335" t="str">
        <f t="shared" si="12"/>
        <v>T-</v>
      </c>
    </row>
    <row r="336" spans="18:20">
      <c r="R336" cm="1">
        <f t="array" ref="R336" xml:space="preserve"> 1 + _xlfn.SINGLE(ROW()) - _xlfn.SINGLE(ROW(ExportSubstitutions_Within.RowNum))</f>
        <v>331</v>
      </c>
      <c r="S336" t="s">
        <v>1366</v>
      </c>
      <c r="T336" t="str">
        <f t="shared" si="12"/>
        <v>0t</v>
      </c>
    </row>
    <row r="337" spans="18:20">
      <c r="R337" cm="1">
        <f t="array" ref="R337" xml:space="preserve"> 1 + _xlfn.SINGLE(ROW()) - _xlfn.SINGLE(ROW(ExportSubstitutions_Within.RowNum))</f>
        <v>332</v>
      </c>
      <c r="S337" t="s">
        <v>1367</v>
      </c>
      <c r="T337" t="str">
        <f t="shared" si="12"/>
        <v>1t</v>
      </c>
    </row>
    <row r="338" spans="18:20">
      <c r="R338" cm="1">
        <f t="array" ref="R338" xml:space="preserve"> 1 + _xlfn.SINGLE(ROW()) - _xlfn.SINGLE(ROW(ExportSubstitutions_Within.RowNum))</f>
        <v>333</v>
      </c>
      <c r="S338" t="s">
        <v>1368</v>
      </c>
      <c r="T338" t="str">
        <f t="shared" si="12"/>
        <v>2t</v>
      </c>
    </row>
    <row r="339" spans="18:20">
      <c r="R339" cm="1">
        <f t="array" ref="R339" xml:space="preserve"> 1 + _xlfn.SINGLE(ROW()) - _xlfn.SINGLE(ROW(ExportSubstitutions_Within.RowNum))</f>
        <v>334</v>
      </c>
      <c r="S339" t="s">
        <v>1369</v>
      </c>
      <c r="T339" t="str">
        <f t="shared" si="12"/>
        <v>3t</v>
      </c>
    </row>
    <row r="340" spans="18:20">
      <c r="R340" cm="1">
        <f t="array" ref="R340" xml:space="preserve"> 1 + _xlfn.SINGLE(ROW()) - _xlfn.SINGLE(ROW(ExportSubstitutions_Within.RowNum))</f>
        <v>335</v>
      </c>
      <c r="S340" t="s">
        <v>1370</v>
      </c>
      <c r="T340" t="str">
        <f t="shared" si="12"/>
        <v>4t</v>
      </c>
    </row>
    <row r="341" spans="18:20">
      <c r="R341" cm="1">
        <f t="array" ref="R341" xml:space="preserve"> 1 + _xlfn.SINGLE(ROW()) - _xlfn.SINGLE(ROW(ExportSubstitutions_Within.RowNum))</f>
        <v>336</v>
      </c>
      <c r="S341" t="s">
        <v>1371</v>
      </c>
      <c r="T341" t="str">
        <f t="shared" si="12"/>
        <v>5t</v>
      </c>
    </row>
    <row r="342" spans="18:20">
      <c r="R342" cm="1">
        <f t="array" ref="R342" xml:space="preserve"> 1 + _xlfn.SINGLE(ROW()) - _xlfn.SINGLE(ROW(ExportSubstitutions_Within.RowNum))</f>
        <v>337</v>
      </c>
      <c r="S342" t="s">
        <v>1372</v>
      </c>
      <c r="T342" t="str">
        <f t="shared" si="12"/>
        <v>6t</v>
      </c>
    </row>
    <row r="343" spans="18:20">
      <c r="R343" cm="1">
        <f t="array" ref="R343" xml:space="preserve"> 1 + _xlfn.SINGLE(ROW()) - _xlfn.SINGLE(ROW(ExportSubstitutions_Within.RowNum))</f>
        <v>338</v>
      </c>
      <c r="S343" t="s">
        <v>1373</v>
      </c>
      <c r="T343" t="str">
        <f t="shared" si="12"/>
        <v>7t</v>
      </c>
    </row>
    <row r="344" spans="18:20">
      <c r="R344" cm="1">
        <f t="array" ref="R344" xml:space="preserve"> 1 + _xlfn.SINGLE(ROW()) - _xlfn.SINGLE(ROW(ExportSubstitutions_Within.RowNum))</f>
        <v>339</v>
      </c>
      <c r="S344" t="s">
        <v>1374</v>
      </c>
      <c r="T344" t="str">
        <f t="shared" si="12"/>
        <v>8t</v>
      </c>
    </row>
    <row r="345" spans="18:20">
      <c r="R345" cm="1">
        <f t="array" ref="R345" xml:space="preserve"> 1 + _xlfn.SINGLE(ROW()) - _xlfn.SINGLE(ROW(ExportSubstitutions_Within.RowNum))</f>
        <v>340</v>
      </c>
      <c r="S345" t="s">
        <v>1375</v>
      </c>
      <c r="T345" t="str">
        <f t="shared" si="12"/>
        <v>9t</v>
      </c>
    </row>
    <row r="346" spans="18:20">
      <c r="R346" cm="1">
        <f t="array" ref="R346" xml:space="preserve"> 1 + _xlfn.SINGLE(ROW()) - _xlfn.SINGLE(ROW(ExportSubstitutions_Within.RowNum))</f>
        <v>341</v>
      </c>
      <c r="S346" t="s">
        <v>1376</v>
      </c>
      <c r="T346" t="str">
        <f t="shared" si="12"/>
        <v>t0</v>
      </c>
    </row>
    <row r="347" spans="18:20">
      <c r="R347" cm="1">
        <f t="array" ref="R347" xml:space="preserve"> 1 + _xlfn.SINGLE(ROW()) - _xlfn.SINGLE(ROW(ExportSubstitutions_Within.RowNum))</f>
        <v>342</v>
      </c>
      <c r="S347" t="s">
        <v>1377</v>
      </c>
      <c r="T347" t="str">
        <f t="shared" si="12"/>
        <v>t1</v>
      </c>
    </row>
    <row r="348" spans="18:20">
      <c r="R348" cm="1">
        <f t="array" ref="R348" xml:space="preserve"> 1 + _xlfn.SINGLE(ROW()) - _xlfn.SINGLE(ROW(ExportSubstitutions_Within.RowNum))</f>
        <v>343</v>
      </c>
      <c r="S348" t="s">
        <v>1378</v>
      </c>
      <c r="T348" t="str">
        <f t="shared" si="12"/>
        <v>t2</v>
      </c>
    </row>
    <row r="349" spans="18:20">
      <c r="R349" cm="1">
        <f t="array" ref="R349" xml:space="preserve"> 1 + _xlfn.SINGLE(ROW()) - _xlfn.SINGLE(ROW(ExportSubstitutions_Within.RowNum))</f>
        <v>344</v>
      </c>
      <c r="S349" t="s">
        <v>1379</v>
      </c>
      <c r="T349" t="str">
        <f t="shared" si="12"/>
        <v>t3</v>
      </c>
    </row>
    <row r="350" spans="18:20">
      <c r="R350" cm="1">
        <f t="array" ref="R350" xml:space="preserve"> 1 + _xlfn.SINGLE(ROW()) - _xlfn.SINGLE(ROW(ExportSubstitutions_Within.RowNum))</f>
        <v>345</v>
      </c>
      <c r="S350" t="s">
        <v>1380</v>
      </c>
      <c r="T350" t="str">
        <f t="shared" si="12"/>
        <v>t4</v>
      </c>
    </row>
    <row r="351" spans="18:20">
      <c r="R351" cm="1">
        <f t="array" ref="R351" xml:space="preserve"> 1 + _xlfn.SINGLE(ROW()) - _xlfn.SINGLE(ROW(ExportSubstitutions_Within.RowNum))</f>
        <v>346</v>
      </c>
      <c r="S351" t="s">
        <v>1381</v>
      </c>
      <c r="T351" t="str">
        <f t="shared" si="12"/>
        <v>t5</v>
      </c>
    </row>
    <row r="352" spans="18:20">
      <c r="R352" cm="1">
        <f t="array" ref="R352" xml:space="preserve"> 1 + _xlfn.SINGLE(ROW()) - _xlfn.SINGLE(ROW(ExportSubstitutions_Within.RowNum))</f>
        <v>347</v>
      </c>
      <c r="S352" t="s">
        <v>1382</v>
      </c>
      <c r="T352" t="str">
        <f t="shared" si="12"/>
        <v>t6</v>
      </c>
    </row>
    <row r="353" spans="18:20">
      <c r="R353" cm="1">
        <f t="array" ref="R353" xml:space="preserve"> 1 + _xlfn.SINGLE(ROW()) - _xlfn.SINGLE(ROW(ExportSubstitutions_Within.RowNum))</f>
        <v>348</v>
      </c>
      <c r="S353" t="s">
        <v>1383</v>
      </c>
      <c r="T353" t="str">
        <f t="shared" si="12"/>
        <v>t7</v>
      </c>
    </row>
    <row r="354" spans="18:20">
      <c r="R354" cm="1">
        <f t="array" ref="R354" xml:space="preserve"> 1 + _xlfn.SINGLE(ROW()) - _xlfn.SINGLE(ROW(ExportSubstitutions_Within.RowNum))</f>
        <v>349</v>
      </c>
      <c r="S354" t="s">
        <v>1384</v>
      </c>
      <c r="T354" t="str">
        <f t="shared" si="12"/>
        <v>t8</v>
      </c>
    </row>
    <row r="355" spans="18:20">
      <c r="R355" cm="1">
        <f t="array" ref="R355" xml:space="preserve"> 1 + _xlfn.SINGLE(ROW()) - _xlfn.SINGLE(ROW(ExportSubstitutions_Within.RowNum))</f>
        <v>350</v>
      </c>
      <c r="S355" t="s">
        <v>1385</v>
      </c>
      <c r="T355" t="str">
        <f t="shared" si="12"/>
        <v>t9</v>
      </c>
    </row>
    <row r="356" spans="18:20">
      <c r="R356" cm="1">
        <f t="array" ref="R356" xml:space="preserve"> 1 + _xlfn.SINGLE(ROW()) - _xlfn.SINGLE(ROW(ExportSubstitutions_Within.RowNum))</f>
        <v>351</v>
      </c>
      <c r="S356" t="s">
        <v>1598</v>
      </c>
      <c r="T356" t="str">
        <f t="shared" si="12"/>
        <v>t.</v>
      </c>
    </row>
    <row r="357" spans="18:20">
      <c r="R357" cm="1">
        <f t="array" ref="R357" xml:space="preserve"> 1 + _xlfn.SINGLE(ROW()) - _xlfn.SINGLE(ROW(ExportSubstitutions_Within.RowNum))</f>
        <v>352</v>
      </c>
      <c r="S357" t="s">
        <v>1599</v>
      </c>
      <c r="T357" t="str">
        <f t="shared" si="12"/>
        <v>t-</v>
      </c>
    </row>
    <row r="358" spans="18:20">
      <c r="R358" cm="1">
        <f t="array" ref="R358" xml:space="preserve"> 1 + _xlfn.SINGLE(ROW()) - _xlfn.SINGLE(ROW(ExportSubstitutions_Within.RowNum))</f>
        <v>353</v>
      </c>
      <c r="S358" t="s">
        <v>1386</v>
      </c>
      <c r="T358" t="str">
        <f t="shared" si="12"/>
        <v>0V</v>
      </c>
    </row>
    <row r="359" spans="18:20">
      <c r="R359" cm="1">
        <f t="array" ref="R359" xml:space="preserve"> 1 + _xlfn.SINGLE(ROW()) - _xlfn.SINGLE(ROW(ExportSubstitutions_Within.RowNum))</f>
        <v>354</v>
      </c>
      <c r="S359" t="s">
        <v>1387</v>
      </c>
      <c r="T359" t="str">
        <f t="shared" si="12"/>
        <v>1V</v>
      </c>
    </row>
    <row r="360" spans="18:20">
      <c r="R360" cm="1">
        <f t="array" ref="R360" xml:space="preserve"> 1 + _xlfn.SINGLE(ROW()) - _xlfn.SINGLE(ROW(ExportSubstitutions_Within.RowNum))</f>
        <v>355</v>
      </c>
      <c r="S360" t="s">
        <v>1388</v>
      </c>
      <c r="T360" t="str">
        <f t="shared" si="12"/>
        <v>2V</v>
      </c>
    </row>
    <row r="361" spans="18:20">
      <c r="R361" cm="1">
        <f t="array" ref="R361" xml:space="preserve"> 1 + _xlfn.SINGLE(ROW()) - _xlfn.SINGLE(ROW(ExportSubstitutions_Within.RowNum))</f>
        <v>356</v>
      </c>
      <c r="S361" t="s">
        <v>1389</v>
      </c>
      <c r="T361" t="str">
        <f t="shared" si="12"/>
        <v>3V</v>
      </c>
    </row>
    <row r="362" spans="18:20">
      <c r="R362" cm="1">
        <f t="array" ref="R362" xml:space="preserve"> 1 + _xlfn.SINGLE(ROW()) - _xlfn.SINGLE(ROW(ExportSubstitutions_Within.RowNum))</f>
        <v>357</v>
      </c>
      <c r="S362" t="s">
        <v>1390</v>
      </c>
      <c r="T362" t="str">
        <f t="shared" si="12"/>
        <v>4V</v>
      </c>
    </row>
    <row r="363" spans="18:20">
      <c r="R363" cm="1">
        <f t="array" ref="R363" xml:space="preserve"> 1 + _xlfn.SINGLE(ROW()) - _xlfn.SINGLE(ROW(ExportSubstitutions_Within.RowNum))</f>
        <v>358</v>
      </c>
      <c r="S363" t="s">
        <v>1391</v>
      </c>
      <c r="T363" t="str">
        <f t="shared" si="12"/>
        <v>5V</v>
      </c>
    </row>
    <row r="364" spans="18:20">
      <c r="R364" cm="1">
        <f t="array" ref="R364" xml:space="preserve"> 1 + _xlfn.SINGLE(ROW()) - _xlfn.SINGLE(ROW(ExportSubstitutions_Within.RowNum))</f>
        <v>359</v>
      </c>
      <c r="S364" t="s">
        <v>1392</v>
      </c>
      <c r="T364" t="str">
        <f t="shared" si="12"/>
        <v>6V</v>
      </c>
    </row>
    <row r="365" spans="18:20">
      <c r="R365" cm="1">
        <f t="array" ref="R365" xml:space="preserve"> 1 + _xlfn.SINGLE(ROW()) - _xlfn.SINGLE(ROW(ExportSubstitutions_Within.RowNum))</f>
        <v>360</v>
      </c>
      <c r="S365" t="s">
        <v>1393</v>
      </c>
      <c r="T365" t="str">
        <f t="shared" si="12"/>
        <v>7V</v>
      </c>
    </row>
    <row r="366" spans="18:20">
      <c r="R366" cm="1">
        <f t="array" ref="R366" xml:space="preserve"> 1 + _xlfn.SINGLE(ROW()) - _xlfn.SINGLE(ROW(ExportSubstitutions_Within.RowNum))</f>
        <v>361</v>
      </c>
      <c r="S366" t="s">
        <v>1394</v>
      </c>
      <c r="T366" t="str">
        <f t="shared" si="12"/>
        <v>8V</v>
      </c>
    </row>
    <row r="367" spans="18:20">
      <c r="R367" cm="1">
        <f t="array" ref="R367" xml:space="preserve"> 1 + _xlfn.SINGLE(ROW()) - _xlfn.SINGLE(ROW(ExportSubstitutions_Within.RowNum))</f>
        <v>362</v>
      </c>
      <c r="S367" t="s">
        <v>1395</v>
      </c>
      <c r="T367" t="str">
        <f t="shared" si="12"/>
        <v>9V</v>
      </c>
    </row>
    <row r="368" spans="18:20">
      <c r="R368" cm="1">
        <f t="array" ref="R368" xml:space="preserve"> 1 + _xlfn.SINGLE(ROW()) - _xlfn.SINGLE(ROW(ExportSubstitutions_Within.RowNum))</f>
        <v>363</v>
      </c>
      <c r="S368" t="s">
        <v>1396</v>
      </c>
      <c r="T368" t="str">
        <f t="shared" si="12"/>
        <v>V0</v>
      </c>
    </row>
    <row r="369" spans="18:20">
      <c r="R369" cm="1">
        <f t="array" ref="R369" xml:space="preserve"> 1 + _xlfn.SINGLE(ROW()) - _xlfn.SINGLE(ROW(ExportSubstitutions_Within.RowNum))</f>
        <v>364</v>
      </c>
      <c r="S369" t="s">
        <v>1397</v>
      </c>
      <c r="T369" t="str">
        <f t="shared" si="12"/>
        <v>V1</v>
      </c>
    </row>
    <row r="370" spans="18:20">
      <c r="R370" cm="1">
        <f t="array" ref="R370" xml:space="preserve"> 1 + _xlfn.SINGLE(ROW()) - _xlfn.SINGLE(ROW(ExportSubstitutions_Within.RowNum))</f>
        <v>365</v>
      </c>
      <c r="S370" t="s">
        <v>1398</v>
      </c>
      <c r="T370" t="str">
        <f t="shared" si="12"/>
        <v>V2</v>
      </c>
    </row>
    <row r="371" spans="18:20">
      <c r="R371" cm="1">
        <f t="array" ref="R371" xml:space="preserve"> 1 + _xlfn.SINGLE(ROW()) - _xlfn.SINGLE(ROW(ExportSubstitutions_Within.RowNum))</f>
        <v>366</v>
      </c>
      <c r="S371" t="s">
        <v>1399</v>
      </c>
      <c r="T371" t="str">
        <f t="shared" si="12"/>
        <v>V3</v>
      </c>
    </row>
    <row r="372" spans="18:20">
      <c r="R372" cm="1">
        <f t="array" ref="R372" xml:space="preserve"> 1 + _xlfn.SINGLE(ROW()) - _xlfn.SINGLE(ROW(ExportSubstitutions_Within.RowNum))</f>
        <v>367</v>
      </c>
      <c r="S372" t="s">
        <v>1400</v>
      </c>
      <c r="T372" t="str">
        <f t="shared" si="12"/>
        <v>V4</v>
      </c>
    </row>
    <row r="373" spans="18:20">
      <c r="R373" cm="1">
        <f t="array" ref="R373" xml:space="preserve"> 1 + _xlfn.SINGLE(ROW()) - _xlfn.SINGLE(ROW(ExportSubstitutions_Within.RowNum))</f>
        <v>368</v>
      </c>
      <c r="S373" t="s">
        <v>1401</v>
      </c>
      <c r="T373" t="str">
        <f t="shared" si="12"/>
        <v>V5</v>
      </c>
    </row>
    <row r="374" spans="18:20">
      <c r="R374" cm="1">
        <f t="array" ref="R374" xml:space="preserve"> 1 + _xlfn.SINGLE(ROW()) - _xlfn.SINGLE(ROW(ExportSubstitutions_Within.RowNum))</f>
        <v>369</v>
      </c>
      <c r="S374" t="s">
        <v>1402</v>
      </c>
      <c r="T374" t="str">
        <f t="shared" si="12"/>
        <v>V6</v>
      </c>
    </row>
    <row r="375" spans="18:20">
      <c r="R375" cm="1">
        <f t="array" ref="R375" xml:space="preserve"> 1 + _xlfn.SINGLE(ROW()) - _xlfn.SINGLE(ROW(ExportSubstitutions_Within.RowNum))</f>
        <v>370</v>
      </c>
      <c r="S375" t="s">
        <v>1403</v>
      </c>
      <c r="T375" t="str">
        <f t="shared" si="12"/>
        <v>V7</v>
      </c>
    </row>
    <row r="376" spans="18:20">
      <c r="R376" cm="1">
        <f t="array" ref="R376" xml:space="preserve"> 1 + _xlfn.SINGLE(ROW()) - _xlfn.SINGLE(ROW(ExportSubstitutions_Within.RowNum))</f>
        <v>371</v>
      </c>
      <c r="S376" t="s">
        <v>1404</v>
      </c>
      <c r="T376" t="str">
        <f t="shared" si="12"/>
        <v>V8</v>
      </c>
    </row>
    <row r="377" spans="18:20">
      <c r="R377" cm="1">
        <f t="array" ref="R377" xml:space="preserve"> 1 + _xlfn.SINGLE(ROW()) - _xlfn.SINGLE(ROW(ExportSubstitutions_Within.RowNum))</f>
        <v>372</v>
      </c>
      <c r="S377" t="s">
        <v>1405</v>
      </c>
      <c r="T377" t="str">
        <f t="shared" si="12"/>
        <v>V9</v>
      </c>
    </row>
    <row r="378" spans="18:20">
      <c r="R378" cm="1">
        <f t="array" ref="R378" xml:space="preserve"> 1 + _xlfn.SINGLE(ROW()) - _xlfn.SINGLE(ROW(ExportSubstitutions_Within.RowNum))</f>
        <v>373</v>
      </c>
      <c r="S378" t="s">
        <v>1600</v>
      </c>
      <c r="T378" t="str">
        <f t="shared" si="12"/>
        <v>V.</v>
      </c>
    </row>
    <row r="379" spans="18:20">
      <c r="R379" cm="1">
        <f t="array" ref="R379" xml:space="preserve"> 1 + _xlfn.SINGLE(ROW()) - _xlfn.SINGLE(ROW(ExportSubstitutions_Within.RowNum))</f>
        <v>374</v>
      </c>
      <c r="S379" t="s">
        <v>1601</v>
      </c>
      <c r="T379" t="str">
        <f t="shared" si="12"/>
        <v>V-</v>
      </c>
    </row>
    <row r="380" spans="18:20">
      <c r="R380" cm="1">
        <f t="array" ref="R380" xml:space="preserve"> 1 + _xlfn.SINGLE(ROW()) - _xlfn.SINGLE(ROW(ExportSubstitutions_Within.RowNum))</f>
        <v>375</v>
      </c>
      <c r="S380" t="s">
        <v>1406</v>
      </c>
      <c r="T380" t="str">
        <f t="shared" si="12"/>
        <v>0v</v>
      </c>
    </row>
    <row r="381" spans="18:20">
      <c r="R381" cm="1">
        <f t="array" ref="R381" xml:space="preserve"> 1 + _xlfn.SINGLE(ROW()) - _xlfn.SINGLE(ROW(ExportSubstitutions_Within.RowNum))</f>
        <v>376</v>
      </c>
      <c r="S381" t="s">
        <v>1407</v>
      </c>
      <c r="T381" t="str">
        <f t="shared" si="12"/>
        <v>1v</v>
      </c>
    </row>
    <row r="382" spans="18:20">
      <c r="R382" cm="1">
        <f t="array" ref="R382" xml:space="preserve"> 1 + _xlfn.SINGLE(ROW()) - _xlfn.SINGLE(ROW(ExportSubstitutions_Within.RowNum))</f>
        <v>377</v>
      </c>
      <c r="S382" t="s">
        <v>1408</v>
      </c>
      <c r="T382" t="str">
        <f t="shared" si="12"/>
        <v>2v</v>
      </c>
    </row>
    <row r="383" spans="18:20">
      <c r="R383" cm="1">
        <f t="array" ref="R383" xml:space="preserve"> 1 + _xlfn.SINGLE(ROW()) - _xlfn.SINGLE(ROW(ExportSubstitutions_Within.RowNum))</f>
        <v>378</v>
      </c>
      <c r="S383" t="s">
        <v>1409</v>
      </c>
      <c r="T383" t="str">
        <f t="shared" si="12"/>
        <v>3v</v>
      </c>
    </row>
    <row r="384" spans="18:20">
      <c r="R384" cm="1">
        <f t="array" ref="R384" xml:space="preserve"> 1 + _xlfn.SINGLE(ROW()) - _xlfn.SINGLE(ROW(ExportSubstitutions_Within.RowNum))</f>
        <v>379</v>
      </c>
      <c r="S384" t="s">
        <v>1410</v>
      </c>
      <c r="T384" t="str">
        <f t="shared" si="12"/>
        <v>4v</v>
      </c>
    </row>
    <row r="385" spans="18:20">
      <c r="R385" cm="1">
        <f t="array" ref="R385" xml:space="preserve"> 1 + _xlfn.SINGLE(ROW()) - _xlfn.SINGLE(ROW(ExportSubstitutions_Within.RowNum))</f>
        <v>380</v>
      </c>
      <c r="S385" t="s">
        <v>1411</v>
      </c>
      <c r="T385" t="str">
        <f t="shared" si="12"/>
        <v>5v</v>
      </c>
    </row>
    <row r="386" spans="18:20">
      <c r="R386" cm="1">
        <f t="array" ref="R386" xml:space="preserve"> 1 + _xlfn.SINGLE(ROW()) - _xlfn.SINGLE(ROW(ExportSubstitutions_Within.RowNum))</f>
        <v>381</v>
      </c>
      <c r="S386" t="s">
        <v>1412</v>
      </c>
      <c r="T386" t="str">
        <f t="shared" si="12"/>
        <v>6v</v>
      </c>
    </row>
    <row r="387" spans="18:20">
      <c r="R387" cm="1">
        <f t="array" ref="R387" xml:space="preserve"> 1 + _xlfn.SINGLE(ROW()) - _xlfn.SINGLE(ROW(ExportSubstitutions_Within.RowNum))</f>
        <v>382</v>
      </c>
      <c r="S387" t="s">
        <v>1413</v>
      </c>
      <c r="T387" t="str">
        <f t="shared" si="12"/>
        <v>7v</v>
      </c>
    </row>
    <row r="388" spans="18:20">
      <c r="R388" cm="1">
        <f t="array" ref="R388" xml:space="preserve"> 1 + _xlfn.SINGLE(ROW()) - _xlfn.SINGLE(ROW(ExportSubstitutions_Within.RowNum))</f>
        <v>383</v>
      </c>
      <c r="S388" t="s">
        <v>1414</v>
      </c>
      <c r="T388" t="str">
        <f t="shared" si="12"/>
        <v>8v</v>
      </c>
    </row>
    <row r="389" spans="18:20">
      <c r="R389" cm="1">
        <f t="array" ref="R389" xml:space="preserve"> 1 + _xlfn.SINGLE(ROW()) - _xlfn.SINGLE(ROW(ExportSubstitutions_Within.RowNum))</f>
        <v>384</v>
      </c>
      <c r="S389" t="s">
        <v>1415</v>
      </c>
      <c r="T389" t="str">
        <f t="shared" si="12"/>
        <v>9v</v>
      </c>
    </row>
    <row r="390" spans="18:20">
      <c r="R390" cm="1">
        <f t="array" ref="R390" xml:space="preserve"> 1 + _xlfn.SINGLE(ROW()) - _xlfn.SINGLE(ROW(ExportSubstitutions_Within.RowNum))</f>
        <v>385</v>
      </c>
      <c r="S390" t="s">
        <v>1416</v>
      </c>
      <c r="T390" t="str">
        <f t="shared" ref="T390:T419" si="13" xml:space="preserve"> SUBSTITUTE(ExportSubstitutions_Within.From, " ", "")</f>
        <v>v0</v>
      </c>
    </row>
    <row r="391" spans="18:20">
      <c r="R391" cm="1">
        <f t="array" ref="R391" xml:space="preserve"> 1 + _xlfn.SINGLE(ROW()) - _xlfn.SINGLE(ROW(ExportSubstitutions_Within.RowNum))</f>
        <v>386</v>
      </c>
      <c r="S391" t="s">
        <v>1417</v>
      </c>
      <c r="T391" t="str">
        <f t="shared" si="13"/>
        <v>v1</v>
      </c>
    </row>
    <row r="392" spans="18:20">
      <c r="R392" cm="1">
        <f t="array" ref="R392" xml:space="preserve"> 1 + _xlfn.SINGLE(ROW()) - _xlfn.SINGLE(ROW(ExportSubstitutions_Within.RowNum))</f>
        <v>387</v>
      </c>
      <c r="S392" t="s">
        <v>1418</v>
      </c>
      <c r="T392" t="str">
        <f t="shared" si="13"/>
        <v>v2</v>
      </c>
    </row>
    <row r="393" spans="18:20">
      <c r="R393" cm="1">
        <f t="array" ref="R393" xml:space="preserve"> 1 + _xlfn.SINGLE(ROW()) - _xlfn.SINGLE(ROW(ExportSubstitutions_Within.RowNum))</f>
        <v>388</v>
      </c>
      <c r="S393" t="s">
        <v>1419</v>
      </c>
      <c r="T393" t="str">
        <f t="shared" si="13"/>
        <v>v3</v>
      </c>
    </row>
    <row r="394" spans="18:20">
      <c r="R394" cm="1">
        <f t="array" ref="R394" xml:space="preserve"> 1 + _xlfn.SINGLE(ROW()) - _xlfn.SINGLE(ROW(ExportSubstitutions_Within.RowNum))</f>
        <v>389</v>
      </c>
      <c r="S394" t="s">
        <v>1420</v>
      </c>
      <c r="T394" t="str">
        <f t="shared" si="13"/>
        <v>v4</v>
      </c>
    </row>
    <row r="395" spans="18:20">
      <c r="R395" cm="1">
        <f t="array" ref="R395" xml:space="preserve"> 1 + _xlfn.SINGLE(ROW()) - _xlfn.SINGLE(ROW(ExportSubstitutions_Within.RowNum))</f>
        <v>390</v>
      </c>
      <c r="S395" t="s">
        <v>1421</v>
      </c>
      <c r="T395" t="str">
        <f t="shared" si="13"/>
        <v>v5</v>
      </c>
    </row>
    <row r="396" spans="18:20">
      <c r="R396" cm="1">
        <f t="array" ref="R396" xml:space="preserve"> 1 + _xlfn.SINGLE(ROW()) - _xlfn.SINGLE(ROW(ExportSubstitutions_Within.RowNum))</f>
        <v>391</v>
      </c>
      <c r="S396" t="s">
        <v>1422</v>
      </c>
      <c r="T396" t="str">
        <f t="shared" si="13"/>
        <v>v6</v>
      </c>
    </row>
    <row r="397" spans="18:20">
      <c r="R397" cm="1">
        <f t="array" ref="R397" xml:space="preserve"> 1 + _xlfn.SINGLE(ROW()) - _xlfn.SINGLE(ROW(ExportSubstitutions_Within.RowNum))</f>
        <v>392</v>
      </c>
      <c r="S397" t="s">
        <v>1423</v>
      </c>
      <c r="T397" t="str">
        <f t="shared" si="13"/>
        <v>v7</v>
      </c>
    </row>
    <row r="398" spans="18:20">
      <c r="R398" cm="1">
        <f t="array" ref="R398" xml:space="preserve"> 1 + _xlfn.SINGLE(ROW()) - _xlfn.SINGLE(ROW(ExportSubstitutions_Within.RowNum))</f>
        <v>393</v>
      </c>
      <c r="S398" t="s">
        <v>1424</v>
      </c>
      <c r="T398" t="str">
        <f t="shared" si="13"/>
        <v>v8</v>
      </c>
    </row>
    <row r="399" spans="18:20">
      <c r="R399" cm="1">
        <f t="array" ref="R399" xml:space="preserve"> 1 + _xlfn.SINGLE(ROW()) - _xlfn.SINGLE(ROW(ExportSubstitutions_Within.RowNum))</f>
        <v>394</v>
      </c>
      <c r="S399" t="s">
        <v>1425</v>
      </c>
      <c r="T399" t="str">
        <f t="shared" si="13"/>
        <v>v9</v>
      </c>
    </row>
    <row r="400" spans="18:20">
      <c r="R400" cm="1">
        <f t="array" ref="R400" xml:space="preserve"> 1 + _xlfn.SINGLE(ROW()) - _xlfn.SINGLE(ROW(ExportSubstitutions_Within.RowNum))</f>
        <v>395</v>
      </c>
      <c r="S400" t="s">
        <v>1426</v>
      </c>
      <c r="T400" t="str">
        <f t="shared" si="13"/>
        <v>0Z</v>
      </c>
    </row>
    <row r="401" spans="18:20">
      <c r="R401" cm="1">
        <f t="array" ref="R401" xml:space="preserve"> 1 + _xlfn.SINGLE(ROW()) - _xlfn.SINGLE(ROW(ExportSubstitutions_Within.RowNum))</f>
        <v>396</v>
      </c>
      <c r="S401" t="s">
        <v>1427</v>
      </c>
      <c r="T401" t="str">
        <f t="shared" si="13"/>
        <v>1Z</v>
      </c>
    </row>
    <row r="402" spans="18:20">
      <c r="R402" cm="1">
        <f t="array" ref="R402" xml:space="preserve"> 1 + _xlfn.SINGLE(ROW()) - _xlfn.SINGLE(ROW(ExportSubstitutions_Within.RowNum))</f>
        <v>397</v>
      </c>
      <c r="S402" t="s">
        <v>1428</v>
      </c>
      <c r="T402" t="str">
        <f t="shared" si="13"/>
        <v>2Z</v>
      </c>
    </row>
    <row r="403" spans="18:20">
      <c r="R403" cm="1">
        <f t="array" ref="R403" xml:space="preserve"> 1 + _xlfn.SINGLE(ROW()) - _xlfn.SINGLE(ROW(ExportSubstitutions_Within.RowNum))</f>
        <v>398</v>
      </c>
      <c r="S403" t="s">
        <v>1429</v>
      </c>
      <c r="T403" t="str">
        <f t="shared" si="13"/>
        <v>3Z</v>
      </c>
    </row>
    <row r="404" spans="18:20">
      <c r="R404" cm="1">
        <f t="array" ref="R404" xml:space="preserve"> 1 + _xlfn.SINGLE(ROW()) - _xlfn.SINGLE(ROW(ExportSubstitutions_Within.RowNum))</f>
        <v>399</v>
      </c>
      <c r="S404" t="s">
        <v>1430</v>
      </c>
      <c r="T404" t="str">
        <f t="shared" si="13"/>
        <v>4Z</v>
      </c>
    </row>
    <row r="405" spans="18:20">
      <c r="R405" cm="1">
        <f t="array" ref="R405" xml:space="preserve"> 1 + _xlfn.SINGLE(ROW()) - _xlfn.SINGLE(ROW(ExportSubstitutions_Within.RowNum))</f>
        <v>400</v>
      </c>
      <c r="S405" t="s">
        <v>1431</v>
      </c>
      <c r="T405" t="str">
        <f t="shared" si="13"/>
        <v>5Z</v>
      </c>
    </row>
    <row r="406" spans="18:20">
      <c r="R406" cm="1">
        <f t="array" ref="R406" xml:space="preserve"> 1 + _xlfn.SINGLE(ROW()) - _xlfn.SINGLE(ROW(ExportSubstitutions_Within.RowNum))</f>
        <v>401</v>
      </c>
      <c r="S406" t="s">
        <v>1432</v>
      </c>
      <c r="T406" t="str">
        <f t="shared" si="13"/>
        <v>6Z</v>
      </c>
    </row>
    <row r="407" spans="18:20">
      <c r="R407" cm="1">
        <f t="array" ref="R407" xml:space="preserve"> 1 + _xlfn.SINGLE(ROW()) - _xlfn.SINGLE(ROW(ExportSubstitutions_Within.RowNum))</f>
        <v>402</v>
      </c>
      <c r="S407" t="s">
        <v>1433</v>
      </c>
      <c r="T407" t="str">
        <f t="shared" si="13"/>
        <v>7Z</v>
      </c>
    </row>
    <row r="408" spans="18:20">
      <c r="R408" cm="1">
        <f t="array" ref="R408" xml:space="preserve"> 1 + _xlfn.SINGLE(ROW()) - _xlfn.SINGLE(ROW(ExportSubstitutions_Within.RowNum))</f>
        <v>403</v>
      </c>
      <c r="S408" t="s">
        <v>1434</v>
      </c>
      <c r="T408" t="str">
        <f t="shared" si="13"/>
        <v>8Z</v>
      </c>
    </row>
    <row r="409" spans="18:20">
      <c r="R409" cm="1">
        <f t="array" ref="R409" xml:space="preserve"> 1 + _xlfn.SINGLE(ROW()) - _xlfn.SINGLE(ROW(ExportSubstitutions_Within.RowNum))</f>
        <v>404</v>
      </c>
      <c r="S409" t="s">
        <v>1435</v>
      </c>
      <c r="T409" t="str">
        <f t="shared" si="13"/>
        <v>9Z</v>
      </c>
    </row>
    <row r="410" spans="18:20">
      <c r="R410" cm="1">
        <f t="array" ref="R410" xml:space="preserve"> 1 + _xlfn.SINGLE(ROW()) - _xlfn.SINGLE(ROW(ExportSubstitutions_Within.RowNum))</f>
        <v>405</v>
      </c>
      <c r="S410" t="s">
        <v>1436</v>
      </c>
      <c r="T410" t="str">
        <f t="shared" si="13"/>
        <v>0z</v>
      </c>
    </row>
    <row r="411" spans="18:20">
      <c r="R411" cm="1">
        <f t="array" ref="R411" xml:space="preserve"> 1 + _xlfn.SINGLE(ROW()) - _xlfn.SINGLE(ROW(ExportSubstitutions_Within.RowNum))</f>
        <v>406</v>
      </c>
      <c r="S411" t="s">
        <v>1437</v>
      </c>
      <c r="T411" t="str">
        <f t="shared" si="13"/>
        <v>1z</v>
      </c>
    </row>
    <row r="412" spans="18:20">
      <c r="R412" cm="1">
        <f t="array" ref="R412" xml:space="preserve"> 1 + _xlfn.SINGLE(ROW()) - _xlfn.SINGLE(ROW(ExportSubstitutions_Within.RowNum))</f>
        <v>407</v>
      </c>
      <c r="S412" t="s">
        <v>1438</v>
      </c>
      <c r="T412" t="str">
        <f t="shared" si="13"/>
        <v>2z</v>
      </c>
    </row>
    <row r="413" spans="18:20">
      <c r="R413" cm="1">
        <f t="array" ref="R413" xml:space="preserve"> 1 + _xlfn.SINGLE(ROW()) - _xlfn.SINGLE(ROW(ExportSubstitutions_Within.RowNum))</f>
        <v>408</v>
      </c>
      <c r="S413" t="s">
        <v>1439</v>
      </c>
      <c r="T413" t="str">
        <f t="shared" si="13"/>
        <v>3z</v>
      </c>
    </row>
    <row r="414" spans="18:20">
      <c r="R414" cm="1">
        <f t="array" ref="R414" xml:space="preserve"> 1 + _xlfn.SINGLE(ROW()) - _xlfn.SINGLE(ROW(ExportSubstitutions_Within.RowNum))</f>
        <v>409</v>
      </c>
      <c r="S414" t="s">
        <v>1440</v>
      </c>
      <c r="T414" t="str">
        <f t="shared" si="13"/>
        <v>4z</v>
      </c>
    </row>
    <row r="415" spans="18:20">
      <c r="R415" cm="1">
        <f t="array" ref="R415" xml:space="preserve"> 1 + _xlfn.SINGLE(ROW()) - _xlfn.SINGLE(ROW(ExportSubstitutions_Within.RowNum))</f>
        <v>410</v>
      </c>
      <c r="S415" t="s">
        <v>1441</v>
      </c>
      <c r="T415" t="str">
        <f t="shared" si="13"/>
        <v>5z</v>
      </c>
    </row>
    <row r="416" spans="18:20">
      <c r="R416" cm="1">
        <f t="array" ref="R416" xml:space="preserve"> 1 + _xlfn.SINGLE(ROW()) - _xlfn.SINGLE(ROW(ExportSubstitutions_Within.RowNum))</f>
        <v>411</v>
      </c>
      <c r="S416" t="s">
        <v>1442</v>
      </c>
      <c r="T416" t="str">
        <f t="shared" si="13"/>
        <v>6z</v>
      </c>
    </row>
    <row r="417" spans="18:20">
      <c r="R417" cm="1">
        <f t="array" ref="R417" xml:space="preserve"> 1 + _xlfn.SINGLE(ROW()) - _xlfn.SINGLE(ROW(ExportSubstitutions_Within.RowNum))</f>
        <v>412</v>
      </c>
      <c r="S417" t="s">
        <v>1443</v>
      </c>
      <c r="T417" t="str">
        <f t="shared" si="13"/>
        <v>7z</v>
      </c>
    </row>
    <row r="418" spans="18:20">
      <c r="R418" cm="1">
        <f t="array" ref="R418" xml:space="preserve"> 1 + _xlfn.SINGLE(ROW()) - _xlfn.SINGLE(ROW(ExportSubstitutions_Within.RowNum))</f>
        <v>413</v>
      </c>
      <c r="S418" t="s">
        <v>1444</v>
      </c>
      <c r="T418" t="str">
        <f t="shared" si="13"/>
        <v>8z</v>
      </c>
    </row>
    <row r="419" spans="18:20">
      <c r="R419" cm="1">
        <f t="array" ref="R419" xml:space="preserve"> 1 + _xlfn.SINGLE(ROW()) - _xlfn.SINGLE(ROW(ExportSubstitutions_Within.RowNum))</f>
        <v>414</v>
      </c>
      <c r="S419" t="s">
        <v>1445</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2076</v>
      </c>
      <c r="T422" t="s">
        <v>2105</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2077</v>
      </c>
      <c r="T424" t="s">
        <v>2106</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2078</v>
      </c>
      <c r="T426" t="s">
        <v>2107</v>
      </c>
    </row>
    <row r="427" spans="18:20">
      <c r="R427" cm="1">
        <f t="array" ref="R427" xml:space="preserve"> 1 + _xlfn.SINGLE(ROW()) - _xlfn.SINGLE(ROW(ExportSubstitutions_Within.RowNum))</f>
        <v>422</v>
      </c>
      <c r="S427" t="s">
        <v>2079</v>
      </c>
      <c r="T427" t="s">
        <v>2108</v>
      </c>
    </row>
    <row r="428" spans="18:20">
      <c r="R428" cm="1">
        <f t="array" ref="R428" xml:space="preserve"> 1 + _xlfn.SINGLE(ROW()) - _xlfn.SINGLE(ROW(ExportSubstitutions_Within.RowNum))</f>
        <v>423</v>
      </c>
      <c r="S428" t="s">
        <v>2079</v>
      </c>
      <c r="T428" t="s">
        <v>2108</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2080</v>
      </c>
      <c r="T436" t="s">
        <v>2109</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2081</v>
      </c>
      <c r="T447" t="s">
        <v>2110</v>
      </c>
    </row>
    <row r="448" spans="18:20">
      <c r="R448" cm="1">
        <f t="array" ref="R448" xml:space="preserve"> 1 + _xlfn.SINGLE(ROW()) - _xlfn.SINGLE(ROW(ExportSubstitutions_Within.RowNum))</f>
        <v>443</v>
      </c>
      <c r="S448" t="s">
        <v>2082</v>
      </c>
      <c r="T448" t="s">
        <v>2094</v>
      </c>
    </row>
    <row r="449" spans="18:20">
      <c r="R449" cm="1">
        <f t="array" ref="R449" xml:space="preserve"> 1 + _xlfn.SINGLE(ROW()) - _xlfn.SINGLE(ROW(ExportSubstitutions_Within.RowNum))</f>
        <v>444</v>
      </c>
      <c r="S449" t="s">
        <v>2083</v>
      </c>
      <c r="T449" t="s">
        <v>2095</v>
      </c>
    </row>
    <row r="450" spans="18:20">
      <c r="R450" cm="1">
        <f t="array" ref="R450" xml:space="preserve"> 1 + _xlfn.SINGLE(ROW()) - _xlfn.SINGLE(ROW(ExportSubstitutions_Within.RowNum))</f>
        <v>445</v>
      </c>
      <c r="S450" t="s">
        <v>2084</v>
      </c>
      <c r="T450" t="s">
        <v>2096</v>
      </c>
    </row>
    <row r="451" spans="18:20">
      <c r="R451" cm="1">
        <f t="array" ref="R451" xml:space="preserve"> 1 + _xlfn.SINGLE(ROW()) - _xlfn.SINGLE(ROW(ExportSubstitutions_Within.RowNum))</f>
        <v>446</v>
      </c>
      <c r="S451" t="s">
        <v>2085</v>
      </c>
      <c r="T451" t="s">
        <v>2097</v>
      </c>
    </row>
    <row r="452" spans="18:20">
      <c r="R452" cm="1">
        <f t="array" ref="R452" xml:space="preserve"> 1 + _xlfn.SINGLE(ROW()) - _xlfn.SINGLE(ROW(ExportSubstitutions_Within.RowNum))</f>
        <v>447</v>
      </c>
      <c r="S452" t="s">
        <v>2086</v>
      </c>
      <c r="T452" t="s">
        <v>2098</v>
      </c>
    </row>
    <row r="453" spans="18:20">
      <c r="R453" cm="1">
        <f t="array" ref="R453" xml:space="preserve"> 1 + _xlfn.SINGLE(ROW()) - _xlfn.SINGLE(ROW(ExportSubstitutions_Within.RowNum))</f>
        <v>448</v>
      </c>
      <c r="S453" t="s">
        <v>2087</v>
      </c>
      <c r="T453" t="s">
        <v>2099</v>
      </c>
    </row>
    <row r="454" spans="18:20">
      <c r="R454" cm="1">
        <f t="array" ref="R454" xml:space="preserve"> 1 + _xlfn.SINGLE(ROW()) - _xlfn.SINGLE(ROW(ExportSubstitutions_Within.RowNum))</f>
        <v>449</v>
      </c>
      <c r="S454" t="s">
        <v>2088</v>
      </c>
      <c r="T454" t="s">
        <v>2100</v>
      </c>
    </row>
    <row r="455" spans="18:20">
      <c r="R455" cm="1">
        <f t="array" ref="R455" xml:space="preserve"> 1 + _xlfn.SINGLE(ROW()) - _xlfn.SINGLE(ROW(ExportSubstitutions_Within.RowNum))</f>
        <v>450</v>
      </c>
      <c r="S455" t="s">
        <v>2089</v>
      </c>
      <c r="T455" t="s">
        <v>2101</v>
      </c>
    </row>
    <row r="456" spans="18:20">
      <c r="R456" cm="1">
        <f t="array" ref="R456" xml:space="preserve"> 1 + _xlfn.SINGLE(ROW()) - _xlfn.SINGLE(ROW(ExportSubstitutions_Within.RowNum))</f>
        <v>451</v>
      </c>
      <c r="S456" t="s">
        <v>2090</v>
      </c>
      <c r="T456" t="s">
        <v>2102</v>
      </c>
    </row>
    <row r="457" spans="18:20">
      <c r="R457" cm="1">
        <f t="array" ref="R457" xml:space="preserve"> 1 + _xlfn.SINGLE(ROW()) - _xlfn.SINGLE(ROW(ExportSubstitutions_Within.RowNum))</f>
        <v>452</v>
      </c>
      <c r="S457" t="s">
        <v>2091</v>
      </c>
      <c r="T457" t="s">
        <v>2103</v>
      </c>
    </row>
    <row r="458" spans="18:20">
      <c r="R458" cm="1">
        <f t="array" ref="R458" xml:space="preserve"> 1 + _xlfn.SINGLE(ROW()) - _xlfn.SINGLE(ROW(ExportSubstitutions_Within.RowNum))</f>
        <v>453</v>
      </c>
      <c r="S458" t="s">
        <v>2092</v>
      </c>
      <c r="T458" t="s">
        <v>2104</v>
      </c>
    </row>
    <row r="459" spans="18:20">
      <c r="R459" cm="1">
        <f t="array" ref="R459" xml:space="preserve"> 1 + _xlfn.SINGLE(ROW()) - _xlfn.SINGLE(ROW(ExportSubstitutions_Within.RowNum))</f>
        <v>454</v>
      </c>
      <c r="S459" t="s">
        <v>2093</v>
      </c>
      <c r="T459" t="s">
        <v>2111</v>
      </c>
    </row>
  </sheetData>
  <sortState xmlns:xlrd2="http://schemas.microsoft.com/office/spreadsheetml/2017/richdata2" ref="L35:N73">
    <sortCondition ref="L35:L73"/>
  </sortState>
  <conditionalFormatting sqref="X1:AB1048576">
    <cfRule type="expression" dxfId="1" priority="1">
      <formula>(X1=FALSE)</formula>
    </cfRule>
    <cfRule type="expression" dxfId="0" priority="2">
      <formula>(X1=TRUE)</formula>
    </cfRule>
  </conditionalFormatting>
  <pageMargins left="0.7" right="0.7" top="0.75" bottom="0.75" header="0.3" footer="0.3"/>
  <pageSetup paperSize="9" orientation="portrait" horizontalDpi="0" verticalDpi="0"/>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1473</v>
      </c>
      <c r="G8" s="3" t="s">
        <v>1472</v>
      </c>
    </row>
    <row r="9" spans="1:9">
      <c r="B9" s="48">
        <f xml:space="preserve"> CHOOSE(3,      TAN(10*PI()/180),   TAN(15*PI()/180),   (30 - 7.5*SQRT(3))/15 )</f>
        <v>1.1339745962155614</v>
      </c>
      <c r="C9" s="5" t="s">
        <v>1471</v>
      </c>
      <c r="G9">
        <f xml:space="preserve"> _xlfn.MAXIFS(Rational.RowNum,   Rational.Num,"&lt;1E307",   Rational.Den,"&lt;1E307")</f>
        <v>14</v>
      </c>
    </row>
    <row r="11" spans="1:9" ht="17" thickBot="1">
      <c r="A11" s="3" t="s">
        <v>1470</v>
      </c>
      <c r="B11" s="3" t="s">
        <v>1469</v>
      </c>
      <c r="C11" s="3" t="s">
        <v>1468</v>
      </c>
      <c r="D11" s="3" t="s">
        <v>1467</v>
      </c>
      <c r="E11" s="3" t="s">
        <v>1466</v>
      </c>
      <c r="F11" s="3" t="s">
        <v>1465</v>
      </c>
      <c r="G11" s="3" t="s">
        <v>1464</v>
      </c>
      <c r="H11" s="3" t="s">
        <v>1463</v>
      </c>
      <c r="I11" s="3" t="s">
        <v>1462</v>
      </c>
    </row>
    <row r="12" spans="1:9">
      <c r="A12" s="47">
        <f xml:space="preserve"> _xlfn.SINGLE(Rational.c)</f>
        <v>1</v>
      </c>
      <c r="B12" s="47">
        <v>1</v>
      </c>
      <c r="C12">
        <f t="shared" ref="C12:C48" si="0" xml:space="preserve"> _xlfn.SINGLE(Rational.Num) / _xlfn.SINGLE(Rational.Den)</f>
        <v>1</v>
      </c>
      <c r="D12" s="45">
        <f t="shared" ref="D12:D48" si="1" xml:space="preserve"> _xlfn.SINGLE(Rational.Approximation) - Rational.TargetReal</f>
        <v>-0.1339745962155614</v>
      </c>
      <c r="E12" s="28"/>
      <c r="F12" t="str">
        <f t="shared" ref="F12:F48" si="2" xml:space="preserve"> SUBSTITUTE( TEXT( IFERROR(1/Rational.Error, #N/A), IF(ABS(Rational.Error)&lt;0.000000001,"0.00E+00",IF(ABS(Rational.Error)&lt;0.001,"#,##0","#,##0.000")) ), "-", _xlfn.UNICHAR(8722))</f>
        <v>−7.464</v>
      </c>
      <c r="G12" cm="1">
        <f t="array" ref="G12" xml:space="preserve"> 1 + ROW() - _xlfn.SINGLE(ROW(Rational.RowNum))</f>
        <v>1</v>
      </c>
      <c r="H12" s="28" cm="1">
        <f t="array" ref="H12" xml:space="preserve">  Rational.TargetReal</f>
        <v>1.1339745962155614</v>
      </c>
      <c r="I12">
        <f t="shared" ref="I12:I48" si="3" xml:space="preserve"> TRUNC(Rational.Scrap)</f>
        <v>1</v>
      </c>
    </row>
    <row r="13" spans="1:9">
      <c r="A13" s="46">
        <f xml:space="preserve"> 1 + _xlfn.SINGLE(Rational.c) * A12</f>
        <v>8</v>
      </c>
      <c r="B13" s="46">
        <f xml:space="preserve"> _xlfn.SINGLE(Rational.c)</f>
        <v>7</v>
      </c>
      <c r="C13">
        <f t="shared" si="0"/>
        <v>1.1428571428571428</v>
      </c>
      <c r="D13" s="45">
        <f t="shared" si="1"/>
        <v>8.8825466415813903E-3</v>
      </c>
      <c r="E13" s="44" cm="1">
        <f t="array" ref="E13" xml:space="preserve"> IFERROR(ABS(INDEX(Rational.Error, _xlfn.SINGLE(Rational.RowNum) - 1) / _xlfn.SINGLE(Rational.Error)), #N/A)</f>
        <v>15.08290376865496</v>
      </c>
      <c r="F13" t="str">
        <f t="shared" si="2"/>
        <v>112.580</v>
      </c>
      <c r="G13" cm="1">
        <f t="array" ref="G13" xml:space="preserve"> 1 + ROW() - _xlfn.SINGLE(ROW(Rational.RowNum))</f>
        <v>2</v>
      </c>
      <c r="H13">
        <f t="shared" ref="H13:H48" si="4" xml:space="preserve"> IF($H12 - $I12 = 0, #N/A, 1/($H12 - $I12))</f>
        <v>7.4641016151377517</v>
      </c>
      <c r="I13">
        <f t="shared" si="3"/>
        <v>7</v>
      </c>
    </row>
    <row r="14" spans="1:9">
      <c r="A14" s="37">
        <f t="shared" ref="A14:A48" si="5" xml:space="preserve"> IF(ISNA($F13), #N/A, _xlfn.SINGLE(Rational.c) * A13 + A12)</f>
        <v>17</v>
      </c>
      <c r="B14" s="37">
        <f t="shared" ref="B14:B48" si="6" xml:space="preserve"> IF( ISNA($F13), #N/A, _xlfn.SINGLE(Rational.c) * B13 + B12)</f>
        <v>15</v>
      </c>
      <c r="C14">
        <f t="shared" si="0"/>
        <v>1.1333333333333333</v>
      </c>
      <c r="D14" s="45">
        <f t="shared" si="1"/>
        <v>-6.4126288222809968E-4</v>
      </c>
      <c r="E14" s="44" cm="1">
        <f t="array" ref="E14" xml:space="preserve"> IFERROR(ABS(INDEX(Rational.Error, _xlfn.SINGLE(Rational.RowNum) - 1) / _xlfn.SINGLE(Rational.Error)), #N/A)</f>
        <v>13.851646318150431</v>
      </c>
      <c r="F14" t="str">
        <f t="shared" si="2"/>
        <v>−1,559</v>
      </c>
      <c r="G14" cm="1">
        <f t="array" ref="G14" xml:space="preserve"> 1 + ROW() - _xlfn.SINGLE(ROW(Rational.RowNum))</f>
        <v>3</v>
      </c>
      <c r="H14">
        <f t="shared" si="4"/>
        <v>2.1547005383792648</v>
      </c>
      <c r="I14">
        <f t="shared" si="3"/>
        <v>2</v>
      </c>
    </row>
    <row r="15" spans="1:9">
      <c r="A15" s="37">
        <f t="shared" si="5"/>
        <v>110</v>
      </c>
      <c r="B15" s="37">
        <f t="shared" si="6"/>
        <v>97</v>
      </c>
      <c r="C15">
        <f t="shared" si="0"/>
        <v>1.134020618556701</v>
      </c>
      <c r="D15" s="45">
        <f t="shared" si="1"/>
        <v>4.6022341139595468E-5</v>
      </c>
      <c r="E15" s="44" cm="1">
        <f t="array" ref="E15" xml:space="preserve"> IFERROR(ABS(INDEX(Rational.Error, _xlfn.SINGLE(Rational.RowNum) - 1) / _xlfn.SINGLE(Rational.Error)), #N/A)</f>
        <v>13.933730148212454</v>
      </c>
      <c r="F15" t="str">
        <f t="shared" si="2"/>
        <v>21,729</v>
      </c>
      <c r="G15" cm="1">
        <f t="array" ref="G15" xml:space="preserve"> 1 + ROW() - _xlfn.SINGLE(ROW(Rational.RowNum))</f>
        <v>4</v>
      </c>
      <c r="H15">
        <f t="shared" si="4"/>
        <v>6.4641016151372011</v>
      </c>
      <c r="I15">
        <f t="shared" si="3"/>
        <v>6</v>
      </c>
    </row>
    <row r="16" spans="1:9">
      <c r="A16" s="37">
        <f t="shared" si="5"/>
        <v>237</v>
      </c>
      <c r="B16" s="37">
        <f t="shared" si="6"/>
        <v>209</v>
      </c>
      <c r="C16">
        <f t="shared" si="0"/>
        <v>1.1339712918660287</v>
      </c>
      <c r="D16" s="45">
        <f t="shared" si="1"/>
        <v>-3.3043495326623429E-6</v>
      </c>
      <c r="E16" s="44" cm="1">
        <f t="array" ref="E16" xml:space="preserve"> IFERROR(ABS(INDEX(Rational.Error, _xlfn.SINGLE(Rational.RowNum) - 1) / _xlfn.SINGLE(Rational.Error)), #N/A)</f>
        <v>13.927806572725032</v>
      </c>
      <c r="F16" t="str">
        <f t="shared" si="2"/>
        <v>−302,631</v>
      </c>
      <c r="G16" cm="1">
        <f t="array" ref="G16" xml:space="preserve"> 1 + ROW() - _xlfn.SINGLE(ROW(Rational.RowNum))</f>
        <v>5</v>
      </c>
      <c r="H16">
        <f t="shared" si="4"/>
        <v>2.1547005383818214</v>
      </c>
      <c r="I16">
        <f t="shared" si="3"/>
        <v>2</v>
      </c>
    </row>
    <row r="17" spans="1:9">
      <c r="A17" s="37">
        <f t="shared" si="5"/>
        <v>1532</v>
      </c>
      <c r="B17" s="37">
        <f t="shared" si="6"/>
        <v>1351</v>
      </c>
      <c r="C17">
        <f t="shared" si="0"/>
        <v>1.1339748334566988</v>
      </c>
      <c r="D17" s="45">
        <f t="shared" si="1"/>
        <v>2.3724113740186681E-7</v>
      </c>
      <c r="E17" s="44" cm="1">
        <f t="array" ref="E17" xml:space="preserve"> IFERROR(ABS(INDEX(Rational.Error, _xlfn.SINGLE(Rational.RowNum) - 1) / _xlfn.SINGLE(Rational.Error)), #N/A)</f>
        <v>13.92823170909457</v>
      </c>
      <c r="F17" t="str">
        <f t="shared" si="2"/>
        <v>4,215,121</v>
      </c>
      <c r="G17" cm="1">
        <f t="array" ref="G17" xml:space="preserve"> 1 + ROW() - _xlfn.SINGLE(ROW(Rational.RowNum))</f>
        <v>6</v>
      </c>
      <c r="H17">
        <f t="shared" si="4"/>
        <v>6.4641016150303736</v>
      </c>
      <c r="I17">
        <f t="shared" si="3"/>
        <v>6</v>
      </c>
    </row>
    <row r="18" spans="1:9">
      <c r="A18" s="37">
        <f t="shared" si="5"/>
        <v>3301</v>
      </c>
      <c r="B18" s="37">
        <f t="shared" si="6"/>
        <v>2911</v>
      </c>
      <c r="C18">
        <f t="shared" si="0"/>
        <v>1.1339745791824116</v>
      </c>
      <c r="D18" s="45">
        <f t="shared" si="1"/>
        <v>-1.703314977952175E-8</v>
      </c>
      <c r="E18" s="44" cm="1">
        <f t="array" ref="E18" xml:space="preserve"> IFERROR(ABS(INDEX(Rational.Error, _xlfn.SINGLE(Rational.RowNum) - 1) / _xlfn.SINGLE(Rational.Error)), #N/A)</f>
        <v>13.928201211915132</v>
      </c>
      <c r="F18" t="str">
        <f t="shared" si="2"/>
        <v>−58,709,048</v>
      </c>
      <c r="G18" cm="1">
        <f t="array" ref="G18" xml:space="preserve"> 1 + ROW() - _xlfn.SINGLE(ROW(Rational.RowNum))</f>
        <v>7</v>
      </c>
      <c r="H18">
        <f t="shared" si="4"/>
        <v>2.1547005388777927</v>
      </c>
      <c r="I18">
        <f t="shared" si="3"/>
        <v>2</v>
      </c>
    </row>
    <row r="19" spans="1:9">
      <c r="A19" s="37">
        <f t="shared" si="5"/>
        <v>21338</v>
      </c>
      <c r="B19" s="37">
        <f t="shared" si="6"/>
        <v>18817</v>
      </c>
      <c r="C19">
        <f t="shared" si="0"/>
        <v>1.1339745974384865</v>
      </c>
      <c r="D19" s="45">
        <f t="shared" si="1"/>
        <v>1.2229250945239301E-9</v>
      </c>
      <c r="E19" s="44" cm="1">
        <f t="array" ref="E19" xml:space="preserve"> IFERROR(ABS(INDEX(Rational.Error, _xlfn.SINGLE(Rational.RowNum) - 1) / _xlfn.SINGLE(Rational.Error)), #N/A)</f>
        <v>13.928203661690784</v>
      </c>
      <c r="F19" t="str">
        <f t="shared" si="2"/>
        <v>817,711,571</v>
      </c>
      <c r="G19" cm="1">
        <f t="array" ref="G19" xml:space="preserve"> 1 + ROW() - _xlfn.SINGLE(ROW(Rational.RowNum))</f>
        <v>8</v>
      </c>
      <c r="H19">
        <f t="shared" si="4"/>
        <v>6.464101594306408</v>
      </c>
      <c r="I19">
        <f t="shared" si="3"/>
        <v>6</v>
      </c>
    </row>
    <row r="20" spans="1:9">
      <c r="A20" s="37">
        <f t="shared" si="5"/>
        <v>45977</v>
      </c>
      <c r="B20" s="37">
        <f t="shared" si="6"/>
        <v>40545</v>
      </c>
      <c r="C20">
        <f t="shared" si="0"/>
        <v>1.1339745961277592</v>
      </c>
      <c r="D20" s="45">
        <f t="shared" si="1"/>
        <v>-8.780220994708543E-11</v>
      </c>
      <c r="E20" s="44" cm="1">
        <f t="array" ref="E20" xml:space="preserve"> IFERROR(ABS(INDEX(Rational.Error, _xlfn.SINGLE(Rational.RowNum) - 1) / _xlfn.SINGLE(Rational.Error)), #N/A)</f>
        <v>13.928181252623753</v>
      </c>
      <c r="F20" t="str">
        <f t="shared" si="2"/>
        <v>−1.14E+10</v>
      </c>
      <c r="G20" cm="1">
        <f t="array" ref="G20" xml:space="preserve"> 1 + ROW() - _xlfn.SINGLE(ROW(Rational.RowNum))</f>
        <v>9</v>
      </c>
      <c r="H20">
        <f t="shared" si="4"/>
        <v>2.1547006350936657</v>
      </c>
      <c r="I20">
        <f t="shared" si="3"/>
        <v>2</v>
      </c>
    </row>
    <row r="21" spans="1:9">
      <c r="A21" s="37">
        <f t="shared" si="5"/>
        <v>297200</v>
      </c>
      <c r="B21" s="37">
        <f t="shared" si="6"/>
        <v>262087</v>
      </c>
      <c r="C21">
        <f t="shared" si="0"/>
        <v>1.1339745962218652</v>
      </c>
      <c r="D21" s="45">
        <f t="shared" si="1"/>
        <v>6.3038463338216388E-12</v>
      </c>
      <c r="E21" s="44" cm="1">
        <f t="array" ref="E21" xml:space="preserve"> IFERROR(ABS(INDEX(Rational.Error, _xlfn.SINGLE(Rational.RowNum) - 1) / _xlfn.SINGLE(Rational.Error)), #N/A)</f>
        <v>13.92835505459669</v>
      </c>
      <c r="F21" t="str">
        <f t="shared" si="2"/>
        <v>1.59E+11</v>
      </c>
      <c r="G21" cm="1">
        <f t="array" ref="G21" xml:space="preserve"> 1 + ROW() - _xlfn.SINGLE(ROW(Rational.RowNum))</f>
        <v>10</v>
      </c>
      <c r="H21">
        <f t="shared" si="4"/>
        <v>6.4640975739662325</v>
      </c>
      <c r="I21">
        <f t="shared" si="3"/>
        <v>6</v>
      </c>
    </row>
    <row r="22" spans="1:9">
      <c r="A22" s="37">
        <f t="shared" si="5"/>
        <v>640377</v>
      </c>
      <c r="B22" s="37">
        <f t="shared" si="6"/>
        <v>564719</v>
      </c>
      <c r="C22">
        <f t="shared" si="0"/>
        <v>1.1339745962151087</v>
      </c>
      <c r="D22" s="45">
        <f t="shared" si="1"/>
        <v>-4.5274894944213884E-13</v>
      </c>
      <c r="E22" s="44" cm="1">
        <f t="array" ref="E22" xml:space="preserve"> IFERROR(ABS(INDEX(Rational.Error, _xlfn.SINGLE(Rational.RowNum) - 1) / _xlfn.SINGLE(Rational.Error)), #N/A)</f>
        <v>13.92349190779794</v>
      </c>
      <c r="F22" t="str">
        <f t="shared" si="2"/>
        <v>−2.21E+12</v>
      </c>
      <c r="G22" cm="1">
        <f t="array" ref="G22" xml:space="preserve"> 1 + ROW() - _xlfn.SINGLE(ROW(Rational.RowNum))</f>
        <v>11</v>
      </c>
      <c r="H22">
        <f t="shared" si="4"/>
        <v>2.1547193006287069</v>
      </c>
      <c r="I22">
        <f t="shared" si="3"/>
        <v>2</v>
      </c>
    </row>
    <row r="23" spans="1:9">
      <c r="A23" s="37">
        <f t="shared" si="5"/>
        <v>4139462</v>
      </c>
      <c r="B23" s="37">
        <f t="shared" si="6"/>
        <v>3650401</v>
      </c>
      <c r="C23">
        <f t="shared" si="0"/>
        <v>1.1339745962155938</v>
      </c>
      <c r="D23" s="45">
        <f t="shared" si="1"/>
        <v>3.2418512319054571E-14</v>
      </c>
      <c r="E23" s="44" cm="1">
        <f t="array" ref="E23" xml:space="preserve"> IFERROR(ABS(INDEX(Rational.Error, _xlfn.SINGLE(Rational.RowNum) - 1) / _xlfn.SINGLE(Rational.Error)), #N/A)</f>
        <v>13.965753424657533</v>
      </c>
      <c r="F23" t="str">
        <f t="shared" si="2"/>
        <v>3.08E+13</v>
      </c>
      <c r="G23" cm="1">
        <f t="array" ref="G23" xml:space="preserve"> 1 + ROW() - _xlfn.SINGLE(ROW(Rational.RowNum))</f>
        <v>12</v>
      </c>
      <c r="H23">
        <f t="shared" si="4"/>
        <v>6.4633177369369417</v>
      </c>
      <c r="I23">
        <f t="shared" si="3"/>
        <v>6</v>
      </c>
    </row>
    <row r="24" spans="1:9">
      <c r="A24" s="37">
        <f t="shared" si="5"/>
        <v>8919301</v>
      </c>
      <c r="B24" s="37">
        <f t="shared" si="6"/>
        <v>7865521</v>
      </c>
      <c r="C24">
        <f t="shared" si="0"/>
        <v>1.133974596215559</v>
      </c>
      <c r="D24" s="45">
        <f t="shared" si="1"/>
        <v>-2.4424906541753444E-15</v>
      </c>
      <c r="E24" s="44" cm="1">
        <f t="array" ref="E24" xml:space="preserve"> IFERROR(ABS(INDEX(Rational.Error, _xlfn.SINGLE(Rational.RowNum) - 1) / _xlfn.SINGLE(Rational.Error)), #N/A)</f>
        <v>13.272727272727273</v>
      </c>
      <c r="F24" t="str">
        <f t="shared" si="2"/>
        <v>−4.09E+14</v>
      </c>
      <c r="G24" cm="1">
        <f t="array" ref="G24" xml:space="preserve"> 1 + ROW() - _xlfn.SINGLE(ROW(Rational.RowNum))</f>
        <v>13</v>
      </c>
      <c r="H24">
        <f t="shared" si="4"/>
        <v>2.1583460340006404</v>
      </c>
      <c r="I24">
        <f t="shared" si="3"/>
        <v>2</v>
      </c>
    </row>
    <row r="25" spans="1:9">
      <c r="A25" s="37">
        <f t="shared" si="5"/>
        <v>57655268</v>
      </c>
      <c r="B25" s="37">
        <f t="shared" si="6"/>
        <v>50843527</v>
      </c>
      <c r="C25">
        <f t="shared" si="0"/>
        <v>1.1339745962155616</v>
      </c>
      <c r="D25" s="45">
        <f t="shared" si="1"/>
        <v>0</v>
      </c>
      <c r="E25" s="44" t="e" cm="1">
        <f t="array" ref="E25" xml:space="preserve"> IFERROR(ABS(INDEX(Rational.Error, _xlfn.SINGLE(Rational.RowNum) - 1) / _xlfn.SINGLE(Rational.Error)), #N/A)</f>
        <v>#N/A</v>
      </c>
      <c r="F25" t="e">
        <f t="shared" si="2"/>
        <v>#N/A</v>
      </c>
      <c r="G25" cm="1">
        <f t="array" ref="G25" xml:space="preserve"> 1 + ROW() - _xlfn.SINGLE(ROW(Rational.RowNum))</f>
        <v>14</v>
      </c>
      <c r="H25">
        <f t="shared" si="4"/>
        <v>6.3152828949031692</v>
      </c>
      <c r="I25">
        <f t="shared" si="3"/>
        <v>6</v>
      </c>
    </row>
    <row r="26" spans="1:9">
      <c r="A26" s="37" t="e">
        <f t="shared" si="5"/>
        <v>#N/A</v>
      </c>
      <c r="B26" s="37" t="e">
        <f t="shared" si="6"/>
        <v>#N/A</v>
      </c>
      <c r="C26" t="e">
        <f t="shared" si="0"/>
        <v>#N/A</v>
      </c>
      <c r="D26" s="45" t="e">
        <f t="shared" si="1"/>
        <v>#N/A</v>
      </c>
      <c r="E26" s="44" t="e" cm="1">
        <f t="array" ref="E26" xml:space="preserve"> IFERROR(ABS(INDEX(Rational.Error, _xlfn.SINGLE(Rational.RowNum) - 1) / _xlfn.SINGLE(Rational.Error)), #N/A)</f>
        <v>#N/A</v>
      </c>
      <c r="F26" t="e">
        <f t="shared" si="2"/>
        <v>#N/A</v>
      </c>
      <c r="G26" cm="1">
        <f t="array" ref="G26" xml:space="preserve"> 1 + ROW() - _xlfn.SINGLE(ROW(Rational.RowNum))</f>
        <v>15</v>
      </c>
      <c r="H26">
        <f t="shared" si="4"/>
        <v>3.1717546881416565</v>
      </c>
      <c r="I26">
        <f t="shared" si="3"/>
        <v>3</v>
      </c>
    </row>
    <row r="27" spans="1:9">
      <c r="A27" s="37" t="e">
        <f t="shared" si="5"/>
        <v>#N/A</v>
      </c>
      <c r="B27" s="37" t="e">
        <f t="shared" si="6"/>
        <v>#N/A</v>
      </c>
      <c r="C27" t="e">
        <f t="shared" si="0"/>
        <v>#N/A</v>
      </c>
      <c r="D27" s="45" t="e">
        <f t="shared" si="1"/>
        <v>#N/A</v>
      </c>
      <c r="E27" s="44" t="e" cm="1">
        <f t="array" ref="E27" xml:space="preserve"> IFERROR(ABS(INDEX(Rational.Error, _xlfn.SINGLE(Rational.RowNum) - 1) / _xlfn.SINGLE(Rational.Error)), #N/A)</f>
        <v>#N/A</v>
      </c>
      <c r="F27" t="e">
        <f t="shared" si="2"/>
        <v>#N/A</v>
      </c>
      <c r="G27" cm="1">
        <f t="array" ref="G27" xml:space="preserve"> 1 + ROW() - _xlfn.SINGLE(ROW(Rational.RowNum))</f>
        <v>16</v>
      </c>
      <c r="H27">
        <f t="shared" si="4"/>
        <v>5.822257376609361</v>
      </c>
      <c r="I27">
        <f t="shared" si="3"/>
        <v>5</v>
      </c>
    </row>
    <row r="28" spans="1:9">
      <c r="A28" s="37" t="e">
        <f t="shared" si="5"/>
        <v>#N/A</v>
      </c>
      <c r="B28" s="37" t="e">
        <f t="shared" si="6"/>
        <v>#N/A</v>
      </c>
      <c r="C28" t="e">
        <f t="shared" si="0"/>
        <v>#N/A</v>
      </c>
      <c r="D28" s="45" t="e">
        <f t="shared" si="1"/>
        <v>#N/A</v>
      </c>
      <c r="E28" s="44" t="e" cm="1">
        <f t="array" ref="E28" xml:space="preserve"> IFERROR(ABS(INDEX(Rational.Error, _xlfn.SINGLE(Rational.RowNum) - 1) / _xlfn.SINGLE(Rational.Error)), #N/A)</f>
        <v>#N/A</v>
      </c>
      <c r="F28" t="e">
        <f t="shared" si="2"/>
        <v>#N/A</v>
      </c>
      <c r="G28" cm="1">
        <f t="array" ref="G28" xml:space="preserve"> 1 + ROW() - _xlfn.SINGLE(ROW(Rational.RowNum))</f>
        <v>17</v>
      </c>
      <c r="H28">
        <f t="shared" si="4"/>
        <v>1.2161642187067676</v>
      </c>
      <c r="I28">
        <f t="shared" si="3"/>
        <v>1</v>
      </c>
    </row>
    <row r="29" spans="1:9">
      <c r="A29" s="37" t="e">
        <f t="shared" si="5"/>
        <v>#N/A</v>
      </c>
      <c r="B29" s="37" t="e">
        <f t="shared" si="6"/>
        <v>#N/A</v>
      </c>
      <c r="C29" t="e">
        <f t="shared" si="0"/>
        <v>#N/A</v>
      </c>
      <c r="D29" s="45" t="e">
        <f t="shared" si="1"/>
        <v>#N/A</v>
      </c>
      <c r="E29" s="44" t="e" cm="1">
        <f t="array" ref="E29" xml:space="preserve"> IFERROR(ABS(INDEX(Rational.Error, _xlfn.SINGLE(Rational.RowNum) - 1) / _xlfn.SINGLE(Rational.Error)), #N/A)</f>
        <v>#N/A</v>
      </c>
      <c r="F29" t="e">
        <f t="shared" si="2"/>
        <v>#N/A</v>
      </c>
      <c r="G29" cm="1">
        <f t="array" ref="G29" xml:space="preserve"> 1 + ROW() - _xlfn.SINGLE(ROW(Rational.RowNum))</f>
        <v>18</v>
      </c>
      <c r="H29">
        <f t="shared" si="4"/>
        <v>4.6261125267754233</v>
      </c>
      <c r="I29">
        <f t="shared" si="3"/>
        <v>4</v>
      </c>
    </row>
    <row r="30" spans="1:9">
      <c r="A30" s="37" t="e">
        <f t="shared" si="5"/>
        <v>#N/A</v>
      </c>
      <c r="B30" s="37" t="e">
        <f t="shared" si="6"/>
        <v>#N/A</v>
      </c>
      <c r="C30" t="e">
        <f t="shared" si="0"/>
        <v>#N/A</v>
      </c>
      <c r="D30" s="45" t="e">
        <f t="shared" si="1"/>
        <v>#N/A</v>
      </c>
      <c r="E30" s="44" t="e" cm="1">
        <f t="array" ref="E30" xml:space="preserve"> IFERROR(ABS(INDEX(Rational.Error, _xlfn.SINGLE(Rational.RowNum) - 1) / _xlfn.SINGLE(Rational.Error)), #N/A)</f>
        <v>#N/A</v>
      </c>
      <c r="F30" t="e">
        <f t="shared" si="2"/>
        <v>#N/A</v>
      </c>
      <c r="G30" cm="1">
        <f t="array" ref="G30" xml:space="preserve"> 1 + ROW() - _xlfn.SINGLE(ROW(Rational.RowNum))</f>
        <v>19</v>
      </c>
      <c r="H30">
        <f t="shared" si="4"/>
        <v>1.59715699213072</v>
      </c>
      <c r="I30">
        <f t="shared" si="3"/>
        <v>1</v>
      </c>
    </row>
    <row r="31" spans="1:9">
      <c r="A31" s="37" t="e">
        <f t="shared" si="5"/>
        <v>#N/A</v>
      </c>
      <c r="B31" s="37" t="e">
        <f t="shared" si="6"/>
        <v>#N/A</v>
      </c>
      <c r="C31" t="e">
        <f t="shared" si="0"/>
        <v>#N/A</v>
      </c>
      <c r="D31" s="45" t="e">
        <f t="shared" si="1"/>
        <v>#N/A</v>
      </c>
      <c r="E31" s="44" t="e" cm="1">
        <f t="array" ref="E31" xml:space="preserve"> IFERROR(ABS(INDEX(Rational.Error, _xlfn.SINGLE(Rational.RowNum) - 1) / _xlfn.SINGLE(Rational.Error)), #N/A)</f>
        <v>#N/A</v>
      </c>
      <c r="F31" t="e">
        <f t="shared" si="2"/>
        <v>#N/A</v>
      </c>
      <c r="G31" cm="1">
        <f t="array" ref="G31" xml:space="preserve"> 1 + ROW() - _xlfn.SINGLE(ROW(Rational.RowNum))</f>
        <v>20</v>
      </c>
      <c r="H31">
        <f t="shared" si="4"/>
        <v>1.6746015087789443</v>
      </c>
      <c r="I31">
        <f t="shared" si="3"/>
        <v>1</v>
      </c>
    </row>
    <row r="32" spans="1:9">
      <c r="A32" s="37" t="e">
        <f t="shared" si="5"/>
        <v>#N/A</v>
      </c>
      <c r="B32" s="37" t="e">
        <f t="shared" si="6"/>
        <v>#N/A</v>
      </c>
      <c r="C32" t="e">
        <f t="shared" si="0"/>
        <v>#N/A</v>
      </c>
      <c r="D32" s="45" t="e">
        <f t="shared" si="1"/>
        <v>#N/A</v>
      </c>
      <c r="E32" s="44" t="e" cm="1">
        <f t="array" ref="E32" xml:space="preserve"> IFERROR(ABS(INDEX(Rational.Error, _xlfn.SINGLE(Rational.RowNum) - 1) / _xlfn.SINGLE(Rational.Error)), #N/A)</f>
        <v>#N/A</v>
      </c>
      <c r="F32" t="e">
        <f t="shared" si="2"/>
        <v>#N/A</v>
      </c>
      <c r="G32" cm="1">
        <f t="array" ref="G32" xml:space="preserve"> 1 + ROW() - _xlfn.SINGLE(ROW(Rational.RowNum))</f>
        <v>21</v>
      </c>
      <c r="H32">
        <f t="shared" si="4"/>
        <v>1.4823566016181018</v>
      </c>
      <c r="I32">
        <f t="shared" si="3"/>
        <v>1</v>
      </c>
    </row>
    <row r="33" spans="1:9">
      <c r="A33" s="37" t="e">
        <f t="shared" si="5"/>
        <v>#N/A</v>
      </c>
      <c r="B33" s="37" t="e">
        <f t="shared" si="6"/>
        <v>#N/A</v>
      </c>
      <c r="C33" t="e">
        <f t="shared" si="0"/>
        <v>#N/A</v>
      </c>
      <c r="D33" s="45" t="e">
        <f t="shared" si="1"/>
        <v>#N/A</v>
      </c>
      <c r="E33" s="44" t="e" cm="1">
        <f t="array" ref="E33" xml:space="preserve"> IFERROR(ABS(INDEX(Rational.Error, _xlfn.SINGLE(Rational.RowNum) - 1) / _xlfn.SINGLE(Rational.Error)), #N/A)</f>
        <v>#N/A</v>
      </c>
      <c r="F33" t="e">
        <f t="shared" si="2"/>
        <v>#N/A</v>
      </c>
      <c r="G33" cm="1">
        <f t="array" ref="G33" xml:space="preserve"> 1 + ROW() - _xlfn.SINGLE(ROW(Rational.RowNum))</f>
        <v>22</v>
      </c>
      <c r="H33">
        <f t="shared" si="4"/>
        <v>2.0731549991135689</v>
      </c>
      <c r="I33">
        <f t="shared" si="3"/>
        <v>2</v>
      </c>
    </row>
    <row r="34" spans="1:9">
      <c r="A34" s="37" t="e">
        <f t="shared" si="5"/>
        <v>#N/A</v>
      </c>
      <c r="B34" s="37" t="e">
        <f t="shared" si="6"/>
        <v>#N/A</v>
      </c>
      <c r="C34" t="e">
        <f t="shared" si="0"/>
        <v>#N/A</v>
      </c>
      <c r="D34" s="45" t="e">
        <f t="shared" si="1"/>
        <v>#N/A</v>
      </c>
      <c r="E34" s="44" t="e" cm="1">
        <f t="array" ref="E34" xml:space="preserve"> IFERROR(ABS(INDEX(Rational.Error, _xlfn.SINGLE(Rational.RowNum) - 1) / _xlfn.SINGLE(Rational.Error)), #N/A)</f>
        <v>#N/A</v>
      </c>
      <c r="F34" t="e">
        <f t="shared" si="2"/>
        <v>#N/A</v>
      </c>
      <c r="G34" cm="1">
        <f t="array" ref="G34" xml:space="preserve"> 1 + ROW() - _xlfn.SINGLE(ROW(Rational.RowNum))</f>
        <v>23</v>
      </c>
      <c r="H34">
        <f t="shared" si="4"/>
        <v>13.669605797514365</v>
      </c>
      <c r="I34">
        <f t="shared" si="3"/>
        <v>13</v>
      </c>
    </row>
    <row r="35" spans="1:9">
      <c r="A35" s="37" t="e">
        <f t="shared" si="5"/>
        <v>#N/A</v>
      </c>
      <c r="B35" s="37" t="e">
        <f t="shared" si="6"/>
        <v>#N/A</v>
      </c>
      <c r="C35" t="e">
        <f t="shared" si="0"/>
        <v>#N/A</v>
      </c>
      <c r="D35" s="45" t="e">
        <f t="shared" si="1"/>
        <v>#N/A</v>
      </c>
      <c r="E35" s="44" t="e" cm="1">
        <f t="array" ref="E35" xml:space="preserve"> IFERROR(ABS(INDEX(Rational.Error, _xlfn.SINGLE(Rational.RowNum) - 1) / _xlfn.SINGLE(Rational.Error)), #N/A)</f>
        <v>#N/A</v>
      </c>
      <c r="F35" t="e">
        <f t="shared" si="2"/>
        <v>#N/A</v>
      </c>
      <c r="G35" cm="1">
        <f t="array" ref="G35" xml:space="preserve"> 1 + ROW() - _xlfn.SINGLE(ROW(Rational.RowNum))</f>
        <v>24</v>
      </c>
      <c r="H35">
        <f t="shared" si="4"/>
        <v>1.4934159825259694</v>
      </c>
      <c r="I35">
        <f t="shared" si="3"/>
        <v>1</v>
      </c>
    </row>
    <row r="36" spans="1:9">
      <c r="A36" s="37" t="e">
        <f t="shared" si="5"/>
        <v>#N/A</v>
      </c>
      <c r="B36" s="37" t="e">
        <f t="shared" si="6"/>
        <v>#N/A</v>
      </c>
      <c r="C36" t="e">
        <f t="shared" si="0"/>
        <v>#N/A</v>
      </c>
      <c r="D36" s="45" t="e">
        <f t="shared" si="1"/>
        <v>#N/A</v>
      </c>
      <c r="E36" s="44" t="e" cm="1">
        <f t="array" ref="E36" xml:space="preserve"> IFERROR(ABS(INDEX(Rational.Error, _xlfn.SINGLE(Rational.RowNum) - 1) / _xlfn.SINGLE(Rational.Error)), #N/A)</f>
        <v>#N/A</v>
      </c>
      <c r="F36" t="e">
        <f t="shared" si="2"/>
        <v>#N/A</v>
      </c>
      <c r="G36" cm="1">
        <f t="array" ref="G36" xml:space="preserve"> 1 + ROW() - _xlfn.SINGLE(ROW(Rational.RowNum))</f>
        <v>25</v>
      </c>
      <c r="H36">
        <f t="shared" si="4"/>
        <v>2.0266874917197644</v>
      </c>
      <c r="I36">
        <f t="shared" si="3"/>
        <v>2</v>
      </c>
    </row>
    <row r="37" spans="1:9">
      <c r="A37" s="37" t="e">
        <f t="shared" si="5"/>
        <v>#N/A</v>
      </c>
      <c r="B37" s="37" t="e">
        <f t="shared" si="6"/>
        <v>#N/A</v>
      </c>
      <c r="C37" t="e">
        <f t="shared" si="0"/>
        <v>#N/A</v>
      </c>
      <c r="D37" s="45" t="e">
        <f t="shared" si="1"/>
        <v>#N/A</v>
      </c>
      <c r="E37" s="44" t="e" cm="1">
        <f t="array" ref="E37" xml:space="preserve"> IFERROR(ABS(INDEX(Rational.Error, _xlfn.SINGLE(Rational.RowNum) - 1) / _xlfn.SINGLE(Rational.Error)), #N/A)</f>
        <v>#N/A</v>
      </c>
      <c r="F37" t="e">
        <f t="shared" si="2"/>
        <v>#N/A</v>
      </c>
      <c r="G37" cm="1">
        <f t="array" ref="G37" xml:space="preserve"> 1 + ROW() - _xlfn.SINGLE(ROW(Rational.RowNum))</f>
        <v>26</v>
      </c>
      <c r="H37">
        <f t="shared" si="4"/>
        <v>37.470737621228544</v>
      </c>
      <c r="I37">
        <f t="shared" si="3"/>
        <v>37</v>
      </c>
    </row>
    <row r="38" spans="1:9">
      <c r="A38" s="37" t="e">
        <f t="shared" si="5"/>
        <v>#N/A</v>
      </c>
      <c r="B38" s="37" t="e">
        <f t="shared" si="6"/>
        <v>#N/A</v>
      </c>
      <c r="C38" t="e">
        <f t="shared" si="0"/>
        <v>#N/A</v>
      </c>
      <c r="D38" s="45" t="e">
        <f t="shared" si="1"/>
        <v>#N/A</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2.1243256432111219</v>
      </c>
      <c r="I38">
        <f t="shared" si="3"/>
        <v>2</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8.0433929330400744</v>
      </c>
      <c r="I39">
        <f t="shared" si="3"/>
        <v>8</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23.045227181957856</v>
      </c>
      <c r="I40">
        <f t="shared" si="3"/>
        <v>23</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22.110597138947067</v>
      </c>
      <c r="I41">
        <f t="shared" si="3"/>
        <v>22</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9.0418252182690431</v>
      </c>
      <c r="I42">
        <f t="shared" si="3"/>
        <v>9</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23.909020475815424</v>
      </c>
      <c r="I43">
        <f t="shared" si="3"/>
        <v>23</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1.1000852308667346</v>
      </c>
      <c r="I44">
        <f t="shared" si="3"/>
        <v>1</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9.9914841714410301</v>
      </c>
      <c r="I45">
        <f t="shared" si="3"/>
        <v>9</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1.0085889707614726</v>
      </c>
      <c r="I46">
        <f t="shared" si="3"/>
        <v>1</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116.42838563215109</v>
      </c>
      <c r="I47">
        <f t="shared" si="3"/>
        <v>116</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2.3343453303478241</v>
      </c>
      <c r="I48">
        <f t="shared" si="3"/>
        <v>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1387</vt:i4>
      </vt:variant>
    </vt:vector>
  </HeadingPairs>
  <TitlesOfParts>
    <vt:vector size="1450"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_NDB.TightHeight</vt:lpstr>
      <vt:lpstr>_NDB.TightWidth</vt:lpstr>
      <vt:lpstr>_NDB.TriangleEdge</vt:lpstr>
      <vt:lpstr>_NDB.viewBoxTight</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AED.TightHeight</vt:lpstr>
      <vt:lpstr>AED.TightWidth</vt:lpstr>
      <vt:lpstr>AED.viewBoxTight</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AUD.TightHeight</vt:lpstr>
      <vt:lpstr>AUD.TightWidth</vt:lpstr>
      <vt:lpstr>AUD.viewBoxTight</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CAD_2.TightHeight</vt:lpstr>
      <vt:lpstr>CAD_2.TightWidth</vt:lpstr>
      <vt:lpstr>CAD_2.viewBoxTight</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CAD.TightHeight</vt:lpstr>
      <vt:lpstr>CAD.TightWidth</vt:lpstr>
      <vt:lpstr>CAD.viewBoxTight</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EC.svg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ExportControl.Alternate_viewbox</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HKD.TightHeight</vt:lpstr>
      <vt:lpstr>HKD.TightWidth</vt:lpstr>
      <vt:lpstr>HKD.viewBoxTight</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IT.StrokeWidth</vt:lpstr>
      <vt:lpstr>IT.svg</vt:lpstr>
      <vt:lpstr>IT.SVG_painting</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JOD.TightHeight</vt:lpstr>
      <vt:lpstr>JOD.TightWidth</vt:lpstr>
      <vt:lpstr>JOD.viewBoxTight</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RUB.TightHeight</vt:lpstr>
      <vt:lpstr>RUB.TightWidth</vt:lpstr>
      <vt:lpstr>RUB.viewBoxTight</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Star_5_2.TightHeight</vt:lpstr>
      <vt:lpstr>Star_5_2.TightWidth</vt:lpstr>
      <vt:lpstr>Star_5_2.viewBoxTight</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VND.svg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ZAR.TightHeight</vt:lpstr>
      <vt:lpstr>ZAR.TightWidth</vt:lpstr>
      <vt:lpstr>ZAR.viewBoxTight</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2026-07-14T19:21:04Z</dcterms:modified>
</cp:coreProperties>
</file>