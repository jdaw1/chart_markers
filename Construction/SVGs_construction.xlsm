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ADA638DF-AE98-5B40-A718-3A30FA30794F}" xr6:coauthVersionLast="47" xr6:coauthVersionMax="47" xr10:uidLastSave="{00000000-0000-0000-0000-000000000000}"/>
  <bookViews>
    <workbookView xWindow="3640" yWindow="500" windowWidth="40200" windowHeight="28300" firstSheet="45" activeTab="59"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ChartLines!$J$3:$J$344</definedName>
    <definedName name="ChartLines.G">ChartLines!$I$3:$I$344</definedName>
    <definedName name="ChartLines.Hex6">ChartLines!$C$3:$C$344</definedName>
    <definedName name="ChartLines.ID">ChartLines!$B$3:$B$344</definedName>
    <definedName name="ChartLines.InstanceNum">ChartLines!$F$3:$F$344</definedName>
    <definedName name="ChartLines.NumInstances">ChartLines!$E$3:$E$344</definedName>
    <definedName name="ChartLines.R">ChartLines!$H$3:$H$344</definedName>
    <definedName name="ChartLines.RowNum">ChartLines!$K$3:$K$344</definedName>
    <definedName name="ChartLines.ThicknessText">ChartLines!$G$3:$G$344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Notes!$E$6:$E$172</definedName>
    <definedName name="Notes.ID">Notes!$B$6:$B$172</definedName>
    <definedName name="Notes.Mnemonic">Notes!$C$6:$C$172</definedName>
    <definedName name="Notes.Usage">Notes!$D$6:$D$172</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Star_5_2!$G$3:$CI$3</definedName>
    <definedName name="Star_5_2.AreaMultiplier_Default">Star_5_2!$D$3</definedName>
    <definedName name="Star_5_2.Aspect">Star_5_2!$G$67:$CI$67</definedName>
    <definedName name="Star_5_2.DecimalPlaces">Star_5_2!$G$13:$CI$13</definedName>
    <definedName name="Star_5_2.Height">Star_5_2!$G$68:$CI$68</definedName>
    <definedName name="Star_5_2.ID">Star_5_2!$G$2:$CI$2</definedName>
    <definedName name="Star_5_2.MaxX">Star_5_2!$G$62:$CI$62</definedName>
    <definedName name="Star_5_2.MaxY">Star_5_2!$G$63:$CI$63</definedName>
    <definedName name="Star_5_2.MinX">Star_5_2!$G$64:$CI$64</definedName>
    <definedName name="Star_5_2.MinY">Star_5_2!$G$65:$CI$65</definedName>
    <definedName name="Star_5_2.MultipleStars">Star_5_2!$G$12:$CI$12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Star_5_2!$G$4:$CI$4</definedName>
    <definedName name="Star_5_2.SizeInner">Star_5_2!$G$7:$CI$7</definedName>
    <definedName name="Star_5_2.SizeMiddle">Star_5_2!$G$6:$CI$6</definedName>
    <definedName name="Star_5_2.SizeOuter">Star_5_2!$G$5:$CI$5</definedName>
    <definedName name="Star_5_2.SizePath">Star_5_2!$G$8:$CI$8</definedName>
    <definedName name="Star_5_2.svg">Star_5_2!$G$73:$CI$84</definedName>
    <definedName name="Star_5_2.SVG_painting_Inner">Star_5_2!$G$11:$CI$11</definedName>
    <definedName name="Star_5_2.SVG_painting_Middle">Star_5_2!$G$10:$CI$10</definedName>
    <definedName name="Star_5_2.SVG_painting_Outer">Star_5_2!$G$9:$CI$9</definedName>
    <definedName name="Star_5_2.Width">Star_5_2!$G$69:$CI$69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5" i="5" l="1"/>
  <c r="L35" i="5"/>
  <c r="K35" i="5" a="1"/>
  <c r="K35" i="5" s="1"/>
  <c r="M34" i="5"/>
  <c r="L34" i="5"/>
  <c r="AC9" i="5"/>
  <c r="AC10" i="5"/>
  <c r="AC8" i="5"/>
  <c r="AC23" i="5"/>
  <c r="K344" i="63" l="1" a="1"/>
  <c r="K344" i="63" s="1"/>
  <c r="F344" i="63" s="1"/>
  <c r="J344" i="63"/>
  <c r="I344" i="63"/>
  <c r="H344" i="63"/>
  <c r="E344" i="63"/>
  <c r="C140" i="77"/>
  <c r="B140" i="77"/>
  <c r="C138" i="77"/>
  <c r="B138" i="77"/>
  <c r="C136" i="77"/>
  <c r="B136" i="77"/>
  <c r="C134" i="77"/>
  <c r="B134" i="77"/>
  <c r="C132" i="77"/>
  <c r="B132" i="77"/>
  <c r="C130" i="77"/>
  <c r="B130" i="77"/>
  <c r="C128" i="77"/>
  <c r="B128" i="77"/>
  <c r="C126" i="77"/>
  <c r="B126" i="77"/>
  <c r="C124" i="77"/>
  <c r="B124" i="77"/>
  <c r="C122" i="77"/>
  <c r="B122" i="77"/>
  <c r="C120" i="77"/>
  <c r="B120" i="77"/>
  <c r="C118" i="77"/>
  <c r="B118" i="77"/>
  <c r="G344" i="63" l="1" a="1"/>
  <c r="G344" i="63" s="1"/>
  <c r="W6" i="5" a="1"/>
  <c r="W6" i="5" s="1"/>
  <c r="C302" i="63" l="1"/>
  <c r="BP25" i="25" l="1"/>
  <c r="BP26" i="25"/>
  <c r="BP27" i="25"/>
  <c r="BP28" i="25"/>
  <c r="F3" i="76" l="1"/>
  <c r="C15" i="76"/>
  <c r="C16" i="76" s="1"/>
  <c r="C12" i="76"/>
  <c r="C10" i="76"/>
  <c r="C14" i="76" l="1"/>
  <c r="D15" i="76" s="1"/>
  <c r="F6" i="76"/>
  <c r="D9" i="76"/>
  <c r="D11" i="76"/>
  <c r="E169" i="63"/>
  <c r="K169" i="63" a="1"/>
  <c r="K169" i="63" s="1"/>
  <c r="C169" i="63"/>
  <c r="H169" i="63" s="1"/>
  <c r="E168" i="63"/>
  <c r="H168" i="63"/>
  <c r="I168" i="63"/>
  <c r="J168" i="63"/>
  <c r="K168" i="63" a="1"/>
  <c r="K168" i="63" s="1"/>
  <c r="BV29" i="25"/>
  <c r="BV28" i="25"/>
  <c r="BV27" i="25"/>
  <c r="BV26" i="25"/>
  <c r="BV25" i="25"/>
  <c r="BV24" i="25"/>
  <c r="BU29" i="25"/>
  <c r="BU28" i="25"/>
  <c r="BU27" i="25"/>
  <c r="BU26" i="25"/>
  <c r="BU25" i="25"/>
  <c r="BU24" i="25"/>
  <c r="E256" i="63"/>
  <c r="H256" i="63"/>
  <c r="I256" i="63"/>
  <c r="J256" i="63"/>
  <c r="K256" i="63" a="1"/>
  <c r="K256" i="63" s="1"/>
  <c r="E257" i="63"/>
  <c r="H257" i="63"/>
  <c r="I257" i="63"/>
  <c r="J257" i="63"/>
  <c r="K257" i="63" a="1"/>
  <c r="K257" i="63" s="1"/>
  <c r="AF37" i="14"/>
  <c r="AE34" i="14"/>
  <c r="AE33" i="14"/>
  <c r="AF32" i="14" a="1"/>
  <c r="AF32" i="14" s="1"/>
  <c r="AE32" i="14"/>
  <c r="AE31" i="14"/>
  <c r="AE30" i="14"/>
  <c r="AE29" i="14"/>
  <c r="AE28" i="14"/>
  <c r="AF4" i="14"/>
  <c r="F9" i="76" a="1"/>
  <c r="F257" i="63" l="1"/>
  <c r="G257" i="63" s="1" a="1"/>
  <c r="G257" i="63" s="1"/>
  <c r="F9" i="76"/>
  <c r="D16" i="76"/>
  <c r="F169" i="63"/>
  <c r="G169" i="63" s="1" a="1"/>
  <c r="G169" i="63" s="1"/>
  <c r="J169" i="63"/>
  <c r="I169" i="63"/>
  <c r="F168" i="63"/>
  <c r="G168" i="63" s="1" a="1"/>
  <c r="G168" i="63" s="1"/>
  <c r="F256" i="63"/>
  <c r="G256" i="63" s="1" a="1"/>
  <c r="G256" i="63" s="1"/>
  <c r="E185" i="63"/>
  <c r="H185" i="63"/>
  <c r="I185" i="63"/>
  <c r="J185" i="63"/>
  <c r="K185" i="63" a="1"/>
  <c r="K185" i="63" s="1"/>
  <c r="E186" i="63"/>
  <c r="H186" i="63"/>
  <c r="I186" i="63"/>
  <c r="J186" i="63"/>
  <c r="K186" i="63" a="1"/>
  <c r="K186" i="63" s="1"/>
  <c r="E187" i="63"/>
  <c r="H187" i="63"/>
  <c r="I187" i="63"/>
  <c r="J187" i="63"/>
  <c r="K187" i="63" a="1"/>
  <c r="K187" i="63" s="1"/>
  <c r="E188" i="63"/>
  <c r="H188" i="63"/>
  <c r="I188" i="63"/>
  <c r="J188" i="63"/>
  <c r="K188" i="63" a="1"/>
  <c r="K188" i="63" s="1"/>
  <c r="E204" i="63"/>
  <c r="H204" i="63"/>
  <c r="I204" i="63"/>
  <c r="J204" i="63"/>
  <c r="K204" i="63" a="1"/>
  <c r="K204" i="63" s="1"/>
  <c r="F204" i="63" s="1"/>
  <c r="K282" i="63" a="1"/>
  <c r="K282" i="63" s="1"/>
  <c r="J282" i="63"/>
  <c r="I282" i="63"/>
  <c r="H282" i="63"/>
  <c r="E282" i="63"/>
  <c r="K281" i="63" a="1"/>
  <c r="K281" i="63" s="1"/>
  <c r="J281" i="63"/>
  <c r="I281" i="63"/>
  <c r="H281" i="63"/>
  <c r="E281" i="63"/>
  <c r="K165" i="63" a="1"/>
  <c r="K165" i="63" s="1"/>
  <c r="J165" i="63"/>
  <c r="I165" i="63"/>
  <c r="H165" i="63"/>
  <c r="E165" i="63"/>
  <c r="K164" i="63" a="1"/>
  <c r="K164" i="63" s="1"/>
  <c r="J164" i="63"/>
  <c r="I164" i="63"/>
  <c r="H164" i="63"/>
  <c r="E164" i="63"/>
  <c r="K147" i="63" a="1"/>
  <c r="K147" i="63" s="1"/>
  <c r="J147" i="63"/>
  <c r="I147" i="63"/>
  <c r="H147" i="63"/>
  <c r="E147" i="63"/>
  <c r="K146" i="63" a="1"/>
  <c r="K146" i="63" s="1"/>
  <c r="J146" i="63"/>
  <c r="I146" i="63"/>
  <c r="H146" i="63"/>
  <c r="E146" i="63"/>
  <c r="K288" i="63" a="1"/>
  <c r="K288" i="63" s="1"/>
  <c r="J288" i="63"/>
  <c r="I288" i="63"/>
  <c r="H288" i="63"/>
  <c r="E288" i="63"/>
  <c r="K287" i="63" a="1"/>
  <c r="K287" i="63" s="1"/>
  <c r="E287" i="63"/>
  <c r="C287" i="63"/>
  <c r="J287" i="63" s="1"/>
  <c r="K163" i="63" a="1"/>
  <c r="K163" i="63" s="1"/>
  <c r="J163" i="63"/>
  <c r="I163" i="63"/>
  <c r="H163" i="63"/>
  <c r="E163" i="63"/>
  <c r="K162" i="63" a="1"/>
  <c r="K162" i="63" s="1"/>
  <c r="J162" i="63"/>
  <c r="I162" i="63"/>
  <c r="H162" i="63"/>
  <c r="E162" i="63"/>
  <c r="K210" i="63" a="1"/>
  <c r="K210" i="63" s="1"/>
  <c r="E210" i="63"/>
  <c r="K209" i="63" a="1"/>
  <c r="K209" i="63" s="1"/>
  <c r="J209" i="63"/>
  <c r="I209" i="63"/>
  <c r="H209" i="63"/>
  <c r="E209" i="63"/>
  <c r="E208" i="63"/>
  <c r="K208" i="63" a="1"/>
  <c r="K208" i="63" s="1"/>
  <c r="C210" i="63"/>
  <c r="J210" i="63" s="1"/>
  <c r="K290" i="63" a="1"/>
  <c r="K290" i="63" s="1"/>
  <c r="J290" i="63"/>
  <c r="I290" i="63"/>
  <c r="H290" i="63"/>
  <c r="E290" i="63"/>
  <c r="K289" i="63" a="1"/>
  <c r="K289" i="63" s="1"/>
  <c r="J289" i="63"/>
  <c r="I289" i="63"/>
  <c r="H289" i="63"/>
  <c r="E289" i="63"/>
  <c r="F41" i="73"/>
  <c r="AC6" i="5"/>
  <c r="F14" i="76" a="1"/>
  <c r="G204" i="63" l="1" a="1"/>
  <c r="G204" i="63" s="1"/>
  <c r="F14" i="76"/>
  <c r="C18" i="76" a="1"/>
  <c r="F188" i="63"/>
  <c r="G188" i="63" s="1" a="1"/>
  <c r="G188" i="63" s="1"/>
  <c r="F186" i="63"/>
  <c r="G186" i="63" s="1" a="1"/>
  <c r="G186" i="63" s="1"/>
  <c r="F185" i="63"/>
  <c r="G185" i="63" s="1" a="1"/>
  <c r="G185" i="63" s="1"/>
  <c r="F187" i="63"/>
  <c r="G187" i="63" s="1" a="1"/>
  <c r="G187" i="63" s="1"/>
  <c r="F281" i="63"/>
  <c r="G281" i="63" s="1" a="1"/>
  <c r="G281" i="63" s="1"/>
  <c r="F282" i="63"/>
  <c r="G282" i="63" s="1" a="1"/>
  <c r="G282" i="63" s="1"/>
  <c r="F162" i="63"/>
  <c r="G162" i="63" s="1" a="1"/>
  <c r="G162" i="63" s="1"/>
  <c r="F287" i="63"/>
  <c r="G287" i="63" s="1" a="1"/>
  <c r="G287" i="63" s="1"/>
  <c r="F164" i="63"/>
  <c r="G164" i="63" s="1" a="1"/>
  <c r="G164" i="63" s="1"/>
  <c r="F146" i="63"/>
  <c r="G146" i="63" s="1" a="1"/>
  <c r="G146" i="63" s="1"/>
  <c r="F165" i="63"/>
  <c r="G165" i="63" s="1" a="1"/>
  <c r="G165" i="63" s="1"/>
  <c r="F147" i="63"/>
  <c r="G147" i="63" s="1" a="1"/>
  <c r="G147" i="63" s="1"/>
  <c r="F209" i="63"/>
  <c r="G209" i="63" s="1" a="1"/>
  <c r="G209" i="63" s="1"/>
  <c r="F288" i="63"/>
  <c r="G288" i="63" s="1" a="1"/>
  <c r="G288" i="63" s="1"/>
  <c r="H287" i="63"/>
  <c r="I287" i="63"/>
  <c r="F163" i="63"/>
  <c r="G163" i="63" s="1" a="1"/>
  <c r="G163" i="63" s="1"/>
  <c r="F210" i="63"/>
  <c r="G210" i="63" s="1" a="1"/>
  <c r="G210" i="63" s="1"/>
  <c r="H210" i="63"/>
  <c r="I210" i="63"/>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19" i="75" s="1"/>
  <c r="D20" i="75" s="1"/>
  <c r="D21" i="75" s="1"/>
  <c r="F31" i="76" l="1" a="1"/>
  <c r="F31" i="76" s="1"/>
  <c r="F39" i="76" a="1"/>
  <c r="F39" i="76" s="1"/>
  <c r="F38" i="76" a="1"/>
  <c r="F38" i="76" s="1"/>
  <c r="C19" i="75"/>
  <c r="C21" i="75" s="1"/>
  <c r="C22" i="75"/>
  <c r="C18" i="75"/>
  <c r="C20" i="75" s="1"/>
  <c r="D22" i="75"/>
  <c r="D24" i="75"/>
  <c r="C25" i="75"/>
  <c r="C24" i="75"/>
  <c r="D10" i="75" l="1"/>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B38" i="72"/>
  <c r="B37" i="72"/>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D64" i="61"/>
  <c r="CD63" i="61"/>
  <c r="CD65" i="61" s="1"/>
  <c r="CB7" i="61"/>
  <c r="CB8" i="61" s="1"/>
  <c r="CC12" i="61"/>
  <c r="CD12" i="61" s="1"/>
  <c r="CC6" i="61"/>
  <c r="CD6" i="61" s="1"/>
  <c r="CC5" i="61"/>
  <c r="CD5" i="61" s="1"/>
  <c r="CB4" i="61"/>
  <c r="CC4" i="61" s="1"/>
  <c r="CD4" i="61" s="1"/>
  <c r="CC2" i="61"/>
  <c r="CD2" i="61" s="1"/>
  <c r="BY12" i="61"/>
  <c r="BZ12" i="61" s="1"/>
  <c r="BX7" i="61"/>
  <c r="BY7" i="61" s="1"/>
  <c r="BZ7" i="61" s="1"/>
  <c r="BX4" i="61"/>
  <c r="BY4" i="61" s="1"/>
  <c r="BZ4" i="61" s="1"/>
  <c r="BY2" i="61"/>
  <c r="BZ2" i="61" s="1"/>
  <c r="V31" i="14" a="1"/>
  <c r="J31" i="14" a="1"/>
  <c r="F49" i="75" a="1"/>
  <c r="CC7" i="61" l="1"/>
  <c r="CD7" i="61" s="1"/>
  <c r="BT17" i="25"/>
  <c r="BT26" i="25"/>
  <c r="B39" i="72"/>
  <c r="BT27" i="25"/>
  <c r="D27" i="75"/>
  <c r="D26" i="75"/>
  <c r="F49" i="75"/>
  <c r="D28" i="75"/>
  <c r="C27" i="75"/>
  <c r="V31" i="14"/>
  <c r="J31" i="14"/>
  <c r="C6" i="73" a="1"/>
  <c r="C6" i="73" s="1"/>
  <c r="D6" i="73" a="1"/>
  <c r="D6" i="73" s="1"/>
  <c r="C24" i="72"/>
  <c r="C19" i="72"/>
  <c r="C16" i="72"/>
  <c r="C11" i="72"/>
  <c r="B9" i="72"/>
  <c r="C21" i="72"/>
  <c r="B15" i="72"/>
  <c r="B23" i="72"/>
  <c r="C13" i="72"/>
  <c r="B20" i="72"/>
  <c r="B17" i="72"/>
  <c r="B12" i="72"/>
  <c r="CB13" i="61"/>
  <c r="CC13" i="61" s="1"/>
  <c r="CD13" i="61" s="1"/>
  <c r="CD8" i="61"/>
  <c r="CD78" i="61" s="1"/>
  <c r="CC8" i="61"/>
  <c r="BZ82" i="61" a="1"/>
  <c r="BZ82" i="61" s="1"/>
  <c r="AB30" i="8"/>
  <c r="E31" i="72" l="1"/>
  <c r="CD75" i="61"/>
  <c r="CD74" i="61"/>
  <c r="C28" i="75"/>
  <c r="D29" i="75"/>
  <c r="E30" i="72"/>
  <c r="E28" i="72"/>
  <c r="E29" i="72"/>
  <c r="CD77" i="61"/>
  <c r="CD79" i="61"/>
  <c r="C8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D76" i="61" a="1"/>
  <c r="CD76" i="61" s="1"/>
  <c r="CD67" i="61"/>
  <c r="X14" i="8"/>
  <c r="BB28" i="25"/>
  <c r="BB27" i="25"/>
  <c r="BB26" i="25"/>
  <c r="BB25" i="25"/>
  <c r="BB45" i="25"/>
  <c r="BB44" i="25" s="1"/>
  <c r="BB39" i="25"/>
  <c r="BB38" i="25" s="1"/>
  <c r="E45" i="72" l="1"/>
  <c r="C31" i="75"/>
  <c r="BB37" i="25"/>
  <c r="BB43" i="25"/>
  <c r="C215" i="63"/>
  <c r="H215" i="63" s="1"/>
  <c r="C216" i="63"/>
  <c r="I216" i="63" s="1"/>
  <c r="K216" i="63" a="1"/>
  <c r="K216" i="63" s="1"/>
  <c r="E216" i="63"/>
  <c r="K215" i="63" a="1"/>
  <c r="K215" i="63" s="1"/>
  <c r="E215" i="63"/>
  <c r="BB12" i="25"/>
  <c r="BB14" i="25" s="1"/>
  <c r="BB32" i="25"/>
  <c r="BC29" i="25"/>
  <c r="BC28" i="25"/>
  <c r="BC27" i="25"/>
  <c r="BC26" i="25"/>
  <c r="BC25" i="25"/>
  <c r="BC24" i="25"/>
  <c r="I215" i="63" l="1"/>
  <c r="J215" i="63"/>
  <c r="J216" i="63"/>
  <c r="H216" i="63"/>
  <c r="BC37" i="25"/>
  <c r="BC40" i="25"/>
  <c r="BC38" i="25"/>
  <c r="BC39" i="25"/>
  <c r="BC46" i="25"/>
  <c r="BC45" i="25"/>
  <c r="BC44" i="25"/>
  <c r="BC43" i="25"/>
  <c r="BB13" i="25"/>
  <c r="R26" i="25"/>
  <c r="R25" i="25"/>
  <c r="K34" i="5" l="1" a="1"/>
  <c r="K34" i="5" s="1"/>
  <c r="K36" i="5" a="1"/>
  <c r="K36" i="5" s="1"/>
  <c r="E170" i="63" l="1"/>
  <c r="K170" i="63" a="1"/>
  <c r="K170" i="63" s="1"/>
  <c r="E171" i="63"/>
  <c r="H171" i="63"/>
  <c r="I171" i="63"/>
  <c r="J171" i="63"/>
  <c r="K171" i="63" a="1"/>
  <c r="K171" i="63" s="1"/>
  <c r="F171" i="63" s="1"/>
  <c r="C170" i="63"/>
  <c r="H170" i="63" s="1"/>
  <c r="F170" i="63" l="1"/>
  <c r="G170" i="63" s="1" a="1"/>
  <c r="G170" i="63" s="1"/>
  <c r="J170" i="63"/>
  <c r="I170" i="63"/>
  <c r="G171" i="63" a="1"/>
  <c r="G171" i="63" s="1"/>
  <c r="C77" i="63"/>
  <c r="F38" i="69" a="1"/>
  <c r="F3" i="75" l="1"/>
  <c r="F38" i="69"/>
  <c r="C28" i="63"/>
  <c r="I28" i="63" s="1"/>
  <c r="K28" i="63" a="1"/>
  <c r="K28" i="63" s="1"/>
  <c r="E28" i="63"/>
  <c r="K27" i="63" a="1"/>
  <c r="K27" i="63" s="1"/>
  <c r="J27" i="63"/>
  <c r="I27" i="63"/>
  <c r="H27" i="63"/>
  <c r="E27" i="63"/>
  <c r="K24" i="63" a="1"/>
  <c r="K24" i="63" s="1"/>
  <c r="J24" i="63"/>
  <c r="I24" i="63"/>
  <c r="H24" i="63"/>
  <c r="E24" i="63"/>
  <c r="K23" i="63" a="1"/>
  <c r="K23" i="63" s="1"/>
  <c r="J23" i="63"/>
  <c r="I23" i="63"/>
  <c r="H23" i="63"/>
  <c r="E23" i="63"/>
  <c r="F24" i="75" a="1"/>
  <c r="F15" i="75" a="1"/>
  <c r="H28" i="63" l="1"/>
  <c r="F24" i="75"/>
  <c r="F15" i="75"/>
  <c r="F35" i="75" a="1"/>
  <c r="F35" i="75" s="1"/>
  <c r="F36" i="75" a="1"/>
  <c r="F36" i="75" s="1"/>
  <c r="F37" i="75" a="1"/>
  <c r="F37" i="75" s="1"/>
  <c r="F34" i="75" a="1"/>
  <c r="F34" i="75" s="1"/>
  <c r="J28" i="63"/>
  <c r="C73" i="63"/>
  <c r="F50" i="75" l="1" a="1"/>
  <c r="F50" i="75" s="1"/>
  <c r="F40" i="75" a="1"/>
  <c r="F40" i="75" s="1"/>
  <c r="K89" i="63" a="1"/>
  <c r="K89" i="63" s="1"/>
  <c r="J89" i="63"/>
  <c r="I89" i="63"/>
  <c r="H89" i="63"/>
  <c r="E89" i="63"/>
  <c r="K88" i="63" a="1"/>
  <c r="K88" i="63" s="1"/>
  <c r="J88" i="63"/>
  <c r="I88" i="63"/>
  <c r="H88" i="63"/>
  <c r="E88" i="63"/>
  <c r="K85" i="63" a="1"/>
  <c r="K85" i="63" s="1"/>
  <c r="J85" i="63"/>
  <c r="I85" i="63"/>
  <c r="H85" i="63"/>
  <c r="E85" i="63"/>
  <c r="K84" i="63" a="1"/>
  <c r="K84" i="63" s="1"/>
  <c r="J84" i="63"/>
  <c r="I84" i="63"/>
  <c r="H84" i="63"/>
  <c r="E84" i="63"/>
  <c r="X10" i="8"/>
  <c r="X9" i="8"/>
  <c r="X5" i="8"/>
  <c r="X34" i="8"/>
  <c r="Y31" i="8"/>
  <c r="Y30" i="8"/>
  <c r="Y29" i="8"/>
  <c r="X29" i="8"/>
  <c r="Y28" i="8"/>
  <c r="X28" i="8"/>
  <c r="Y27" i="8"/>
  <c r="Y26" i="8"/>
  <c r="Y25" i="8"/>
  <c r="K81" i="63" a="1"/>
  <c r="K81" i="63" s="1"/>
  <c r="J81" i="63"/>
  <c r="I81" i="63"/>
  <c r="H81" i="63"/>
  <c r="E81" i="63"/>
  <c r="K80" i="63" a="1"/>
  <c r="K80" i="63" s="1"/>
  <c r="J80" i="63"/>
  <c r="I80" i="63"/>
  <c r="H80" i="63"/>
  <c r="E80" i="63"/>
  <c r="J77" i="63"/>
  <c r="K77" i="63" a="1"/>
  <c r="K77" i="63" s="1"/>
  <c r="H77" i="63"/>
  <c r="E77" i="63"/>
  <c r="K76" i="63" a="1"/>
  <c r="K76" i="63" s="1"/>
  <c r="J76" i="63"/>
  <c r="I76" i="63"/>
  <c r="H76" i="63"/>
  <c r="E76" i="63"/>
  <c r="L76" i="24"/>
  <c r="L6" i="24"/>
  <c r="L5" i="24"/>
  <c r="M73" i="24"/>
  <c r="M72" i="24"/>
  <c r="M71" i="24"/>
  <c r="M70" i="24"/>
  <c r="K73" i="24"/>
  <c r="K72" i="24"/>
  <c r="K71" i="24"/>
  <c r="K70" i="24"/>
  <c r="X87" i="58"/>
  <c r="X3" i="58"/>
  <c r="X99" i="58"/>
  <c r="X97" i="58"/>
  <c r="X96" i="58"/>
  <c r="W100" i="58"/>
  <c r="W99" i="58"/>
  <c r="W97" i="58"/>
  <c r="W96" i="58"/>
  <c r="W95" i="58"/>
  <c r="W94" i="58"/>
  <c r="J73" i="63"/>
  <c r="K73" i="63" a="1"/>
  <c r="K73" i="63" s="1"/>
  <c r="E73" i="63"/>
  <c r="K72" i="63" a="1"/>
  <c r="K72" i="63" s="1"/>
  <c r="J72" i="63"/>
  <c r="I72" i="63"/>
  <c r="H72" i="63"/>
  <c r="E72" i="63"/>
  <c r="C69" i="63"/>
  <c r="I69" i="63" s="1"/>
  <c r="K69" i="63" a="1"/>
  <c r="K69" i="63" s="1"/>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J57" i="63"/>
  <c r="K57" i="63" a="1"/>
  <c r="K57" i="63" s="1"/>
  <c r="H57" i="63"/>
  <c r="E57" i="63"/>
  <c r="K56" i="63" a="1"/>
  <c r="K56" i="63" s="1"/>
  <c r="J56" i="63"/>
  <c r="I56" i="63"/>
  <c r="H56" i="63"/>
  <c r="E56" i="63"/>
  <c r="C15" i="39"/>
  <c r="G29" i="39" s="1"/>
  <c r="C14" i="39"/>
  <c r="Z14" i="14"/>
  <c r="Z5" i="14"/>
  <c r="M97" i="58"/>
  <c r="M96" i="58"/>
  <c r="M95" i="58"/>
  <c r="M94" i="58"/>
  <c r="L99" i="58"/>
  <c r="L98" i="58"/>
  <c r="L96" i="58"/>
  <c r="L87"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81" i="63" l="1"/>
  <c r="G81" i="63" s="1" a="1"/>
  <c r="G81" i="63" s="1"/>
  <c r="X27" i="8"/>
  <c r="X26" i="8"/>
  <c r="H69" i="63"/>
  <c r="J69" i="63"/>
  <c r="I77" i="63"/>
  <c r="F29" i="39"/>
  <c r="F73" i="63"/>
  <c r="G73" i="63" s="1" a="1"/>
  <c r="G73" i="63" s="1"/>
  <c r="I73" i="63"/>
  <c r="H73" i="63"/>
  <c r="F60" i="63"/>
  <c r="G60" i="63" s="1" a="1"/>
  <c r="G60" i="63" s="1"/>
  <c r="I57" i="63"/>
  <c r="AT17" i="25"/>
  <c r="AT26" i="25"/>
  <c r="AT25" i="25"/>
  <c r="C53" i="63"/>
  <c r="J53" i="63" s="1"/>
  <c r="K53" i="63" a="1"/>
  <c r="K53" i="63" s="1"/>
  <c r="E53" i="63"/>
  <c r="K52" i="63" a="1"/>
  <c r="K52" i="63" s="1"/>
  <c r="J52" i="63"/>
  <c r="I52" i="63"/>
  <c r="H52" i="63"/>
  <c r="E52" i="63"/>
  <c r="C49" i="63"/>
  <c r="I49" i="63" s="1"/>
  <c r="K49" i="63" a="1"/>
  <c r="K49" i="63" s="1"/>
  <c r="E49" i="63"/>
  <c r="K48" i="63" a="1"/>
  <c r="K48" i="63" s="1"/>
  <c r="J48" i="63"/>
  <c r="I48" i="63"/>
  <c r="H48" i="63"/>
  <c r="E48" i="63"/>
  <c r="K45" i="63" a="1"/>
  <c r="K45" i="63" s="1"/>
  <c r="J45" i="63"/>
  <c r="I45" i="63"/>
  <c r="H45" i="63"/>
  <c r="E45" i="63"/>
  <c r="K44" i="63" a="1"/>
  <c r="K44" i="63" s="1"/>
  <c r="E44" i="63"/>
  <c r="C44" i="63"/>
  <c r="J44" i="63" s="1"/>
  <c r="E64" i="35"/>
  <c r="E62" i="35"/>
  <c r="AP32" i="25"/>
  <c r="AP26" i="25"/>
  <c r="AP14" i="25"/>
  <c r="AP13" i="25"/>
  <c r="AQ29" i="25"/>
  <c r="AQ28" i="25"/>
  <c r="AQ27" i="25"/>
  <c r="AQ26" i="25"/>
  <c r="AQ25" i="25"/>
  <c r="AQ24" i="25"/>
  <c r="H30" i="36"/>
  <c r="AP25" i="25" a="1"/>
  <c r="H53" i="63" l="1"/>
  <c r="I53" i="63"/>
  <c r="H49" i="63"/>
  <c r="J49" i="63"/>
  <c r="F44" i="63"/>
  <c r="G44" i="63" s="1" a="1"/>
  <c r="G44" i="63" s="1"/>
  <c r="F45" i="63"/>
  <c r="G45" i="63" s="1" a="1"/>
  <c r="G45" i="63" s="1"/>
  <c r="H44" i="63"/>
  <c r="I44" i="63"/>
  <c r="AP17" i="25"/>
  <c r="AP25" i="25"/>
  <c r="BT7" i="61"/>
  <c r="BU7" i="61" s="1"/>
  <c r="BV7" i="61" s="1"/>
  <c r="BV74" i="61"/>
  <c r="BV64" i="61"/>
  <c r="BV75" i="61"/>
  <c r="BU12" i="61"/>
  <c r="BV12" i="61" s="1"/>
  <c r="BU6" i="61"/>
  <c r="BV6" i="61" s="1"/>
  <c r="BU5" i="61"/>
  <c r="BV5" i="61" s="1"/>
  <c r="BT4" i="61"/>
  <c r="BU4" i="61" s="1"/>
  <c r="BV4" i="61" s="1"/>
  <c r="BU2" i="61"/>
  <c r="BV2" i="61" s="1"/>
  <c r="BT8" i="61" l="1"/>
  <c r="BU8" i="61" s="1"/>
  <c r="BV63" i="61"/>
  <c r="BV65" i="61" s="1"/>
  <c r="BT13" i="61"/>
  <c r="BU13" i="61" s="1"/>
  <c r="BV13" i="61" s="1"/>
  <c r="BV8" i="61"/>
  <c r="L57" i="40"/>
  <c r="E32" i="15"/>
  <c r="AH27" i="25" l="1"/>
  <c r="AH26" i="25"/>
  <c r="F38" i="38" l="1"/>
  <c r="F30" i="36"/>
  <c r="F41" i="32"/>
  <c r="K87" i="67"/>
  <c r="K86" i="67"/>
  <c r="S40" i="9"/>
  <c r="I40" i="9"/>
  <c r="X26" i="25"/>
  <c r="C9" i="63" l="1"/>
  <c r="I9" i="63" s="1"/>
  <c r="E9" i="63"/>
  <c r="K9" i="63" a="1"/>
  <c r="K9" i="63" s="1"/>
  <c r="E10" i="63"/>
  <c r="H10" i="63"/>
  <c r="I10" i="63"/>
  <c r="J10" i="63"/>
  <c r="K10" i="63" a="1"/>
  <c r="K10" i="63" s="1"/>
  <c r="E11" i="63"/>
  <c r="H11" i="63"/>
  <c r="I11" i="63"/>
  <c r="J11" i="63"/>
  <c r="K11" i="63" a="1"/>
  <c r="K11" i="63" s="1"/>
  <c r="E12" i="63"/>
  <c r="H12" i="63"/>
  <c r="I12" i="63"/>
  <c r="J12" i="63"/>
  <c r="K12" i="63" a="1"/>
  <c r="K12" i="63" s="1"/>
  <c r="E13" i="63"/>
  <c r="H13" i="63"/>
  <c r="I13" i="63"/>
  <c r="J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F19" i="63" s="1"/>
  <c r="G19" i="63" s="1" a="1"/>
  <c r="G19" i="63" s="1"/>
  <c r="E20" i="63"/>
  <c r="F20" i="63"/>
  <c r="H20" i="63"/>
  <c r="I20" i="63"/>
  <c r="J20" i="63"/>
  <c r="K20" i="63" a="1"/>
  <c r="K20" i="63" s="1"/>
  <c r="E21" i="63"/>
  <c r="H21" i="63"/>
  <c r="I21" i="63"/>
  <c r="J21" i="63"/>
  <c r="K21" i="63" a="1"/>
  <c r="K21" i="63" s="1"/>
  <c r="E22" i="63"/>
  <c r="H22" i="63"/>
  <c r="I22" i="63"/>
  <c r="J22" i="63"/>
  <c r="K22" i="63" a="1"/>
  <c r="K22" i="63" s="1"/>
  <c r="E25" i="63"/>
  <c r="H25" i="63"/>
  <c r="I25" i="63"/>
  <c r="J25" i="63"/>
  <c r="K25" i="63" a="1"/>
  <c r="K25" i="63" s="1"/>
  <c r="E26" i="63"/>
  <c r="K26" i="63" a="1"/>
  <c r="K26" i="63" s="1"/>
  <c r="E29" i="63"/>
  <c r="H29" i="63"/>
  <c r="I29" i="63"/>
  <c r="J29" i="63"/>
  <c r="K29" i="63" a="1"/>
  <c r="K29" i="63" s="1"/>
  <c r="M47" i="3"/>
  <c r="N47" i="3"/>
  <c r="O47" i="3"/>
  <c r="P47" i="3"/>
  <c r="L47" i="3"/>
  <c r="M56" i="3"/>
  <c r="N56" i="3"/>
  <c r="O56" i="3"/>
  <c r="P56" i="3"/>
  <c r="L56" i="3"/>
  <c r="H9" i="63" l="1"/>
  <c r="F27" i="63"/>
  <c r="G27" i="63" s="1" a="1"/>
  <c r="G27" i="63" s="1"/>
  <c r="F28" i="63"/>
  <c r="G28" i="63" s="1" a="1"/>
  <c r="G28" i="63" s="1"/>
  <c r="F24" i="63"/>
  <c r="G24" i="63" s="1" a="1"/>
  <c r="G24" i="63" s="1"/>
  <c r="F23" i="63"/>
  <c r="G23" i="63" s="1" a="1"/>
  <c r="G23" i="63" s="1"/>
  <c r="J9" i="63"/>
  <c r="F26" i="63"/>
  <c r="G26" i="63" s="1" a="1"/>
  <c r="G26" i="63" s="1"/>
  <c r="F17" i="63"/>
  <c r="G17" i="63" s="1" a="1"/>
  <c r="G17" i="63" s="1"/>
  <c r="F13" i="63"/>
  <c r="G13" i="63" s="1" a="1"/>
  <c r="G13" i="63" s="1"/>
  <c r="F9" i="63"/>
  <c r="G9" i="63" s="1" a="1"/>
  <c r="G9" i="63" s="1"/>
  <c r="F22" i="63"/>
  <c r="G22" i="63" s="1" a="1"/>
  <c r="G22" i="63" s="1"/>
  <c r="F16" i="63"/>
  <c r="G16" i="63" s="1" a="1"/>
  <c r="G16" i="63" s="1"/>
  <c r="F12" i="63"/>
  <c r="G12" i="63" s="1" a="1"/>
  <c r="G12" i="63" s="1"/>
  <c r="F10" i="63"/>
  <c r="G10" i="63" s="1" a="1"/>
  <c r="G10" i="63" s="1"/>
  <c r="F18" i="63"/>
  <c r="G18" i="63" s="1" a="1"/>
  <c r="G18" i="63" s="1"/>
  <c r="G20" i="63" a="1"/>
  <c r="G20" i="63" s="1"/>
  <c r="F15" i="63"/>
  <c r="G15" i="63" s="1" a="1"/>
  <c r="G15" i="63" s="1"/>
  <c r="F14" i="63"/>
  <c r="G14" i="63" s="1" a="1"/>
  <c r="G14" i="63" s="1"/>
  <c r="F21" i="63"/>
  <c r="G21" i="63" s="1" a="1"/>
  <c r="G21" i="63" s="1"/>
  <c r="F11" i="63"/>
  <c r="G11" i="63" s="1" a="1"/>
  <c r="G11" i="63" s="1"/>
  <c r="F25" i="63"/>
  <c r="G25" i="63" s="1" a="1"/>
  <c r="G25" i="63" s="1"/>
  <c r="C94" i="63"/>
  <c r="C140" i="63"/>
  <c r="C296" i="63"/>
  <c r="E311" i="63" l="1"/>
  <c r="H311" i="63"/>
  <c r="I311" i="63"/>
  <c r="J311" i="63"/>
  <c r="K311" i="63" a="1"/>
  <c r="K311" i="63" s="1"/>
  <c r="E312" i="63"/>
  <c r="H312" i="63"/>
  <c r="I312" i="63"/>
  <c r="J312" i="63"/>
  <c r="K312" i="63" a="1"/>
  <c r="K312" i="63" s="1"/>
  <c r="E313" i="63"/>
  <c r="F313" i="63"/>
  <c r="H313" i="63"/>
  <c r="I313" i="63"/>
  <c r="J313" i="63"/>
  <c r="K313" i="63" a="1"/>
  <c r="K313" i="63" s="1"/>
  <c r="AF34" i="8"/>
  <c r="AF29" i="8"/>
  <c r="AF28" i="8"/>
  <c r="AF27" i="8"/>
  <c r="AF26" i="8"/>
  <c r="AF20" i="8"/>
  <c r="AF4" i="8"/>
  <c r="AG31" i="8"/>
  <c r="AG30" i="8"/>
  <c r="AG29" i="8"/>
  <c r="AG28" i="8"/>
  <c r="AG27" i="8"/>
  <c r="AG26" i="8"/>
  <c r="AG25" i="8"/>
  <c r="AE31" i="8"/>
  <c r="AE30" i="8"/>
  <c r="AE29" i="8"/>
  <c r="AE28" i="8"/>
  <c r="AE27" i="8"/>
  <c r="AE26" i="8"/>
  <c r="AE25" i="8"/>
  <c r="E306" i="63"/>
  <c r="K306" i="63" a="1"/>
  <c r="K306" i="63" s="1"/>
  <c r="E307" i="63"/>
  <c r="H307" i="63"/>
  <c r="I307" i="63"/>
  <c r="J307" i="63"/>
  <c r="K307" i="63" a="1"/>
  <c r="K307" i="63" s="1"/>
  <c r="F307" i="63" s="1"/>
  <c r="C306" i="63"/>
  <c r="J30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1" i="63" l="1"/>
  <c r="G311" i="63" s="1" a="1"/>
  <c r="G311" i="63" s="1"/>
  <c r="F312" i="63"/>
  <c r="G312" i="63" s="1" a="1"/>
  <c r="G312" i="63" s="1"/>
  <c r="F306" i="63"/>
  <c r="G306" i="63" s="1" a="1"/>
  <c r="G306" i="63" s="1"/>
  <c r="G313" i="63" a="1"/>
  <c r="G313" i="63" s="1"/>
  <c r="I306" i="63"/>
  <c r="H306" i="63"/>
  <c r="G307" i="63" a="1"/>
  <c r="G307" i="63" s="1"/>
  <c r="C6" i="71" a="1"/>
  <c r="C6" i="71" s="1"/>
  <c r="E3" i="70"/>
  <c r="E8" i="70"/>
  <c r="E9" i="70" s="1"/>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D36" i="70"/>
  <c r="E37" i="70"/>
  <c r="E29" i="70" s="1"/>
  <c r="E6" i="71" l="1" a="1"/>
  <c r="D6" i="71" a="1"/>
  <c r="D6" i="71" s="1"/>
  <c r="G29" i="71"/>
  <c r="G28" i="71"/>
  <c r="E10" i="70"/>
  <c r="E11" i="70" s="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7" i="25"/>
  <c r="T26" i="25"/>
  <c r="T25" i="25"/>
  <c r="T13" i="25"/>
  <c r="T12" i="25"/>
  <c r="T14" i="25" s="1"/>
  <c r="T32" i="25"/>
  <c r="U29" i="25"/>
  <c r="U28" i="25"/>
  <c r="U27" i="25"/>
  <c r="U26" i="25"/>
  <c r="U25" i="25"/>
  <c r="U24" i="25"/>
  <c r="I32" i="70" l="1"/>
  <c r="F32" i="70"/>
  <c r="F33" i="70"/>
  <c r="F25" i="70"/>
  <c r="F26" i="70"/>
  <c r="D35" i="70"/>
  <c r="E27" i="70"/>
  <c r="I27" i="70" s="1"/>
  <c r="E34" i="70"/>
  <c r="T17" i="25"/>
  <c r="E258" i="63"/>
  <c r="H258" i="63"/>
  <c r="I258" i="63"/>
  <c r="J258" i="63"/>
  <c r="K258" i="63" a="1"/>
  <c r="K258" i="63" s="1"/>
  <c r="E259" i="63"/>
  <c r="H259" i="63"/>
  <c r="I259" i="63"/>
  <c r="J259" i="63"/>
  <c r="K259" i="63" a="1"/>
  <c r="K259" i="63" s="1"/>
  <c r="E260" i="63"/>
  <c r="F260" i="63"/>
  <c r="H260" i="63"/>
  <c r="I260" i="63"/>
  <c r="J260" i="63"/>
  <c r="K260" i="63" a="1"/>
  <c r="K260" i="63" s="1"/>
  <c r="E261" i="63"/>
  <c r="K261" i="63" a="1"/>
  <c r="K261" i="63" s="1"/>
  <c r="E28" i="70" l="1"/>
  <c r="F27" i="70"/>
  <c r="I34" i="70"/>
  <c r="F34" i="70"/>
  <c r="E35" i="70"/>
  <c r="I35" i="70" s="1"/>
  <c r="G260" i="63" a="1"/>
  <c r="G260" i="63" s="1"/>
  <c r="F258" i="63"/>
  <c r="G258" i="63" s="1" a="1"/>
  <c r="G258" i="63" s="1"/>
  <c r="F259" i="63"/>
  <c r="G259" i="63" s="1" a="1"/>
  <c r="G259" i="63" s="1"/>
  <c r="F28" i="70" l="1"/>
  <c r="F29" i="70"/>
  <c r="AA3" i="70" a="1"/>
  <c r="AA3" i="70" s="1"/>
  <c r="F35" i="70"/>
  <c r="I28" i="70"/>
  <c r="E36"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BH25" i="25" l="1"/>
  <c r="AB27" i="25"/>
  <c r="AB26" i="25"/>
  <c r="AD27" i="25"/>
  <c r="AD26" i="25"/>
  <c r="AF27" i="25"/>
  <c r="AF26" i="25"/>
  <c r="C12" i="69"/>
  <c r="C13" i="69"/>
  <c r="C14" i="69"/>
  <c r="C15" i="69"/>
  <c r="C16" i="69"/>
  <c r="C17" i="69"/>
  <c r="B13" i="69"/>
  <c r="B14"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10" i="63"/>
  <c r="H110" i="63"/>
  <c r="I110" i="63"/>
  <c r="J110" i="63"/>
  <c r="K110" i="63" a="1"/>
  <c r="K110" i="63" s="1"/>
  <c r="E111" i="63"/>
  <c r="K111" i="63" a="1"/>
  <c r="K111" i="63" s="1"/>
  <c r="E112" i="63"/>
  <c r="H112" i="63"/>
  <c r="I112" i="63"/>
  <c r="J112" i="63"/>
  <c r="K112" i="63" a="1"/>
  <c r="K112" i="63" s="1"/>
  <c r="E113" i="63"/>
  <c r="H113" i="63"/>
  <c r="I113" i="63"/>
  <c r="J113" i="63"/>
  <c r="K113" i="63" a="1"/>
  <c r="K113" i="63" s="1"/>
  <c r="E114" i="63"/>
  <c r="F114" i="63"/>
  <c r="H114" i="63"/>
  <c r="I114" i="63"/>
  <c r="J114" i="63"/>
  <c r="K114" i="63" a="1"/>
  <c r="K114" i="63" s="1"/>
  <c r="E115" i="63"/>
  <c r="H115" i="63"/>
  <c r="I115" i="63"/>
  <c r="J115" i="63"/>
  <c r="K115" i="63" a="1"/>
  <c r="K115" i="63" s="1"/>
  <c r="E116" i="63"/>
  <c r="H116" i="63"/>
  <c r="I116" i="63"/>
  <c r="J116" i="63"/>
  <c r="K116" i="63" a="1"/>
  <c r="K116" i="63" s="1"/>
  <c r="E117" i="63"/>
  <c r="H117" i="63"/>
  <c r="I117" i="63"/>
  <c r="J117" i="63"/>
  <c r="K117" i="63" a="1"/>
  <c r="K117" i="63" s="1"/>
  <c r="E118" i="63"/>
  <c r="H118" i="63"/>
  <c r="I118" i="63"/>
  <c r="J118" i="63"/>
  <c r="K118" i="63" a="1"/>
  <c r="K118" i="63" s="1"/>
  <c r="E119" i="63"/>
  <c r="H119" i="63"/>
  <c r="I119" i="63"/>
  <c r="J119" i="63"/>
  <c r="K119" i="63" a="1"/>
  <c r="K119" i="63" s="1"/>
  <c r="F119" i="63" s="1"/>
  <c r="E120" i="63"/>
  <c r="F120" i="63"/>
  <c r="H120" i="63"/>
  <c r="I120" i="63"/>
  <c r="J120" i="63"/>
  <c r="K120" i="63" a="1"/>
  <c r="K120" i="63" s="1"/>
  <c r="E121" i="63"/>
  <c r="H121" i="63"/>
  <c r="I121" i="63"/>
  <c r="J121" i="63"/>
  <c r="K121" i="63" a="1"/>
  <c r="K121" i="63" s="1"/>
  <c r="E122" i="63"/>
  <c r="H122" i="63"/>
  <c r="I122" i="63"/>
  <c r="J122" i="63"/>
  <c r="K122" i="63" a="1"/>
  <c r="K122" i="63" s="1"/>
  <c r="E123" i="63"/>
  <c r="H123" i="63"/>
  <c r="I123" i="63"/>
  <c r="J123" i="63"/>
  <c r="K123" i="63" a="1"/>
  <c r="K123" i="63" s="1"/>
  <c r="E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F129" i="63"/>
  <c r="H129" i="63"/>
  <c r="I129" i="63"/>
  <c r="J129" i="63"/>
  <c r="K129" i="63" a="1"/>
  <c r="K129" i="63" s="1"/>
  <c r="E130" i="63"/>
  <c r="H130" i="63"/>
  <c r="I130" i="63"/>
  <c r="J130" i="63"/>
  <c r="K130" i="63" a="1"/>
  <c r="K130" i="63" s="1"/>
  <c r="E131" i="63"/>
  <c r="H131" i="63"/>
  <c r="I131" i="63"/>
  <c r="J131" i="63"/>
  <c r="K131" i="63" a="1"/>
  <c r="K131" i="63" s="1"/>
  <c r="E132" i="63"/>
  <c r="H132" i="63"/>
  <c r="I132" i="63"/>
  <c r="J132" i="63"/>
  <c r="K132" i="63" a="1"/>
  <c r="K132" i="63" s="1"/>
  <c r="F132" i="63" s="1"/>
  <c r="E133" i="63"/>
  <c r="F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BF9" i="25"/>
  <c r="BF7" i="25"/>
  <c r="BF25" i="25" s="1"/>
  <c r="BF32" i="25"/>
  <c r="BF13" i="25"/>
  <c r="BF12" i="25"/>
  <c r="BF14" i="25" s="1"/>
  <c r="BG29" i="25"/>
  <c r="BG28" i="25"/>
  <c r="BG27" i="25"/>
  <c r="BG26" i="25"/>
  <c r="BG25" i="25"/>
  <c r="BG24" i="25"/>
  <c r="BF27" i="25" a="1"/>
  <c r="G132" i="63" l="1" a="1"/>
  <c r="G132" i="63" s="1"/>
  <c r="G114" i="63" a="1"/>
  <c r="G114" i="63" s="1"/>
  <c r="F117" i="63"/>
  <c r="G117" i="63" s="1" a="1"/>
  <c r="G117" i="63" s="1"/>
  <c r="F110" i="63"/>
  <c r="G110" i="63" s="1" a="1"/>
  <c r="G110" i="63" s="1"/>
  <c r="F123" i="63"/>
  <c r="G123" i="63" s="1" a="1"/>
  <c r="G123" i="63" s="1"/>
  <c r="G120" i="63" a="1"/>
  <c r="G120" i="63" s="1"/>
  <c r="G133" i="63" a="1"/>
  <c r="G133" i="63" s="1"/>
  <c r="F128" i="63"/>
  <c r="G128" i="63" s="1" a="1"/>
  <c r="G128" i="63" s="1"/>
  <c r="F130" i="63"/>
  <c r="G130" i="63" s="1" a="1"/>
  <c r="G130" i="63" s="1"/>
  <c r="F134" i="63"/>
  <c r="G134" i="63" s="1" a="1"/>
  <c r="G134" i="63" s="1"/>
  <c r="F125" i="63"/>
  <c r="G125" i="63" s="1" a="1"/>
  <c r="G125" i="63" s="1"/>
  <c r="F116" i="63"/>
  <c r="G116" i="63" s="1" a="1"/>
  <c r="G116" i="63" s="1"/>
  <c r="F135" i="63"/>
  <c r="G135" i="63" s="1" a="1"/>
  <c r="G135" i="63" s="1"/>
  <c r="F121" i="63"/>
  <c r="G121" i="63" s="1" a="1"/>
  <c r="G121" i="63" s="1"/>
  <c r="F111" i="63"/>
  <c r="G111" i="63" s="1" a="1"/>
  <c r="G111" i="63" s="1"/>
  <c r="BF17" i="25"/>
  <c r="F137" i="63"/>
  <c r="G137" i="63" s="1" a="1"/>
  <c r="G137" i="63" s="1"/>
  <c r="F131" i="63"/>
  <c r="G131" i="63" s="1" a="1"/>
  <c r="G131" i="63" s="1"/>
  <c r="G129" i="63" a="1"/>
  <c r="G129" i="63" s="1"/>
  <c r="G119" i="63" a="1"/>
  <c r="G119" i="63" s="1"/>
  <c r="F113" i="63"/>
  <c r="G113" i="63" s="1" a="1"/>
  <c r="G113" i="63" s="1"/>
  <c r="F112" i="63"/>
  <c r="G112" i="63" s="1" a="1"/>
  <c r="G112" i="63" s="1"/>
  <c r="F127" i="63"/>
  <c r="G127" i="63" s="1" a="1"/>
  <c r="G127" i="63" s="1"/>
  <c r="F115" i="63"/>
  <c r="G115" i="63" s="1" a="1"/>
  <c r="G115" i="63" s="1"/>
  <c r="F136" i="63"/>
  <c r="G136" i="63" s="1" a="1"/>
  <c r="G136" i="63" s="1"/>
  <c r="F124" i="63"/>
  <c r="G124" i="63" s="1" a="1"/>
  <c r="G124" i="63" s="1"/>
  <c r="F126" i="63"/>
  <c r="G126" i="63" s="1" a="1"/>
  <c r="G126" i="63" s="1"/>
  <c r="F122" i="63"/>
  <c r="G122" i="63" s="1" a="1"/>
  <c r="G122" i="63" s="1"/>
  <c r="F118" i="63"/>
  <c r="G118" i="63" s="1" a="1"/>
  <c r="G118" i="63" s="1"/>
  <c r="BF27" i="25"/>
  <c r="BL26" i="25"/>
  <c r="BL12" i="25"/>
  <c r="BH8" i="25" l="1"/>
  <c r="BH26" i="25" s="1"/>
  <c r="BD25" i="25" l="1"/>
  <c r="BD27" i="25" a="1"/>
  <c r="BD27" i="25" l="1"/>
  <c r="C54" i="67"/>
  <c r="C55" i="67" s="1"/>
  <c r="C56" i="67" s="1"/>
  <c r="C57" i="67" l="1"/>
  <c r="K7" i="5" a="1"/>
  <c r="K7" i="5" s="1"/>
  <c r="K8" i="5" a="1"/>
  <c r="K8" i="5" s="1"/>
  <c r="K9" i="5" a="1"/>
  <c r="K9" i="5" s="1"/>
  <c r="BJ27" i="25"/>
  <c r="BJ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BJ28" i="25" l="1"/>
  <c r="M20" i="50"/>
  <c r="F58" i="34"/>
  <c r="D15" i="8"/>
  <c r="D27" i="8" s="1"/>
  <c r="T7" i="5" l="1"/>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C9" i="67" s="1"/>
  <c r="C10" i="67" s="1"/>
  <c r="C11" i="67" s="1"/>
  <c r="C12" i="67" s="1"/>
  <c r="C13" i="67" s="1"/>
  <c r="C14" i="67" s="1"/>
  <c r="C15" i="67" s="1"/>
  <c r="C16" i="67" s="1"/>
  <c r="B12" i="67"/>
  <c r="B15" i="67" s="1"/>
  <c r="B11" i="67"/>
  <c r="B14" i="67" s="1"/>
  <c r="B10" i="67"/>
  <c r="B13" i="67" s="1"/>
  <c r="B16" i="67" s="1"/>
  <c r="D13" i="67" l="1" a="1"/>
  <c r="D13" i="67" s="1"/>
  <c r="F13" i="67" s="1"/>
  <c r="D11" i="67" a="1"/>
  <c r="D11" i="67" s="1"/>
  <c r="F11" i="67" s="1"/>
  <c r="D9" i="67" a="1"/>
  <c r="D9" i="67" s="1"/>
  <c r="F9" i="67" s="1"/>
  <c r="D15" i="67" a="1"/>
  <c r="D15" i="67" s="1"/>
  <c r="F15" i="67" s="1"/>
  <c r="E13" i="67"/>
  <c r="E7" i="67"/>
  <c r="F7" i="67"/>
  <c r="C3" i="67"/>
  <c r="D16" i="67" l="1" a="1"/>
  <c r="D16" i="67" s="1"/>
  <c r="F16" i="67" s="1"/>
  <c r="D53" i="67" a="1"/>
  <c r="D53" i="67" s="1"/>
  <c r="D56" i="67" a="1"/>
  <c r="D56" i="67" s="1"/>
  <c r="D54" i="67" a="1"/>
  <c r="D54" i="67" s="1"/>
  <c r="D55" i="67" a="1"/>
  <c r="D55" i="67" s="1"/>
  <c r="D57" i="67" a="1"/>
  <c r="D57" i="67" s="1"/>
  <c r="E9" i="67"/>
  <c r="E11" i="67"/>
  <c r="D10" i="67" a="1"/>
  <c r="D10" i="67" s="1"/>
  <c r="D12" i="67" a="1"/>
  <c r="D12" i="67" s="1"/>
  <c r="D8" i="67" a="1"/>
  <c r="D8" i="67" s="1"/>
  <c r="D14" i="67" a="1"/>
  <c r="D14" i="67" s="1"/>
  <c r="E15" i="67"/>
  <c r="C39" i="67"/>
  <c r="C42" i="67" s="1"/>
  <c r="C45" i="67" s="1"/>
  <c r="C48" i="67" s="1"/>
  <c r="E16" i="67" l="1"/>
  <c r="F56" i="67"/>
  <c r="E56" i="67"/>
  <c r="E57" i="67"/>
  <c r="F57" i="67"/>
  <c r="E53" i="67"/>
  <c r="F53" i="67"/>
  <c r="E54" i="67"/>
  <c r="F54" i="67"/>
  <c r="E55" i="67"/>
  <c r="F55" i="67"/>
  <c r="F12" i="67"/>
  <c r="E12" i="67"/>
  <c r="E10" i="67"/>
  <c r="F10" i="67"/>
  <c r="F8" i="67"/>
  <c r="E8" i="67"/>
  <c r="E14" i="67"/>
  <c r="F14" i="67"/>
  <c r="C40" i="67"/>
  <c r="C43" i="67" s="1"/>
  <c r="C46" i="67" s="1"/>
  <c r="C49" i="67" s="1"/>
  <c r="H88" i="67" l="1"/>
  <c r="C3" i="68"/>
  <c r="B23" i="22" l="1"/>
  <c r="B27" i="22" s="1"/>
  <c r="B31" i="22" s="1"/>
  <c r="B35" i="22" s="1"/>
  <c r="B39" i="22" s="1"/>
  <c r="B43" i="22" s="1"/>
  <c r="B47" i="22" s="1"/>
  <c r="B51" i="22" s="1"/>
  <c r="M75" i="67" l="1"/>
  <c r="F72" i="68" l="1"/>
  <c r="B15" i="64" l="1"/>
  <c r="C15" i="64"/>
  <c r="B7" i="64"/>
  <c r="B13" i="64" s="1"/>
  <c r="C7" i="64"/>
  <c r="C13" i="64" s="1"/>
  <c r="B8" i="64"/>
  <c r="B14" i="64" s="1"/>
  <c r="C8" i="64"/>
  <c r="C14" i="64" s="1"/>
  <c r="B10" i="64"/>
  <c r="B16" i="64" s="1"/>
  <c r="C10" i="64"/>
  <c r="C16" i="64" s="1"/>
  <c r="B11" i="64"/>
  <c r="B17" i="64" s="1"/>
  <c r="C11" i="64"/>
  <c r="C17" i="64" s="1"/>
  <c r="D9" i="68" l="1"/>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3" i="68"/>
  <c r="D34" i="68"/>
  <c r="D35" i="68"/>
  <c r="D32" i="68"/>
  <c r="D30" i="68"/>
  <c r="C35" i="68" s="1"/>
  <c r="D29" i="68"/>
  <c r="C34" i="68" s="1"/>
  <c r="D21" i="68"/>
  <c r="D20" i="68"/>
  <c r="D18" i="68"/>
  <c r="D17" i="68"/>
  <c r="C22" i="68"/>
  <c r="C16" i="68"/>
  <c r="C15" i="68"/>
  <c r="C13" i="68"/>
  <c r="C12" i="68"/>
  <c r="C25" i="68"/>
  <c r="C23" i="68"/>
  <c r="D11" i="68"/>
  <c r="D10" i="68"/>
  <c r="D8" i="68"/>
  <c r="D7" i="68"/>
  <c r="C6" i="68"/>
  <c r="D18" i="67" l="1" a="1"/>
  <c r="D18" i="67" s="1"/>
  <c r="C22" i="67"/>
  <c r="C23" i="67"/>
  <c r="C21" i="67"/>
  <c r="I3" i="67"/>
  <c r="G53" i="67" l="1"/>
  <c r="G54" i="67"/>
  <c r="G56" i="67"/>
  <c r="G55" i="67"/>
  <c r="G57" i="67"/>
  <c r="G7" i="67"/>
  <c r="G11" i="67"/>
  <c r="G14" i="67"/>
  <c r="G9" i="67"/>
  <c r="G16" i="67"/>
  <c r="G10" i="67"/>
  <c r="G13" i="67"/>
  <c r="G8" i="67"/>
  <c r="G12" i="67"/>
  <c r="G15" i="67"/>
  <c r="D37" i="67" a="1"/>
  <c r="D37" i="67" s="1"/>
  <c r="D40" i="67" a="1"/>
  <c r="D40" i="67" s="1"/>
  <c r="D43" i="67" a="1"/>
  <c r="D43" i="67" s="1"/>
  <c r="D46" i="67" a="1"/>
  <c r="D46" i="67" s="1"/>
  <c r="D49" i="67" a="1"/>
  <c r="D49" i="67" s="1"/>
  <c r="F49" i="67" s="1"/>
  <c r="G43" i="67"/>
  <c r="G45" i="67"/>
  <c r="G46" i="67"/>
  <c r="G48" i="67"/>
  <c r="D45" i="67" a="1"/>
  <c r="D45" i="67" s="1"/>
  <c r="D48" i="67" a="1"/>
  <c r="D48" i="67" s="1"/>
  <c r="G49" i="67"/>
  <c r="G37" i="67"/>
  <c r="G39" i="67"/>
  <c r="G40" i="67"/>
  <c r="G42" i="67"/>
  <c r="D36" i="67" a="1"/>
  <c r="D36" i="67" s="1"/>
  <c r="F36" i="67" s="1"/>
  <c r="D39" i="67" a="1"/>
  <c r="D39" i="67" s="1"/>
  <c r="D42" i="67" a="1"/>
  <c r="D42" i="67" s="1"/>
  <c r="G22" i="67"/>
  <c r="C26" i="67"/>
  <c r="D26" i="67" s="1" a="1"/>
  <c r="D26" i="67" s="1"/>
  <c r="G23" i="67"/>
  <c r="G19" i="67"/>
  <c r="G36" i="67"/>
  <c r="G18" i="67"/>
  <c r="C24" i="67"/>
  <c r="C27" i="67" s="1"/>
  <c r="G27" i="67" s="1"/>
  <c r="G21" i="67"/>
  <c r="E18" i="67"/>
  <c r="F18" i="67"/>
  <c r="D22" i="67" a="1"/>
  <c r="D22" i="67" s="1"/>
  <c r="C25" i="67"/>
  <c r="G25" i="67" s="1"/>
  <c r="D23" i="67" a="1"/>
  <c r="D23" i="67" s="1"/>
  <c r="F23" i="67" s="1"/>
  <c r="D19" i="67" a="1"/>
  <c r="D19" i="67" s="1"/>
  <c r="D21" i="67" a="1"/>
  <c r="D21" i="67" s="1"/>
  <c r="BR27" i="25" a="1"/>
  <c r="BR27" i="25" s="1"/>
  <c r="BR26" i="25"/>
  <c r="BR25" i="25"/>
  <c r="I55" i="67" l="1"/>
  <c r="J55" i="67" s="1"/>
  <c r="H55" i="67"/>
  <c r="H56" i="67"/>
  <c r="I56" i="67"/>
  <c r="H54" i="67"/>
  <c r="I54" i="67"/>
  <c r="J54" i="67" s="1"/>
  <c r="I57" i="67"/>
  <c r="H57" i="67"/>
  <c r="I53" i="67"/>
  <c r="H53" i="67"/>
  <c r="J53" i="67" s="1"/>
  <c r="E49" i="67"/>
  <c r="H49" i="67" s="1"/>
  <c r="H13" i="67"/>
  <c r="I13" i="67"/>
  <c r="I14" i="67"/>
  <c r="H14" i="67"/>
  <c r="I8" i="67"/>
  <c r="H8" i="67"/>
  <c r="I9" i="67"/>
  <c r="H9" i="67"/>
  <c r="I15" i="67"/>
  <c r="H15" i="67"/>
  <c r="H10" i="67"/>
  <c r="I10" i="67"/>
  <c r="I11" i="67"/>
  <c r="H11" i="67"/>
  <c r="H12" i="67"/>
  <c r="I12" i="67"/>
  <c r="H16" i="67"/>
  <c r="I16" i="67"/>
  <c r="I7" i="67"/>
  <c r="H7" i="67"/>
  <c r="I49" i="67"/>
  <c r="C29" i="67"/>
  <c r="G29" i="67" s="1"/>
  <c r="F46" i="67"/>
  <c r="I46" i="67" s="1"/>
  <c r="E46" i="67"/>
  <c r="H46" i="67" s="1"/>
  <c r="F43" i="67"/>
  <c r="I43" i="67" s="1"/>
  <c r="E43" i="67"/>
  <c r="H43" i="67" s="1"/>
  <c r="E40" i="67"/>
  <c r="H40" i="67" s="1"/>
  <c r="F40" i="67"/>
  <c r="I40" i="67" s="1"/>
  <c r="E37" i="67"/>
  <c r="H37" i="67" s="1"/>
  <c r="F37" i="67"/>
  <c r="I37" i="67" s="1"/>
  <c r="F48" i="67"/>
  <c r="I48" i="67" s="1"/>
  <c r="E48" i="67"/>
  <c r="H48" i="67" s="1"/>
  <c r="E45" i="67"/>
  <c r="H45" i="67" s="1"/>
  <c r="F45" i="67"/>
  <c r="I45" i="67" s="1"/>
  <c r="F42" i="67"/>
  <c r="I42" i="67" s="1"/>
  <c r="E42" i="67"/>
  <c r="H42" i="67" s="1"/>
  <c r="E36" i="67"/>
  <c r="H36" i="67" s="1"/>
  <c r="I36" i="67"/>
  <c r="F39" i="67"/>
  <c r="I39" i="67" s="1"/>
  <c r="E39" i="67"/>
  <c r="H39" i="67" s="1"/>
  <c r="D24" i="67" a="1"/>
  <c r="D24" i="67" s="1"/>
  <c r="G24" i="67"/>
  <c r="H18" i="67"/>
  <c r="I18" i="67"/>
  <c r="E23" i="67"/>
  <c r="H23" i="67" s="1"/>
  <c r="F22" i="67"/>
  <c r="I22" i="67" s="1"/>
  <c r="I23" i="67" s="1"/>
  <c r="F26" i="67"/>
  <c r="E26" i="67"/>
  <c r="H26" i="67" s="1"/>
  <c r="E19" i="67"/>
  <c r="H19" i="67" s="1"/>
  <c r="H20" i="67" s="1"/>
  <c r="F19" i="67"/>
  <c r="I19" i="67" s="1"/>
  <c r="E21" i="67"/>
  <c r="H21" i="67" s="1"/>
  <c r="F21" i="67"/>
  <c r="I21" i="67" s="1"/>
  <c r="I20" i="67" s="1"/>
  <c r="E22" i="67"/>
  <c r="H22" i="67" s="1"/>
  <c r="C28" i="67"/>
  <c r="G28" i="67" s="1"/>
  <c r="D25" i="67" a="1"/>
  <c r="D25" i="67" s="1"/>
  <c r="D27" i="67" a="1"/>
  <c r="D27" i="67" s="1"/>
  <c r="C32" i="67"/>
  <c r="G32" i="67" s="1"/>
  <c r="C30" i="67"/>
  <c r="G30" i="67" s="1"/>
  <c r="BR12" i="25"/>
  <c r="BR14" i="25" s="1"/>
  <c r="BR32" i="25"/>
  <c r="BQ29" i="25"/>
  <c r="BQ28" i="25"/>
  <c r="BQ27" i="25"/>
  <c r="BQ26" i="25"/>
  <c r="BQ25" i="25"/>
  <c r="BQ24" i="25"/>
  <c r="BR13" i="25"/>
  <c r="K36" i="67" a="1"/>
  <c r="K7" i="67" a="1"/>
  <c r="K42" i="67" a="1"/>
  <c r="K39" i="67" a="1"/>
  <c r="K48" i="67" a="1"/>
  <c r="K45" i="67" a="1"/>
  <c r="K53" i="67" l="1"/>
  <c r="J57" i="67"/>
  <c r="K57" i="67" s="1"/>
  <c r="K54" i="67"/>
  <c r="J56" i="67"/>
  <c r="K56" i="67" s="1"/>
  <c r="K55" i="67"/>
  <c r="D29" i="67" a="1"/>
  <c r="D29" i="67" s="1"/>
  <c r="F29" i="67" s="1"/>
  <c r="I29" i="67" s="1"/>
  <c r="K7" i="67"/>
  <c r="K42" i="67"/>
  <c r="K39" i="67"/>
  <c r="K36" i="67"/>
  <c r="K45" i="67"/>
  <c r="K48" i="67"/>
  <c r="E24" i="67"/>
  <c r="H24" i="67" s="1"/>
  <c r="F24" i="67"/>
  <c r="I24" i="67" s="1"/>
  <c r="C31" i="67"/>
  <c r="G31" i="67" s="1"/>
  <c r="D28" i="67" a="1"/>
  <c r="D28" i="67" s="1"/>
  <c r="E28" i="67" s="1"/>
  <c r="H28" i="67" s="1"/>
  <c r="H29" i="67" s="1"/>
  <c r="F27" i="67"/>
  <c r="I27" i="67" s="1"/>
  <c r="E27" i="67"/>
  <c r="H27" i="67" s="1"/>
  <c r="F25" i="67"/>
  <c r="I25" i="67" s="1"/>
  <c r="I26" i="67" s="1"/>
  <c r="E25" i="67"/>
  <c r="H25" i="67" s="1"/>
  <c r="D30" i="67" a="1"/>
  <c r="D30" i="67" s="1"/>
  <c r="E30" i="67" s="1"/>
  <c r="H30" i="67" s="1"/>
  <c r="D32" i="67" a="1"/>
  <c r="D32" i="67" s="1"/>
  <c r="BR17" i="25"/>
  <c r="E322" i="63"/>
  <c r="H322" i="63"/>
  <c r="I322" i="63"/>
  <c r="J322" i="63"/>
  <c r="K322" i="63" a="1"/>
  <c r="K322" i="63" s="1"/>
  <c r="E323" i="63"/>
  <c r="H323" i="63"/>
  <c r="I323" i="63"/>
  <c r="J323" i="63"/>
  <c r="K323" i="63" a="1"/>
  <c r="K323" i="63" s="1"/>
  <c r="E328" i="63"/>
  <c r="H328" i="63"/>
  <c r="I328" i="63"/>
  <c r="J328" i="63"/>
  <c r="K328" i="63" a="1"/>
  <c r="K328" i="63" s="1"/>
  <c r="E329" i="63"/>
  <c r="H329" i="63"/>
  <c r="I329" i="63"/>
  <c r="J329" i="63"/>
  <c r="K329" i="63" a="1"/>
  <c r="K329" i="63" s="1"/>
  <c r="AK31" i="8"/>
  <c r="AK30" i="8"/>
  <c r="AK29" i="8"/>
  <c r="AK28" i="8"/>
  <c r="AK27" i="8"/>
  <c r="AK26" i="8"/>
  <c r="AK25" i="8"/>
  <c r="AL4" i="8"/>
  <c r="AL34" i="8"/>
  <c r="AL29" i="8"/>
  <c r="AL26" i="8"/>
  <c r="AM31" i="8"/>
  <c r="AM30" i="8"/>
  <c r="AM29" i="8"/>
  <c r="AM28" i="8"/>
  <c r="AM27" i="8"/>
  <c r="AM26" i="8"/>
  <c r="AM25" i="8"/>
  <c r="K85" i="67" l="1" a="1"/>
  <c r="K85" i="67" s="1"/>
  <c r="K88" i="67" a="1"/>
  <c r="K88" i="67" s="1"/>
  <c r="E29" i="67"/>
  <c r="D31" i="67" a="1"/>
  <c r="D31" i="67" s="1"/>
  <c r="F31" i="67" s="1"/>
  <c r="I31" i="67" s="1"/>
  <c r="I32" i="67" s="1"/>
  <c r="F28" i="67"/>
  <c r="I28" i="67" s="1"/>
  <c r="E32" i="67"/>
  <c r="H32" i="67" s="1"/>
  <c r="F30" i="67"/>
  <c r="I30" i="67" s="1"/>
  <c r="F32" i="67"/>
  <c r="F323" i="63"/>
  <c r="G323" i="63" s="1" a="1"/>
  <c r="G323" i="63" s="1"/>
  <c r="F322" i="63"/>
  <c r="G322" i="63" s="1" a="1"/>
  <c r="G322" i="63" s="1"/>
  <c r="F328" i="63"/>
  <c r="G328" i="63" s="1" a="1"/>
  <c r="G328" i="63" s="1"/>
  <c r="F329" i="63"/>
  <c r="G329" i="63" s="1" a="1"/>
  <c r="G329" i="63" s="1"/>
  <c r="AL27" i="8"/>
  <c r="AL20" i="8"/>
  <c r="AL28" i="8"/>
  <c r="E326" i="63"/>
  <c r="H326" i="63"/>
  <c r="I326" i="63"/>
  <c r="J326" i="63"/>
  <c r="K326" i="63" a="1"/>
  <c r="K326" i="63" s="1"/>
  <c r="E327" i="63"/>
  <c r="H327" i="63"/>
  <c r="I327" i="63"/>
  <c r="J327" i="63"/>
  <c r="K327" i="63" a="1"/>
  <c r="K327" i="63" s="1"/>
  <c r="BJ12" i="25"/>
  <c r="BJ14" i="25" s="1"/>
  <c r="BJ32" i="25"/>
  <c r="BJ13" i="25"/>
  <c r="BK29" i="25"/>
  <c r="BK28" i="25"/>
  <c r="BK27" i="25"/>
  <c r="BK26" i="25"/>
  <c r="BK25" i="25"/>
  <c r="BK24" i="25"/>
  <c r="BJ25" i="25" a="1"/>
  <c r="E31" i="67" l="1"/>
  <c r="H31" i="67" s="1"/>
  <c r="J43" i="67" s="1"/>
  <c r="K73" i="67"/>
  <c r="F326" i="63"/>
  <c r="G326" i="63" s="1" a="1"/>
  <c r="G326" i="63" s="1"/>
  <c r="BJ17" i="25"/>
  <c r="F327" i="63"/>
  <c r="G327" i="63" s="1" a="1"/>
  <c r="G327" i="63" s="1"/>
  <c r="BJ25" i="25"/>
  <c r="F38" i="66"/>
  <c r="J48" i="67" l="1"/>
  <c r="J46" i="67"/>
  <c r="J49" i="67"/>
  <c r="J45" i="67"/>
  <c r="J36" i="67"/>
  <c r="J39" i="67"/>
  <c r="J37" i="67"/>
  <c r="J42" i="67"/>
  <c r="J40" i="67"/>
  <c r="K70" i="67"/>
  <c r="K71" i="67"/>
  <c r="K72" i="67"/>
  <c r="B22" i="66"/>
  <c r="B21" i="66"/>
  <c r="B20" i="66"/>
  <c r="F24" i="66"/>
  <c r="F25" i="66"/>
  <c r="F26" i="66"/>
  <c r="F27" i="66"/>
  <c r="K79" i="67" l="1" a="1"/>
  <c r="K79" i="67" s="1"/>
  <c r="C22" i="66"/>
  <c r="C27" i="66" s="1"/>
  <c r="C19" i="66"/>
  <c r="C24" i="66" s="1"/>
  <c r="C25" i="66"/>
  <c r="C26" i="66"/>
  <c r="B26" i="66"/>
  <c r="F21" i="66" a="1"/>
  <c r="F21" i="66" l="1"/>
  <c r="E207" i="63"/>
  <c r="H207" i="63"/>
  <c r="I207" i="63"/>
  <c r="J207" i="63"/>
  <c r="K207" i="63" a="1"/>
  <c r="K207" i="63" s="1"/>
  <c r="F208" i="63" s="1"/>
  <c r="G208" i="63" s="1" a="1"/>
  <c r="G208" i="63" s="1"/>
  <c r="C208" i="63"/>
  <c r="F23" i="66"/>
  <c r="F33" i="66"/>
  <c r="F32" i="66"/>
  <c r="I208" i="63" l="1"/>
  <c r="H208" i="63"/>
  <c r="J208" i="63"/>
  <c r="F207" i="63"/>
  <c r="G207" i="63" s="1" a="1"/>
  <c r="G207" i="63" s="1"/>
  <c r="F39" i="66" a="1"/>
  <c r="F39" i="66" s="1"/>
  <c r="E238" i="63" l="1"/>
  <c r="K238" i="63" a="1"/>
  <c r="K238" i="63" s="1"/>
  <c r="E239" i="63"/>
  <c r="H239" i="63"/>
  <c r="I239" i="63"/>
  <c r="J239" i="63"/>
  <c r="K239" i="63" a="1"/>
  <c r="K239" i="63" s="1"/>
  <c r="C238" i="63"/>
  <c r="H238" i="63" s="1"/>
  <c r="D11" i="65"/>
  <c r="D21" i="65" s="1"/>
  <c r="C17" i="65"/>
  <c r="C27" i="65" s="1"/>
  <c r="C16" i="65"/>
  <c r="D18" i="65" s="1"/>
  <c r="D28" i="65" s="1"/>
  <c r="C12" i="65"/>
  <c r="C22" i="65" s="1"/>
  <c r="C11" i="65"/>
  <c r="D14" i="65" s="1"/>
  <c r="D24" i="65" s="1"/>
  <c r="C7" i="65"/>
  <c r="C8" i="65" s="1"/>
  <c r="C9" i="65" s="1"/>
  <c r="D6" i="65"/>
  <c r="D7" i="65" s="1"/>
  <c r="D8" i="65" s="1"/>
  <c r="D9" i="65" s="1"/>
  <c r="F239" i="63" l="1"/>
  <c r="G239" i="63" s="1" a="1"/>
  <c r="G239" i="63" s="1"/>
  <c r="F238" i="63"/>
  <c r="G238" i="63" s="1" a="1"/>
  <c r="G238" i="63" s="1"/>
  <c r="J238" i="63"/>
  <c r="I23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P9" i="63"/>
  <c r="Q9" i="63" s="1"/>
  <c r="C28" i="65" l="1"/>
  <c r="T16" i="8"/>
  <c r="P8" i="63" l="1"/>
  <c r="Q8" i="63" s="1"/>
  <c r="C152" i="63" l="1"/>
  <c r="F3" i="65" l="1"/>
  <c r="E200" i="63"/>
  <c r="H200" i="63"/>
  <c r="I200" i="63"/>
  <c r="J200" i="63"/>
  <c r="K200" i="63" a="1"/>
  <c r="K200" i="63" s="1"/>
  <c r="E201" i="63"/>
  <c r="H201" i="63"/>
  <c r="I201" i="63"/>
  <c r="J201" i="63"/>
  <c r="K201" i="63" a="1"/>
  <c r="K201" i="63" s="1"/>
  <c r="F11" i="65" a="1"/>
  <c r="F26" i="65" a="1"/>
  <c r="F21" i="65" a="1"/>
  <c r="F16"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00" i="63"/>
  <c r="G200" i="63" s="1" a="1"/>
  <c r="G200" i="63" s="1"/>
  <c r="F201" i="63"/>
  <c r="G201" i="63" s="1" a="1"/>
  <c r="G201" i="63" s="1"/>
  <c r="F47" i="65" a="1"/>
  <c r="F47" i="65" l="1"/>
  <c r="F48" i="65" a="1"/>
  <c r="F48" i="65" s="1"/>
  <c r="F38" i="65" a="1"/>
  <c r="F38" i="65" s="1"/>
  <c r="E20" i="64"/>
  <c r="E21" i="64" l="1"/>
  <c r="E22" i="64"/>
  <c r="C3" i="63"/>
  <c r="J3" i="63" s="1"/>
  <c r="C7" i="63"/>
  <c r="H7" i="63" s="1"/>
  <c r="C26" i="63"/>
  <c r="C31" i="63"/>
  <c r="C33" i="63"/>
  <c r="J33" i="63" s="1"/>
  <c r="C40" i="63"/>
  <c r="I40" i="63" s="1"/>
  <c r="C42" i="63"/>
  <c r="C101" i="63"/>
  <c r="H101" i="63" s="1"/>
  <c r="C108" i="63"/>
  <c r="I108" i="63" s="1"/>
  <c r="C111" i="63"/>
  <c r="C145" i="63"/>
  <c r="I145" i="63" s="1"/>
  <c r="C175" i="63"/>
  <c r="J175" i="63" s="1"/>
  <c r="C196" i="63"/>
  <c r="C198" i="63"/>
  <c r="I198" i="63" s="1"/>
  <c r="C205" i="63"/>
  <c r="J205" i="63" s="1"/>
  <c r="C212" i="63"/>
  <c r="I212" i="63" s="1"/>
  <c r="C214" i="63"/>
  <c r="H214" i="63" s="1"/>
  <c r="C217" i="63"/>
  <c r="I217" i="63" s="1"/>
  <c r="C221" i="63"/>
  <c r="J221" i="63" s="1"/>
  <c r="C223" i="63"/>
  <c r="I223" i="63" s="1"/>
  <c r="C227" i="63"/>
  <c r="I227" i="63" s="1"/>
  <c r="C232" i="63"/>
  <c r="I232" i="63" s="1"/>
  <c r="C233" i="63"/>
  <c r="J233" i="63" s="1"/>
  <c r="C234" i="63"/>
  <c r="C236" i="63"/>
  <c r="H236" i="63" s="1"/>
  <c r="C241" i="63"/>
  <c r="I241" i="63" s="1"/>
  <c r="C243" i="63"/>
  <c r="J243" i="63" s="1"/>
  <c r="C244" i="63"/>
  <c r="I244" i="63" s="1"/>
  <c r="C246" i="63"/>
  <c r="I246" i="63" s="1"/>
  <c r="C248" i="63"/>
  <c r="I248" i="63" s="1"/>
  <c r="C253" i="63"/>
  <c r="H253" i="63" s="1"/>
  <c r="C261" i="63"/>
  <c r="C263" i="63"/>
  <c r="H263" i="63" s="1"/>
  <c r="C267" i="63"/>
  <c r="I267" i="63" s="1"/>
  <c r="I271" i="63"/>
  <c r="C275" i="63"/>
  <c r="I275" i="63" s="1"/>
  <c r="C291" i="63"/>
  <c r="I291" i="63" s="1"/>
  <c r="C293" i="63"/>
  <c r="I293" i="63" s="1"/>
  <c r="C295" i="63"/>
  <c r="H295" i="63" s="1"/>
  <c r="H296" i="63"/>
  <c r="C297" i="63"/>
  <c r="I297" i="63" s="1"/>
  <c r="C298" i="63"/>
  <c r="I298" i="63" s="1"/>
  <c r="C300" i="63"/>
  <c r="H300" i="63" s="1"/>
  <c r="I303" i="63"/>
  <c r="C304" i="63"/>
  <c r="J304" i="63" s="1"/>
  <c r="C308" i="63"/>
  <c r="I308" i="63" s="1"/>
  <c r="C309" i="63"/>
  <c r="J309" i="63" s="1"/>
  <c r="C318" i="63"/>
  <c r="I318" i="63" s="1"/>
  <c r="C320" i="63"/>
  <c r="I320" i="63" s="1"/>
  <c r="C321" i="63"/>
  <c r="J321" i="63" s="1"/>
  <c r="C324" i="63"/>
  <c r="J324" i="63" s="1"/>
  <c r="C330" i="63"/>
  <c r="H330" i="63" s="1"/>
  <c r="C332" i="63"/>
  <c r="I332" i="63" s="1"/>
  <c r="C337" i="63"/>
  <c r="I337" i="63" s="1"/>
  <c r="C338" i="63"/>
  <c r="I338" i="63" s="1"/>
  <c r="C340" i="63"/>
  <c r="J340" i="63" s="1"/>
  <c r="K342" i="63" a="1"/>
  <c r="K342" i="63" s="1"/>
  <c r="J342" i="63"/>
  <c r="I342" i="63"/>
  <c r="H342" i="63"/>
  <c r="E342" i="63"/>
  <c r="K341" i="63" a="1"/>
  <c r="K341" i="63" s="1"/>
  <c r="J341" i="63"/>
  <c r="I341" i="63"/>
  <c r="H341" i="63"/>
  <c r="E341" i="63"/>
  <c r="K340" i="63" a="1"/>
  <c r="K340" i="63" s="1"/>
  <c r="E340" i="63"/>
  <c r="K339" i="63" a="1"/>
  <c r="K339" i="63" s="1"/>
  <c r="J339" i="63"/>
  <c r="I339" i="63"/>
  <c r="H339" i="63"/>
  <c r="E339" i="63"/>
  <c r="K338" i="63" a="1"/>
  <c r="K338" i="63" s="1"/>
  <c r="E338" i="63"/>
  <c r="K337" i="63" a="1"/>
  <c r="K337" i="63" s="1"/>
  <c r="E337" i="63"/>
  <c r="K336" i="63" a="1"/>
  <c r="K336" i="63" s="1"/>
  <c r="J336" i="63"/>
  <c r="I336" i="63"/>
  <c r="H336" i="63"/>
  <c r="F336" i="63"/>
  <c r="E336" i="63"/>
  <c r="K335" i="63" a="1"/>
  <c r="K335" i="63" s="1"/>
  <c r="J335" i="63"/>
  <c r="I335" i="63"/>
  <c r="H335" i="63"/>
  <c r="F335" i="63"/>
  <c r="E335" i="63"/>
  <c r="K334" i="63" a="1"/>
  <c r="K334" i="63" s="1"/>
  <c r="F334" i="63" s="1"/>
  <c r="J334" i="63"/>
  <c r="I334" i="63"/>
  <c r="H334" i="63"/>
  <c r="E334" i="63"/>
  <c r="K333" i="63" a="1"/>
  <c r="K333" i="63" s="1"/>
  <c r="J333" i="63"/>
  <c r="I333" i="63"/>
  <c r="H333" i="63"/>
  <c r="E333" i="63"/>
  <c r="K332" i="63" a="1"/>
  <c r="K332" i="63" s="1"/>
  <c r="E332" i="63"/>
  <c r="K331" i="63" a="1"/>
  <c r="K331" i="63" s="1"/>
  <c r="J331" i="63"/>
  <c r="I331" i="63"/>
  <c r="H331" i="63"/>
  <c r="E331" i="63"/>
  <c r="K330" i="63" a="1"/>
  <c r="K330" i="63" s="1"/>
  <c r="E330" i="63"/>
  <c r="K325" i="63" a="1"/>
  <c r="K325" i="63" s="1"/>
  <c r="J325" i="63"/>
  <c r="I325" i="63"/>
  <c r="H325" i="63"/>
  <c r="E325" i="63"/>
  <c r="K324" i="63" a="1"/>
  <c r="K324" i="63" s="1"/>
  <c r="E324" i="63"/>
  <c r="K321" i="63" a="1"/>
  <c r="K321" i="63" s="1"/>
  <c r="E321" i="63"/>
  <c r="K320" i="63" a="1"/>
  <c r="K320" i="63" s="1"/>
  <c r="E320" i="63"/>
  <c r="K319" i="63" a="1"/>
  <c r="K319" i="63" s="1"/>
  <c r="J319" i="63"/>
  <c r="I319" i="63"/>
  <c r="H319" i="63"/>
  <c r="E319" i="63"/>
  <c r="K318" i="63" a="1"/>
  <c r="K318" i="63" s="1"/>
  <c r="E318" i="63"/>
  <c r="K317" i="63" a="1"/>
  <c r="K317" i="63" s="1"/>
  <c r="J317" i="63"/>
  <c r="I317" i="63"/>
  <c r="H317" i="63"/>
  <c r="E317" i="63"/>
  <c r="K316" i="63" a="1"/>
  <c r="K316" i="63" s="1"/>
  <c r="J316" i="63"/>
  <c r="I316" i="63"/>
  <c r="H316" i="63"/>
  <c r="E316" i="63"/>
  <c r="K315" i="63" a="1"/>
  <c r="K315" i="63" s="1"/>
  <c r="J315" i="63"/>
  <c r="I315" i="63"/>
  <c r="H315" i="63"/>
  <c r="F315" i="63"/>
  <c r="E315" i="63"/>
  <c r="K314" i="63" a="1"/>
  <c r="K314" i="63" s="1"/>
  <c r="F314" i="63" s="1"/>
  <c r="J314" i="63"/>
  <c r="I314" i="63"/>
  <c r="H314" i="63"/>
  <c r="E314" i="63"/>
  <c r="K310" i="63" a="1"/>
  <c r="K310" i="63" s="1"/>
  <c r="F310" i="63" s="1"/>
  <c r="J310" i="63"/>
  <c r="I310" i="63"/>
  <c r="H310" i="63"/>
  <c r="E310" i="63"/>
  <c r="K309" i="63" a="1"/>
  <c r="K309" i="63" s="1"/>
  <c r="E309" i="63"/>
  <c r="K308" i="63" a="1"/>
  <c r="K308" i="63" s="1"/>
  <c r="E308" i="63"/>
  <c r="K305" i="63" a="1"/>
  <c r="K305" i="63" s="1"/>
  <c r="J305" i="63"/>
  <c r="I305" i="63"/>
  <c r="H305" i="63"/>
  <c r="E305" i="63"/>
  <c r="K304" i="63" a="1"/>
  <c r="K304" i="63" s="1"/>
  <c r="E304" i="63"/>
  <c r="K303" i="63" a="1"/>
  <c r="K303" i="63" s="1"/>
  <c r="E303" i="63"/>
  <c r="K302" i="63" a="1"/>
  <c r="K302" i="63" s="1"/>
  <c r="J302" i="63"/>
  <c r="I302" i="63"/>
  <c r="H302" i="63"/>
  <c r="E302" i="63"/>
  <c r="K301" i="63" a="1"/>
  <c r="K301" i="63" s="1"/>
  <c r="J301" i="63"/>
  <c r="I301" i="63"/>
  <c r="H301" i="63"/>
  <c r="F301" i="63"/>
  <c r="E301" i="63"/>
  <c r="K300" i="63" a="1"/>
  <c r="K300" i="63" s="1"/>
  <c r="E300" i="63"/>
  <c r="K299" i="63" a="1"/>
  <c r="K299" i="63" s="1"/>
  <c r="J299" i="63"/>
  <c r="I299" i="63"/>
  <c r="H299" i="63"/>
  <c r="E299" i="63"/>
  <c r="K298" i="63" a="1"/>
  <c r="K298" i="63" s="1"/>
  <c r="E298" i="63"/>
  <c r="K297" i="63" a="1"/>
  <c r="K297" i="63" s="1"/>
  <c r="E297" i="63"/>
  <c r="J297" i="63"/>
  <c r="K296" i="63" a="1"/>
  <c r="K296" i="63" s="1"/>
  <c r="E296" i="63"/>
  <c r="K295" i="63" a="1"/>
  <c r="K295" i="63" s="1"/>
  <c r="E295" i="63"/>
  <c r="K294" i="63" a="1"/>
  <c r="K294" i="63" s="1"/>
  <c r="J294" i="63"/>
  <c r="I294" i="63"/>
  <c r="H294" i="63"/>
  <c r="E294" i="63"/>
  <c r="K293" i="63" a="1"/>
  <c r="K293" i="63" s="1"/>
  <c r="E293" i="63"/>
  <c r="K292" i="63" a="1"/>
  <c r="K292" i="63" s="1"/>
  <c r="J292" i="63"/>
  <c r="I292" i="63"/>
  <c r="H292" i="63"/>
  <c r="E292" i="63"/>
  <c r="K291" i="63" a="1"/>
  <c r="K291" i="63" s="1"/>
  <c r="E291" i="63"/>
  <c r="K286" i="63" a="1"/>
  <c r="K286" i="63" s="1"/>
  <c r="J286" i="63"/>
  <c r="I286" i="63"/>
  <c r="H286" i="63"/>
  <c r="E286" i="63"/>
  <c r="K285" i="63" a="1"/>
  <c r="K285" i="63" s="1"/>
  <c r="J285" i="63"/>
  <c r="I285" i="63"/>
  <c r="H285" i="63"/>
  <c r="E285" i="63"/>
  <c r="K284" i="63" a="1"/>
  <c r="K284" i="63" s="1"/>
  <c r="J284" i="63"/>
  <c r="I284" i="63"/>
  <c r="H284" i="63"/>
  <c r="E284" i="63"/>
  <c r="K283" i="63" a="1"/>
  <c r="K283" i="63" s="1"/>
  <c r="J283" i="63"/>
  <c r="I283" i="63"/>
  <c r="H283" i="63"/>
  <c r="E283" i="63"/>
  <c r="K280" i="63" a="1"/>
  <c r="K280" i="63" s="1"/>
  <c r="J280" i="63"/>
  <c r="I280" i="63"/>
  <c r="H280" i="63"/>
  <c r="E280" i="63"/>
  <c r="K279" i="63" a="1"/>
  <c r="K279" i="63" s="1"/>
  <c r="J279" i="63"/>
  <c r="I279" i="63"/>
  <c r="H279" i="63"/>
  <c r="E279" i="63"/>
  <c r="K278" i="63" a="1"/>
  <c r="K278" i="63" s="1"/>
  <c r="J278" i="63"/>
  <c r="I278" i="63"/>
  <c r="H278" i="63"/>
  <c r="E278" i="63"/>
  <c r="K277" i="63" a="1"/>
  <c r="K277" i="63" s="1"/>
  <c r="J277" i="63"/>
  <c r="I277" i="63"/>
  <c r="H277" i="63"/>
  <c r="E277" i="63"/>
  <c r="K276" i="63" a="1"/>
  <c r="K276" i="63" s="1"/>
  <c r="J276" i="63"/>
  <c r="I276" i="63"/>
  <c r="H276" i="63"/>
  <c r="E276" i="63"/>
  <c r="K275" i="63" a="1"/>
  <c r="K275" i="63" s="1"/>
  <c r="E275" i="63"/>
  <c r="K274" i="63" a="1"/>
  <c r="K274" i="63" s="1"/>
  <c r="J274" i="63"/>
  <c r="I274" i="63"/>
  <c r="H274" i="63"/>
  <c r="E274" i="63"/>
  <c r="K273" i="63" a="1"/>
  <c r="K273" i="63" s="1"/>
  <c r="J273" i="63"/>
  <c r="I273" i="63"/>
  <c r="H273" i="63"/>
  <c r="E273" i="63"/>
  <c r="K272" i="63" a="1"/>
  <c r="K272" i="63" s="1"/>
  <c r="J272" i="63"/>
  <c r="I272" i="63"/>
  <c r="H272" i="63"/>
  <c r="E272" i="63"/>
  <c r="K271" i="63" a="1"/>
  <c r="K271" i="63" s="1"/>
  <c r="E271" i="63"/>
  <c r="K270" i="63" a="1"/>
  <c r="K270" i="63" s="1"/>
  <c r="J270" i="63"/>
  <c r="I270" i="63"/>
  <c r="H270" i="63"/>
  <c r="E270" i="63"/>
  <c r="K269" i="63" a="1"/>
  <c r="K269" i="63" s="1"/>
  <c r="J269" i="63"/>
  <c r="I269" i="63"/>
  <c r="H269" i="63"/>
  <c r="E269" i="63"/>
  <c r="K268" i="63" a="1"/>
  <c r="K268" i="63" s="1"/>
  <c r="J268" i="63"/>
  <c r="I268" i="63"/>
  <c r="H268" i="63"/>
  <c r="E268" i="63"/>
  <c r="K267" i="63" a="1"/>
  <c r="K267" i="63" s="1"/>
  <c r="E267" i="63"/>
  <c r="K266" i="63" a="1"/>
  <c r="K266" i="63" s="1"/>
  <c r="J266" i="63"/>
  <c r="I266" i="63"/>
  <c r="H266" i="63"/>
  <c r="E266" i="63"/>
  <c r="K265" i="63" a="1"/>
  <c r="K265" i="63" s="1"/>
  <c r="J265" i="63"/>
  <c r="I265" i="63"/>
  <c r="H265" i="63"/>
  <c r="E265" i="63"/>
  <c r="K264" i="63" a="1"/>
  <c r="K264" i="63" s="1"/>
  <c r="J264" i="63"/>
  <c r="I264" i="63"/>
  <c r="H264" i="63"/>
  <c r="E264" i="63"/>
  <c r="K263" i="63" a="1"/>
  <c r="K263" i="63" s="1"/>
  <c r="E263" i="63"/>
  <c r="K262" i="63" a="1"/>
  <c r="K262" i="63" s="1"/>
  <c r="F261" i="63" s="1"/>
  <c r="G261" i="63" s="1" a="1"/>
  <c r="G261" i="63" s="1"/>
  <c r="J262" i="63"/>
  <c r="I262" i="63"/>
  <c r="H262" i="63"/>
  <c r="E262" i="63"/>
  <c r="K255" i="63" a="1"/>
  <c r="K255" i="63" s="1"/>
  <c r="J255" i="63"/>
  <c r="I255" i="63"/>
  <c r="H255" i="63"/>
  <c r="E255" i="63"/>
  <c r="K254" i="63" a="1"/>
  <c r="K254" i="63" s="1"/>
  <c r="J254" i="63"/>
  <c r="I254" i="63"/>
  <c r="H254" i="63"/>
  <c r="E254" i="63"/>
  <c r="K253" i="63" a="1"/>
  <c r="K253" i="63" s="1"/>
  <c r="E253" i="63"/>
  <c r="K252" i="63" a="1"/>
  <c r="K252" i="63" s="1"/>
  <c r="J252" i="63"/>
  <c r="I252" i="63"/>
  <c r="H252" i="63"/>
  <c r="E252" i="63"/>
  <c r="K251" i="63" a="1"/>
  <c r="K251" i="63" s="1"/>
  <c r="J251" i="63"/>
  <c r="I251" i="63"/>
  <c r="H251" i="63"/>
  <c r="E251" i="63"/>
  <c r="K250" i="63" a="1"/>
  <c r="K250" i="63" s="1"/>
  <c r="J250" i="63"/>
  <c r="I250" i="63"/>
  <c r="H250" i="63"/>
  <c r="E250" i="63"/>
  <c r="K249" i="63" a="1"/>
  <c r="K249" i="63" s="1"/>
  <c r="J249" i="63"/>
  <c r="I249" i="63"/>
  <c r="H249" i="63"/>
  <c r="E249" i="63"/>
  <c r="K248" i="63" a="1"/>
  <c r="K248" i="63" s="1"/>
  <c r="E248" i="63"/>
  <c r="K247" i="63" a="1"/>
  <c r="K247" i="63" s="1"/>
  <c r="J247" i="63"/>
  <c r="I247" i="63"/>
  <c r="H247" i="63"/>
  <c r="E247" i="63"/>
  <c r="K246" i="63" a="1"/>
  <c r="K246" i="63" s="1"/>
  <c r="E246" i="63"/>
  <c r="K245" i="63" a="1"/>
  <c r="K245" i="63" s="1"/>
  <c r="J245" i="63"/>
  <c r="I245" i="63"/>
  <c r="H245" i="63"/>
  <c r="E245" i="63"/>
  <c r="K244" i="63" a="1"/>
  <c r="K244" i="63" s="1"/>
  <c r="E244" i="63"/>
  <c r="K243" i="63" a="1"/>
  <c r="K243" i="63" s="1"/>
  <c r="E243" i="63"/>
  <c r="K242" i="63" a="1"/>
  <c r="K242" i="63" s="1"/>
  <c r="J242" i="63"/>
  <c r="I242" i="63"/>
  <c r="H242" i="63"/>
  <c r="E242" i="63"/>
  <c r="K241" i="63" a="1"/>
  <c r="K241" i="63" s="1"/>
  <c r="E241" i="63"/>
  <c r="K240" i="63" a="1"/>
  <c r="K240" i="63" s="1"/>
  <c r="J240" i="63"/>
  <c r="I240" i="63"/>
  <c r="H240" i="63"/>
  <c r="E240" i="63"/>
  <c r="K237" i="63" a="1"/>
  <c r="K237" i="63" s="1"/>
  <c r="J237" i="63"/>
  <c r="I237" i="63"/>
  <c r="H237" i="63"/>
  <c r="E237" i="63"/>
  <c r="K236" i="63" a="1"/>
  <c r="K236" i="63" s="1"/>
  <c r="J236" i="63"/>
  <c r="I236" i="63"/>
  <c r="E236" i="63"/>
  <c r="K235" i="63" a="1"/>
  <c r="K235" i="63" s="1"/>
  <c r="J235" i="63"/>
  <c r="I235" i="63"/>
  <c r="H235" i="63"/>
  <c r="E235" i="63"/>
  <c r="K234" i="63" a="1"/>
  <c r="K234" i="63" s="1"/>
  <c r="E234" i="63"/>
  <c r="K233" i="63" a="1"/>
  <c r="K233" i="63" s="1"/>
  <c r="E233" i="63"/>
  <c r="K232" i="63" a="1"/>
  <c r="K232" i="63" s="1"/>
  <c r="E232" i="63"/>
  <c r="K231" i="63" a="1"/>
  <c r="K231" i="63" s="1"/>
  <c r="J231" i="63"/>
  <c r="I231" i="63"/>
  <c r="H231" i="63"/>
  <c r="F231" i="63"/>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J227" i="63"/>
  <c r="E227" i="63"/>
  <c r="H227" i="63"/>
  <c r="K226" i="63" a="1"/>
  <c r="K226" i="63" s="1"/>
  <c r="J226" i="63"/>
  <c r="I226" i="63"/>
  <c r="H226" i="63"/>
  <c r="E226" i="63"/>
  <c r="K225" i="63" a="1"/>
  <c r="K225" i="63" s="1"/>
  <c r="J225" i="63"/>
  <c r="I225" i="63"/>
  <c r="H225" i="63"/>
  <c r="E225" i="63"/>
  <c r="K224" i="63" a="1"/>
  <c r="K224" i="63" s="1"/>
  <c r="J224" i="63"/>
  <c r="I224" i="63"/>
  <c r="H224" i="63"/>
  <c r="E224" i="63"/>
  <c r="K223" i="63" a="1"/>
  <c r="K223" i="63" s="1"/>
  <c r="E223" i="63"/>
  <c r="K222" i="63" a="1"/>
  <c r="K222" i="63" s="1"/>
  <c r="J222" i="63"/>
  <c r="I222" i="63"/>
  <c r="H222" i="63"/>
  <c r="E222" i="63"/>
  <c r="K221" i="63" a="1"/>
  <c r="K221" i="63" s="1"/>
  <c r="E221" i="63"/>
  <c r="K220" i="63" a="1"/>
  <c r="K220" i="63" s="1"/>
  <c r="J220" i="63"/>
  <c r="I220" i="63"/>
  <c r="H220" i="63"/>
  <c r="E220" i="63"/>
  <c r="K219" i="63" a="1"/>
  <c r="K219" i="63" s="1"/>
  <c r="J219" i="63"/>
  <c r="I219" i="63"/>
  <c r="H219" i="63"/>
  <c r="E219" i="63"/>
  <c r="K218" i="63" a="1"/>
  <c r="K218" i="63" s="1"/>
  <c r="J218" i="63"/>
  <c r="I218" i="63"/>
  <c r="H218" i="63"/>
  <c r="E218" i="63"/>
  <c r="K217" i="63" a="1"/>
  <c r="K217" i="63" s="1"/>
  <c r="E217" i="63"/>
  <c r="K214" i="63" a="1"/>
  <c r="K214" i="63" s="1"/>
  <c r="I214" i="63"/>
  <c r="E214" i="63"/>
  <c r="K213" i="63" a="1"/>
  <c r="K213" i="63" s="1"/>
  <c r="J213" i="63"/>
  <c r="I213" i="63"/>
  <c r="H213" i="63"/>
  <c r="E213" i="63"/>
  <c r="K212" i="63" a="1"/>
  <c r="K212" i="63" s="1"/>
  <c r="E212" i="63"/>
  <c r="K211" i="63" a="1"/>
  <c r="K211" i="63" s="1"/>
  <c r="J211" i="63"/>
  <c r="I211" i="63"/>
  <c r="H211" i="63"/>
  <c r="E211" i="63"/>
  <c r="K206" i="63" a="1"/>
  <c r="K206" i="63" s="1"/>
  <c r="J206" i="63"/>
  <c r="I206" i="63"/>
  <c r="H206" i="63"/>
  <c r="E206" i="63"/>
  <c r="K205" i="63" a="1"/>
  <c r="K205" i="63" s="1"/>
  <c r="E205" i="63"/>
  <c r="K203" i="63" a="1"/>
  <c r="K203" i="63" s="1"/>
  <c r="J203" i="63"/>
  <c r="I203" i="63"/>
  <c r="H203" i="63"/>
  <c r="E203" i="63"/>
  <c r="K202" i="63" a="1"/>
  <c r="K202" i="63" s="1"/>
  <c r="J202" i="63"/>
  <c r="I202" i="63"/>
  <c r="H202" i="63"/>
  <c r="E202" i="63"/>
  <c r="K199" i="63" a="1"/>
  <c r="K199" i="63" s="1"/>
  <c r="J199" i="63"/>
  <c r="I199" i="63"/>
  <c r="H199" i="63"/>
  <c r="E199" i="63"/>
  <c r="K198" i="63" a="1"/>
  <c r="K198" i="63" s="1"/>
  <c r="E198" i="63"/>
  <c r="K197" i="63" a="1"/>
  <c r="K197" i="63" s="1"/>
  <c r="J197" i="63"/>
  <c r="I197" i="63"/>
  <c r="H197" i="63"/>
  <c r="E197" i="63"/>
  <c r="K196" i="63" a="1"/>
  <c r="K196" i="63" s="1"/>
  <c r="J196" i="63"/>
  <c r="I196" i="63"/>
  <c r="E196" i="63"/>
  <c r="H196" i="63"/>
  <c r="K195" i="63" a="1"/>
  <c r="K195" i="63" s="1"/>
  <c r="J195" i="63"/>
  <c r="I195" i="63"/>
  <c r="H195" i="63"/>
  <c r="F195" i="63"/>
  <c r="E195" i="63"/>
  <c r="K194" i="63" a="1"/>
  <c r="K194" i="63" s="1"/>
  <c r="F194" i="63" s="1"/>
  <c r="J194" i="63"/>
  <c r="I194" i="63"/>
  <c r="H194" i="63"/>
  <c r="E194" i="63"/>
  <c r="K193" i="63" a="1"/>
  <c r="K193" i="63" s="1"/>
  <c r="J193" i="63"/>
  <c r="I193" i="63"/>
  <c r="H193" i="63"/>
  <c r="F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4" i="63" a="1"/>
  <c r="K184" i="63" s="1"/>
  <c r="J184" i="63"/>
  <c r="I184" i="63"/>
  <c r="H184" i="63"/>
  <c r="E184" i="63"/>
  <c r="K183" i="63" a="1"/>
  <c r="K183" i="63" s="1"/>
  <c r="J183" i="63"/>
  <c r="I183" i="63"/>
  <c r="H183" i="63"/>
  <c r="E183" i="63"/>
  <c r="K182" i="63" a="1"/>
  <c r="K182" i="63" s="1"/>
  <c r="J182" i="63"/>
  <c r="I182" i="63"/>
  <c r="H182" i="63"/>
  <c r="E182" i="63"/>
  <c r="K181" i="63" a="1"/>
  <c r="K181" i="63" s="1"/>
  <c r="J181" i="63"/>
  <c r="I181" i="63"/>
  <c r="H181" i="63"/>
  <c r="E181" i="63"/>
  <c r="K180" i="63" a="1"/>
  <c r="K180" i="63" s="1"/>
  <c r="J180" i="63"/>
  <c r="I180" i="63"/>
  <c r="H180" i="63"/>
  <c r="E180" i="63"/>
  <c r="K179" i="63" a="1"/>
  <c r="K179" i="63" s="1"/>
  <c r="J179" i="63"/>
  <c r="I179" i="63"/>
  <c r="H179" i="63"/>
  <c r="E179" i="63"/>
  <c r="K178" i="63" a="1"/>
  <c r="K178" i="63" s="1"/>
  <c r="J178" i="63"/>
  <c r="I178" i="63"/>
  <c r="H178" i="63"/>
  <c r="E178" i="63"/>
  <c r="K177" i="63" a="1"/>
  <c r="K177" i="63" s="1"/>
  <c r="J177" i="63"/>
  <c r="I177" i="63"/>
  <c r="H177" i="63"/>
  <c r="E177" i="63"/>
  <c r="K176" i="63" a="1"/>
  <c r="K176" i="63" s="1"/>
  <c r="J176" i="63"/>
  <c r="I176" i="63"/>
  <c r="H176" i="63"/>
  <c r="E176" i="63"/>
  <c r="K175" i="63" a="1"/>
  <c r="K175" i="63" s="1"/>
  <c r="E175" i="63"/>
  <c r="K174" i="63" a="1"/>
  <c r="K174" i="63" s="1"/>
  <c r="J174" i="63"/>
  <c r="I174" i="63"/>
  <c r="H174" i="63"/>
  <c r="E174" i="63"/>
  <c r="K173" i="63" a="1"/>
  <c r="K173" i="63" s="1"/>
  <c r="J173" i="63"/>
  <c r="I173" i="63"/>
  <c r="H173" i="63"/>
  <c r="E173" i="63"/>
  <c r="K172" i="63" a="1"/>
  <c r="K172" i="63" s="1"/>
  <c r="J172" i="63"/>
  <c r="I172" i="63"/>
  <c r="H172" i="63"/>
  <c r="F172" i="63"/>
  <c r="E172" i="63"/>
  <c r="K167" i="63" a="1"/>
  <c r="K167" i="63" s="1"/>
  <c r="J167" i="63"/>
  <c r="I167" i="63"/>
  <c r="H167" i="63"/>
  <c r="E167" i="63"/>
  <c r="K166" i="63" a="1"/>
  <c r="K166" i="63" s="1"/>
  <c r="J166" i="63"/>
  <c r="I166" i="63"/>
  <c r="H166" i="63"/>
  <c r="E166"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7" i="63" a="1"/>
  <c r="K157" i="63" s="1"/>
  <c r="J157" i="63"/>
  <c r="I157" i="63"/>
  <c r="H157" i="63"/>
  <c r="E157" i="63"/>
  <c r="K156" i="63" a="1"/>
  <c r="K156" i="63" s="1"/>
  <c r="J156" i="63"/>
  <c r="I156" i="63"/>
  <c r="H156" i="63"/>
  <c r="E156" i="63"/>
  <c r="K155" i="63" a="1"/>
  <c r="K155" i="63" s="1"/>
  <c r="J155" i="63"/>
  <c r="I155" i="63"/>
  <c r="H155" i="63"/>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H151" i="63"/>
  <c r="E151" i="63"/>
  <c r="K150" i="63" a="1"/>
  <c r="K150" i="63" s="1"/>
  <c r="J150" i="63"/>
  <c r="I150" i="63"/>
  <c r="H150" i="63"/>
  <c r="E150" i="63"/>
  <c r="K149" i="63" a="1"/>
  <c r="K149" i="63" s="1"/>
  <c r="J149" i="63"/>
  <c r="I149" i="63"/>
  <c r="H149" i="63"/>
  <c r="E149" i="63"/>
  <c r="K148" i="63" a="1"/>
  <c r="K148" i="63" s="1"/>
  <c r="J148" i="63"/>
  <c r="I148" i="63"/>
  <c r="H148" i="63"/>
  <c r="E148" i="63"/>
  <c r="K145" i="63" a="1"/>
  <c r="K145" i="63" s="1"/>
  <c r="E145" i="63"/>
  <c r="K144" i="63" a="1"/>
  <c r="K144" i="63" s="1"/>
  <c r="J144" i="63"/>
  <c r="I144" i="63"/>
  <c r="H144" i="63"/>
  <c r="E144" i="63"/>
  <c r="K143" i="63" a="1"/>
  <c r="K143" i="63" s="1"/>
  <c r="J143" i="63"/>
  <c r="I143" i="63"/>
  <c r="H143" i="63"/>
  <c r="E143" i="63"/>
  <c r="K142" i="63" a="1"/>
  <c r="K142" i="63" s="1"/>
  <c r="J142" i="63"/>
  <c r="I142" i="63"/>
  <c r="H142" i="63"/>
  <c r="E142" i="63"/>
  <c r="K141" i="63" a="1"/>
  <c r="K141" i="63" s="1"/>
  <c r="J141" i="63"/>
  <c r="I141" i="63"/>
  <c r="E141" i="63"/>
  <c r="H141" i="63"/>
  <c r="K140" i="63" a="1"/>
  <c r="K140" i="63" s="1"/>
  <c r="J140" i="63"/>
  <c r="I140" i="63"/>
  <c r="H140" i="63"/>
  <c r="E140" i="63"/>
  <c r="K139" i="63" a="1"/>
  <c r="K139" i="63" s="1"/>
  <c r="J139" i="63"/>
  <c r="I139" i="63"/>
  <c r="H139" i="63"/>
  <c r="F139" i="63"/>
  <c r="E139" i="63"/>
  <c r="K138" i="63" a="1"/>
  <c r="K138" i="63" s="1"/>
  <c r="F138" i="63" s="1"/>
  <c r="J138" i="63"/>
  <c r="I138" i="63"/>
  <c r="H138" i="63"/>
  <c r="E138" i="63"/>
  <c r="K109" i="63" a="1"/>
  <c r="K109" i="63" s="1"/>
  <c r="J109" i="63"/>
  <c r="I109" i="63"/>
  <c r="H109" i="63"/>
  <c r="E109" i="63"/>
  <c r="K108" i="63" a="1"/>
  <c r="K108" i="63" s="1"/>
  <c r="E108" i="63"/>
  <c r="K107" i="63" a="1"/>
  <c r="K107" i="63" s="1"/>
  <c r="J107" i="63"/>
  <c r="I107" i="63"/>
  <c r="H107" i="63"/>
  <c r="E107" i="63"/>
  <c r="K106" i="63" a="1"/>
  <c r="K106" i="63" s="1"/>
  <c r="J106" i="63"/>
  <c r="I106" i="63"/>
  <c r="H106" i="63"/>
  <c r="E106" i="63"/>
  <c r="K105" i="63" a="1"/>
  <c r="K105" i="63" s="1"/>
  <c r="J105" i="63"/>
  <c r="I105" i="63"/>
  <c r="H105" i="63"/>
  <c r="E105" i="63"/>
  <c r="K104" i="63" a="1"/>
  <c r="K104" i="63" s="1"/>
  <c r="J104" i="63"/>
  <c r="I104" i="63"/>
  <c r="H104" i="63"/>
  <c r="E104" i="63"/>
  <c r="K103" i="63" a="1"/>
  <c r="K103" i="63" s="1"/>
  <c r="J103" i="63"/>
  <c r="I103" i="63"/>
  <c r="H103" i="63"/>
  <c r="E103" i="63"/>
  <c r="K102" i="63" a="1"/>
  <c r="K102" i="63" s="1"/>
  <c r="J102" i="63"/>
  <c r="I102" i="63"/>
  <c r="H102" i="63"/>
  <c r="E102" i="63"/>
  <c r="K101" i="63" a="1"/>
  <c r="K101" i="63" s="1"/>
  <c r="E101" i="63"/>
  <c r="K100" i="63" a="1"/>
  <c r="K100" i="63" s="1"/>
  <c r="J100" i="63"/>
  <c r="I100" i="63"/>
  <c r="H100" i="63"/>
  <c r="E100" i="63"/>
  <c r="K99" i="63" a="1"/>
  <c r="K99" i="63" s="1"/>
  <c r="J99" i="63"/>
  <c r="I99" i="63"/>
  <c r="H99" i="63"/>
  <c r="E99" i="63"/>
  <c r="K98" i="63" a="1"/>
  <c r="K98" i="63" s="1"/>
  <c r="J98" i="63"/>
  <c r="I98" i="63"/>
  <c r="H98" i="63"/>
  <c r="E98" i="63"/>
  <c r="K97" i="63" a="1"/>
  <c r="K97" i="63" s="1"/>
  <c r="J97" i="63"/>
  <c r="I97" i="63"/>
  <c r="H97" i="63"/>
  <c r="E97" i="63"/>
  <c r="K96" i="63" a="1"/>
  <c r="K96" i="63" s="1"/>
  <c r="J96" i="63"/>
  <c r="I96" i="63"/>
  <c r="H96" i="63"/>
  <c r="E96" i="63"/>
  <c r="K95" i="63" a="1"/>
  <c r="K95" i="63" s="1"/>
  <c r="E95" i="63"/>
  <c r="I95" i="63"/>
  <c r="K94" i="63" a="1"/>
  <c r="K94" i="63" s="1"/>
  <c r="J94" i="63"/>
  <c r="I94" i="63"/>
  <c r="H94" i="63"/>
  <c r="E94" i="63"/>
  <c r="K93" i="63" a="1"/>
  <c r="K93" i="63" s="1"/>
  <c r="J93" i="63"/>
  <c r="I93" i="63"/>
  <c r="H93" i="63"/>
  <c r="E93" i="63"/>
  <c r="K92" i="63" a="1"/>
  <c r="K92" i="63" s="1"/>
  <c r="J92" i="63"/>
  <c r="I92" i="63"/>
  <c r="H92" i="63"/>
  <c r="E92" i="63"/>
  <c r="K91" i="63" a="1"/>
  <c r="K91" i="63" s="1"/>
  <c r="J91" i="63"/>
  <c r="I91" i="63"/>
  <c r="H91" i="63"/>
  <c r="E91" i="63"/>
  <c r="K90" i="63" a="1"/>
  <c r="K90" i="63" s="1"/>
  <c r="J90" i="63"/>
  <c r="I90" i="63"/>
  <c r="H90" i="63"/>
  <c r="E90" i="63"/>
  <c r="K87" i="63" a="1"/>
  <c r="K87" i="63" s="1"/>
  <c r="J87" i="63"/>
  <c r="I87" i="63"/>
  <c r="H87" i="63"/>
  <c r="E87" i="63"/>
  <c r="K86" i="63" a="1"/>
  <c r="K86" i="63" s="1"/>
  <c r="J86" i="63"/>
  <c r="I86" i="63"/>
  <c r="H86" i="63"/>
  <c r="E86" i="63"/>
  <c r="K83" i="63" a="1"/>
  <c r="K83" i="63" s="1"/>
  <c r="J83" i="63"/>
  <c r="I83" i="63"/>
  <c r="H83" i="63"/>
  <c r="E83" i="63"/>
  <c r="K82" i="63" a="1"/>
  <c r="K82" i="63" s="1"/>
  <c r="J82" i="63"/>
  <c r="I82" i="63"/>
  <c r="H82" i="63"/>
  <c r="E82" i="63"/>
  <c r="K79" i="63" a="1"/>
  <c r="K79" i="63" s="1"/>
  <c r="J79" i="63"/>
  <c r="I79" i="63"/>
  <c r="H79" i="63"/>
  <c r="E79" i="63"/>
  <c r="K78" i="63" a="1"/>
  <c r="K78" i="63" s="1"/>
  <c r="F80" i="63" s="1"/>
  <c r="G80" i="63" s="1" a="1"/>
  <c r="G80" i="63" s="1"/>
  <c r="J78" i="63"/>
  <c r="I78" i="63"/>
  <c r="H78" i="63"/>
  <c r="E78" i="63"/>
  <c r="K75" i="63" a="1"/>
  <c r="K75" i="63" s="1"/>
  <c r="J75" i="63"/>
  <c r="I75" i="63"/>
  <c r="H75" i="63"/>
  <c r="E75" i="63"/>
  <c r="K74" i="63" a="1"/>
  <c r="K74" i="63" s="1"/>
  <c r="J74" i="63"/>
  <c r="I74" i="63"/>
  <c r="H74" i="63"/>
  <c r="E74" i="63"/>
  <c r="K71" i="63" a="1"/>
  <c r="K71" i="63" s="1"/>
  <c r="J71" i="63"/>
  <c r="I71" i="63"/>
  <c r="H71" i="63"/>
  <c r="F71" i="63"/>
  <c r="E71" i="63"/>
  <c r="K70" i="63" a="1"/>
  <c r="K70" i="63" s="1"/>
  <c r="J70" i="63"/>
  <c r="I70" i="63"/>
  <c r="H70" i="63"/>
  <c r="E70" i="63"/>
  <c r="K67" i="63" a="1"/>
  <c r="K67" i="63" s="1"/>
  <c r="J67" i="63"/>
  <c r="I67" i="63"/>
  <c r="H67" i="63"/>
  <c r="E67" i="63"/>
  <c r="K66" i="63" a="1"/>
  <c r="K66" i="63" s="1"/>
  <c r="J66" i="63"/>
  <c r="I66" i="63"/>
  <c r="H66" i="63"/>
  <c r="E66" i="63"/>
  <c r="K63" i="63" a="1"/>
  <c r="K63" i="63" s="1"/>
  <c r="J63" i="63"/>
  <c r="I63" i="63"/>
  <c r="H63" i="63"/>
  <c r="E63" i="63"/>
  <c r="K62" i="63" a="1"/>
  <c r="K62" i="63" s="1"/>
  <c r="J62" i="63"/>
  <c r="I62" i="63"/>
  <c r="H62" i="63"/>
  <c r="E62" i="63"/>
  <c r="K59" i="63" a="1"/>
  <c r="K59" i="63" s="1"/>
  <c r="J59" i="63"/>
  <c r="I59" i="63"/>
  <c r="H59" i="63"/>
  <c r="E59" i="63"/>
  <c r="K58" i="63" a="1"/>
  <c r="K58" i="63" s="1"/>
  <c r="J58" i="63"/>
  <c r="I58" i="63"/>
  <c r="H58" i="63"/>
  <c r="E58" i="63"/>
  <c r="K55" i="63" a="1"/>
  <c r="K55" i="63" s="1"/>
  <c r="J55" i="63"/>
  <c r="I55" i="63"/>
  <c r="H55" i="63"/>
  <c r="E55" i="63"/>
  <c r="K54" i="63" a="1"/>
  <c r="K54" i="63" s="1"/>
  <c r="J54" i="63"/>
  <c r="I54" i="63"/>
  <c r="H54" i="63"/>
  <c r="E54" i="63"/>
  <c r="K51" i="63" a="1"/>
  <c r="K51" i="63" s="1"/>
  <c r="J51" i="63"/>
  <c r="I51" i="63"/>
  <c r="H51" i="63"/>
  <c r="E51" i="63"/>
  <c r="K50" i="63" a="1"/>
  <c r="K50" i="63" s="1"/>
  <c r="J50" i="63"/>
  <c r="I50" i="63"/>
  <c r="H50" i="63"/>
  <c r="E50" i="63"/>
  <c r="K47" i="63" a="1"/>
  <c r="K47" i="63" s="1"/>
  <c r="J47" i="63"/>
  <c r="I47" i="63"/>
  <c r="H47" i="63"/>
  <c r="E47" i="63"/>
  <c r="K46" i="63" a="1"/>
  <c r="K46" i="63" s="1"/>
  <c r="J46" i="63"/>
  <c r="I46" i="63"/>
  <c r="H46" i="63"/>
  <c r="E46" i="63"/>
  <c r="K43" i="63" a="1"/>
  <c r="K43" i="63" s="1"/>
  <c r="J43" i="63"/>
  <c r="I43" i="63"/>
  <c r="H43" i="63"/>
  <c r="E43" i="63"/>
  <c r="K42" i="63" a="1"/>
  <c r="K42" i="63" s="1"/>
  <c r="E42" i="63"/>
  <c r="I42" i="63"/>
  <c r="K41" i="63" a="1"/>
  <c r="K41" i="63" s="1"/>
  <c r="J41" i="63"/>
  <c r="I41" i="63"/>
  <c r="H41" i="63"/>
  <c r="E41" i="63"/>
  <c r="K40" i="63" a="1"/>
  <c r="K40" i="63" s="1"/>
  <c r="E40" i="63"/>
  <c r="K39" i="63" a="1"/>
  <c r="K39" i="63" s="1"/>
  <c r="J39" i="63"/>
  <c r="I39" i="63"/>
  <c r="H39" i="63"/>
  <c r="E39" i="63"/>
  <c r="K38" i="63" a="1"/>
  <c r="K38" i="63" s="1"/>
  <c r="J38" i="63"/>
  <c r="I38" i="63"/>
  <c r="H38" i="63"/>
  <c r="E38" i="63"/>
  <c r="K37" i="63" a="1"/>
  <c r="K37" i="63" s="1"/>
  <c r="J37" i="63"/>
  <c r="I37" i="63"/>
  <c r="H37" i="63"/>
  <c r="F37" i="63"/>
  <c r="E37" i="63"/>
  <c r="K36" i="63" a="1"/>
  <c r="K36" i="63" s="1"/>
  <c r="J36" i="63"/>
  <c r="I36" i="63"/>
  <c r="H36" i="63"/>
  <c r="E36" i="63"/>
  <c r="K35" i="63" a="1"/>
  <c r="K35" i="63" s="1"/>
  <c r="J35" i="63"/>
  <c r="I35" i="63"/>
  <c r="H35" i="63"/>
  <c r="E35" i="63"/>
  <c r="K34" i="63" a="1"/>
  <c r="K34" i="63" s="1"/>
  <c r="J34" i="63"/>
  <c r="I34" i="63"/>
  <c r="H34" i="63"/>
  <c r="E34" i="63"/>
  <c r="K33" i="63" a="1"/>
  <c r="K33" i="63" s="1"/>
  <c r="E33" i="63"/>
  <c r="I33" i="63"/>
  <c r="K32" i="63" a="1"/>
  <c r="K32" i="63" s="1"/>
  <c r="J32" i="63"/>
  <c r="I32" i="63"/>
  <c r="H32" i="63"/>
  <c r="E32" i="63"/>
  <c r="K31" i="63" a="1"/>
  <c r="K31" i="63" s="1"/>
  <c r="I31" i="63"/>
  <c r="E31" i="63"/>
  <c r="H31" i="63"/>
  <c r="K30" i="63" a="1"/>
  <c r="K30" i="63" s="1"/>
  <c r="F29" i="63" s="1"/>
  <c r="G29" i="63" s="1" a="1"/>
  <c r="G29" i="63" s="1"/>
  <c r="J30" i="63"/>
  <c r="I30" i="63"/>
  <c r="H30" i="63"/>
  <c r="E30" i="63"/>
  <c r="K8" i="63" a="1"/>
  <c r="K8" i="63" s="1"/>
  <c r="J8" i="63"/>
  <c r="I8" i="63"/>
  <c r="H8" i="63"/>
  <c r="F8" i="63"/>
  <c r="E8" i="63"/>
  <c r="K7" i="63" a="1"/>
  <c r="K7" i="63" s="1"/>
  <c r="F7" i="63" s="1"/>
  <c r="E7" i="63"/>
  <c r="K6" i="63" a="1"/>
  <c r="K6" i="63" s="1"/>
  <c r="J6" i="63"/>
  <c r="I6" i="63"/>
  <c r="H6" i="63"/>
  <c r="F6" i="63"/>
  <c r="E6" i="63"/>
  <c r="K5" i="63" a="1"/>
  <c r="K5" i="63" s="1"/>
  <c r="F5" i="63" s="1"/>
  <c r="J5" i="63"/>
  <c r="I5" i="63"/>
  <c r="H5" i="63"/>
  <c r="E5" i="63"/>
  <c r="K4" i="63" a="1"/>
  <c r="K4" i="63" s="1"/>
  <c r="J4" i="63"/>
  <c r="I4" i="63"/>
  <c r="H4" i="63"/>
  <c r="F4" i="63"/>
  <c r="E4" i="63"/>
  <c r="K3" i="63" a="1"/>
  <c r="K3" i="63" s="1"/>
  <c r="F3" i="63" s="1"/>
  <c r="E3" i="63"/>
  <c r="I3" i="63"/>
  <c r="J291" i="63" l="1"/>
  <c r="J263" i="63"/>
  <c r="I304" i="63"/>
  <c r="J320" i="63"/>
  <c r="J214" i="63"/>
  <c r="F289" i="63"/>
  <c r="G289" i="63" s="1" a="1"/>
  <c r="G289" i="63" s="1"/>
  <c r="F290" i="63"/>
  <c r="G290" i="63" s="1" a="1"/>
  <c r="G290" i="63" s="1"/>
  <c r="F216" i="63"/>
  <c r="G216" i="63" s="1" a="1"/>
  <c r="G216" i="63" s="1"/>
  <c r="F215" i="63"/>
  <c r="G215" i="63" s="1" a="1"/>
  <c r="G215" i="63" s="1"/>
  <c r="F88" i="63"/>
  <c r="G88" i="63" s="1" a="1"/>
  <c r="G88" i="63" s="1"/>
  <c r="F89" i="63"/>
  <c r="G89" i="63" s="1" a="1"/>
  <c r="G89" i="63" s="1"/>
  <c r="F84" i="63"/>
  <c r="G84" i="63" s="1" a="1"/>
  <c r="G84" i="63" s="1"/>
  <c r="F85" i="63"/>
  <c r="G85" i="63" s="1" a="1"/>
  <c r="G85" i="63" s="1"/>
  <c r="F76" i="63"/>
  <c r="G76" i="63" s="1" a="1"/>
  <c r="G76" i="63" s="1"/>
  <c r="F77" i="63"/>
  <c r="G77" i="63" s="1" a="1"/>
  <c r="G77" i="63" s="1"/>
  <c r="F70" i="63"/>
  <c r="F72" i="63"/>
  <c r="G72" i="63" s="1" a="1"/>
  <c r="G72" i="63" s="1"/>
  <c r="F68" i="63"/>
  <c r="G68" i="63" s="1" a="1"/>
  <c r="G68" i="63" s="1"/>
  <c r="F69" i="63"/>
  <c r="G69" i="63" s="1" a="1"/>
  <c r="G69" i="63" s="1"/>
  <c r="F64" i="63"/>
  <c r="G64" i="63" s="1" a="1"/>
  <c r="G64" i="63" s="1"/>
  <c r="F65" i="63"/>
  <c r="G65" i="63" s="1" a="1"/>
  <c r="G65" i="63" s="1"/>
  <c r="F61" i="63"/>
  <c r="G61" i="63" s="1" a="1"/>
  <c r="G61" i="63" s="1"/>
  <c r="F56" i="63"/>
  <c r="G56" i="63" s="1" a="1"/>
  <c r="G56" i="63" s="1"/>
  <c r="F57" i="63"/>
  <c r="G57" i="63" s="1" a="1"/>
  <c r="G57" i="63" s="1"/>
  <c r="F52" i="63"/>
  <c r="G52" i="63" s="1" a="1"/>
  <c r="G52" i="63" s="1"/>
  <c r="F53" i="63"/>
  <c r="G53" i="63" s="1" a="1"/>
  <c r="G53" i="63" s="1"/>
  <c r="F49" i="63"/>
  <c r="G49" i="63" s="1" a="1"/>
  <c r="G49" i="63" s="1"/>
  <c r="F48" i="63"/>
  <c r="G48" i="63" s="1" a="1"/>
  <c r="G48" i="63" s="1"/>
  <c r="H232" i="63"/>
  <c r="H293" i="63"/>
  <c r="J267" i="63"/>
  <c r="H26" i="63"/>
  <c r="I26" i="63"/>
  <c r="J26" i="63"/>
  <c r="H298" i="63"/>
  <c r="J337" i="63"/>
  <c r="J261" i="63"/>
  <c r="H261" i="63"/>
  <c r="I261" i="63"/>
  <c r="I111" i="63"/>
  <c r="J111" i="63"/>
  <c r="H111" i="63"/>
  <c r="G334" i="63" a="1"/>
  <c r="G334" i="63" s="1"/>
  <c r="J332" i="63"/>
  <c r="I101" i="63"/>
  <c r="J300" i="63"/>
  <c r="H271" i="63"/>
  <c r="J295" i="63"/>
  <c r="H145" i="63"/>
  <c r="I253" i="63"/>
  <c r="F232" i="63"/>
  <c r="G232" i="63" s="1" a="1"/>
  <c r="G232" i="63" s="1"/>
  <c r="J145" i="63"/>
  <c r="I205" i="63"/>
  <c r="I221" i="63"/>
  <c r="I233" i="63"/>
  <c r="H243" i="63"/>
  <c r="J271" i="63"/>
  <c r="I295" i="63"/>
  <c r="I300" i="63"/>
  <c r="H309" i="63"/>
  <c r="I324" i="63"/>
  <c r="J338" i="63"/>
  <c r="G310" i="63" a="1"/>
  <c r="G310" i="63" s="1"/>
  <c r="J101" i="63"/>
  <c r="I243" i="63"/>
  <c r="J253" i="63"/>
  <c r="I309" i="63"/>
  <c r="H324" i="63"/>
  <c r="G314" i="63" a="1"/>
  <c r="G314" i="63" s="1"/>
  <c r="I296" i="63"/>
  <c r="H338" i="63"/>
  <c r="G70" i="63" a="1"/>
  <c r="G70" i="63" s="1"/>
  <c r="J40" i="63"/>
  <c r="G194" i="63" a="1"/>
  <c r="G194" i="63" s="1"/>
  <c r="G6" i="63" a="1"/>
  <c r="G6" i="63" s="1"/>
  <c r="G7" i="63" a="1"/>
  <c r="G7" i="63" s="1"/>
  <c r="H108" i="63"/>
  <c r="G193" i="63" a="1"/>
  <c r="G193" i="63" s="1"/>
  <c r="G4" i="63" a="1"/>
  <c r="G4" i="63" s="1"/>
  <c r="G37" i="63" a="1"/>
  <c r="G37" i="63" s="1"/>
  <c r="G231" i="63" a="1"/>
  <c r="G231" i="63" s="1"/>
  <c r="G301" i="63" a="1"/>
  <c r="G301" i="63" s="1"/>
  <c r="G315" i="63" a="1"/>
  <c r="G315" i="63" s="1"/>
  <c r="H244" i="63"/>
  <c r="H275" i="63"/>
  <c r="H318" i="63"/>
  <c r="F319" i="63"/>
  <c r="G319" i="63" s="1" a="1"/>
  <c r="G319" i="63" s="1"/>
  <c r="F333" i="63"/>
  <c r="G333" i="63" s="1" a="1"/>
  <c r="G333" i="63" s="1"/>
  <c r="G138" i="63" a="1"/>
  <c r="G138" i="63" s="1"/>
  <c r="H40" i="63"/>
  <c r="J108" i="63"/>
  <c r="J244" i="63"/>
  <c r="J275" i="63"/>
  <c r="I7" i="63"/>
  <c r="J7" i="63"/>
  <c r="J318" i="63"/>
  <c r="G335" i="63" a="1"/>
  <c r="G335" i="63" s="1"/>
  <c r="G8" i="63" a="1"/>
  <c r="G8" i="63" s="1"/>
  <c r="G139" i="63" a="1"/>
  <c r="G139" i="63" s="1"/>
  <c r="F342" i="63"/>
  <c r="G342" i="63" s="1" a="1"/>
  <c r="G342" i="63" s="1"/>
  <c r="G172" i="63" a="1"/>
  <c r="G172" i="63" s="1"/>
  <c r="G5" i="63" a="1"/>
  <c r="G5" i="63" s="1"/>
  <c r="G71" i="63" a="1"/>
  <c r="G71" i="63" s="1"/>
  <c r="G195" i="63" a="1"/>
  <c r="G195" i="63" s="1"/>
  <c r="G336" i="63" a="1"/>
  <c r="G336" i="63" s="1"/>
  <c r="G3" i="63" a="1"/>
  <c r="G3" i="63" s="1"/>
  <c r="F331" i="63"/>
  <c r="G331" i="63" s="1" a="1"/>
  <c r="G331" i="63" s="1"/>
  <c r="I330" i="63"/>
  <c r="J330" i="63"/>
  <c r="F150" i="63"/>
  <c r="G150" i="63" s="1" a="1"/>
  <c r="G150" i="63" s="1"/>
  <c r="F339" i="63"/>
  <c r="G339" i="63" s="1" a="1"/>
  <c r="G339" i="63" s="1"/>
  <c r="H340" i="63"/>
  <c r="F303" i="63"/>
  <c r="G303" i="63" s="1" a="1"/>
  <c r="G303" i="63" s="1"/>
  <c r="F304" i="63"/>
  <c r="G304" i="63" s="1" a="1"/>
  <c r="G304" i="63" s="1"/>
  <c r="F299" i="63"/>
  <c r="G299" i="63" s="1" a="1"/>
  <c r="G299" i="63" s="1"/>
  <c r="F308" i="63"/>
  <c r="G308" i="63" s="1" a="1"/>
  <c r="G308" i="63" s="1"/>
  <c r="F330" i="63"/>
  <c r="G330" i="63" s="1" a="1"/>
  <c r="G330" i="63" s="1"/>
  <c r="F340" i="63"/>
  <c r="G340" i="63" s="1" a="1"/>
  <c r="G340" i="63" s="1"/>
  <c r="F332" i="63"/>
  <c r="G332" i="63" s="1" a="1"/>
  <c r="G332" i="63" s="1"/>
  <c r="I340" i="63"/>
  <c r="F148" i="63"/>
  <c r="G148" i="63" s="1" a="1"/>
  <c r="G148" i="63" s="1"/>
  <c r="F151" i="63"/>
  <c r="G151" i="63" s="1" a="1"/>
  <c r="G151" i="63" s="1"/>
  <c r="F337" i="63"/>
  <c r="G337" i="63" s="1" a="1"/>
  <c r="G337" i="63" s="1"/>
  <c r="F254" i="63"/>
  <c r="G254" i="63" s="1" a="1"/>
  <c r="G254" i="63" s="1"/>
  <c r="E23" i="64"/>
  <c r="E29" i="64" s="1" a="1"/>
  <c r="E29" i="64" s="1"/>
  <c r="F341" i="63"/>
  <c r="G341" i="63" s="1" a="1"/>
  <c r="G341" i="63" s="1"/>
  <c r="F33" i="63"/>
  <c r="G33" i="63" s="1" a="1"/>
  <c r="G33" i="63" s="1"/>
  <c r="F317" i="63"/>
  <c r="G317" i="63" s="1" a="1"/>
  <c r="G317" i="63" s="1"/>
  <c r="F35" i="63"/>
  <c r="G35" i="63" s="1" a="1"/>
  <c r="G35" i="63" s="1"/>
  <c r="F102" i="63"/>
  <c r="G102" i="63" s="1" a="1"/>
  <c r="G102" i="63" s="1"/>
  <c r="F198" i="63"/>
  <c r="G198" i="63" s="1" a="1"/>
  <c r="G198" i="63" s="1"/>
  <c r="F223" i="63"/>
  <c r="G223" i="63" s="1" a="1"/>
  <c r="G223" i="63" s="1"/>
  <c r="F106" i="63"/>
  <c r="G106" i="63" s="1" a="1"/>
  <c r="G106" i="63" s="1"/>
  <c r="F236" i="63"/>
  <c r="G236" i="63" s="1" a="1"/>
  <c r="G236" i="63" s="1"/>
  <c r="F284" i="63"/>
  <c r="G284" i="63" s="1" a="1"/>
  <c r="G284" i="63" s="1"/>
  <c r="F320" i="63"/>
  <c r="G320" i="63" s="1" a="1"/>
  <c r="G320" i="63" s="1"/>
  <c r="F318" i="63"/>
  <c r="G318" i="63" s="1" a="1"/>
  <c r="G318" i="63" s="1"/>
  <c r="F42" i="63"/>
  <c r="G42" i="63" s="1" a="1"/>
  <c r="G42" i="63" s="1"/>
  <c r="F50" i="63"/>
  <c r="G50" i="63" s="1" a="1"/>
  <c r="G50" i="63" s="1"/>
  <c r="F58" i="63"/>
  <c r="G58" i="63" s="1" a="1"/>
  <c r="G58" i="63" s="1"/>
  <c r="F66" i="63"/>
  <c r="G66" i="63" s="1" a="1"/>
  <c r="G66" i="63" s="1"/>
  <c r="F78" i="63"/>
  <c r="G78" i="63" s="1" a="1"/>
  <c r="G78" i="63" s="1"/>
  <c r="F154" i="63"/>
  <c r="G154" i="63" s="1" a="1"/>
  <c r="G154" i="63" s="1"/>
  <c r="F158" i="63"/>
  <c r="G158" i="63" s="1" a="1"/>
  <c r="G158" i="63" s="1"/>
  <c r="F179" i="63"/>
  <c r="G179" i="63" s="1" a="1"/>
  <c r="G179" i="63" s="1"/>
  <c r="F183" i="63"/>
  <c r="G183" i="63" s="1" a="1"/>
  <c r="G183" i="63" s="1"/>
  <c r="F191" i="63"/>
  <c r="G191" i="63" s="1" a="1"/>
  <c r="G191" i="63" s="1"/>
  <c r="F213" i="63"/>
  <c r="G213" i="63" s="1" a="1"/>
  <c r="G213" i="63" s="1"/>
  <c r="F285" i="63"/>
  <c r="G285" i="63" s="1" a="1"/>
  <c r="G285" i="63" s="1"/>
  <c r="F156" i="63"/>
  <c r="G156" i="63" s="1" a="1"/>
  <c r="G156" i="63" s="1"/>
  <c r="F160" i="63"/>
  <c r="G160" i="63" s="1" a="1"/>
  <c r="G160" i="63" s="1"/>
  <c r="F199" i="63"/>
  <c r="G199" i="63" s="1" a="1"/>
  <c r="G199" i="63" s="1"/>
  <c r="F176" i="63"/>
  <c r="G176" i="63" s="1" a="1"/>
  <c r="G176" i="63" s="1"/>
  <c r="F181" i="63"/>
  <c r="G181" i="63" s="1" a="1"/>
  <c r="G181" i="63" s="1"/>
  <c r="F219" i="63"/>
  <c r="G219" i="63" s="1" a="1"/>
  <c r="G219" i="63" s="1"/>
  <c r="F30" i="63"/>
  <c r="G30" i="63" s="1" a="1"/>
  <c r="G30" i="63" s="1"/>
  <c r="F39" i="63"/>
  <c r="G39" i="63" s="1" a="1"/>
  <c r="G39" i="63" s="1"/>
  <c r="F47" i="63"/>
  <c r="G47" i="63" s="1" a="1"/>
  <c r="G47" i="63" s="1"/>
  <c r="F55" i="63"/>
  <c r="G55" i="63" s="1" a="1"/>
  <c r="G55" i="63" s="1"/>
  <c r="F63" i="63"/>
  <c r="G63" i="63" s="1" a="1"/>
  <c r="G63" i="63" s="1"/>
  <c r="F75" i="63"/>
  <c r="G75" i="63" s="1" a="1"/>
  <c r="G75" i="63" s="1"/>
  <c r="F105" i="63"/>
  <c r="G105" i="63" s="1" a="1"/>
  <c r="G105" i="63" s="1"/>
  <c r="F142" i="63"/>
  <c r="G142" i="63" s="1" a="1"/>
  <c r="G142" i="63" s="1"/>
  <c r="F155" i="63"/>
  <c r="G155" i="63" s="1" a="1"/>
  <c r="G155" i="63" s="1"/>
  <c r="F174" i="63"/>
  <c r="G174" i="63" s="1" a="1"/>
  <c r="G174" i="63" s="1"/>
  <c r="F178" i="63"/>
  <c r="G178" i="63" s="1" a="1"/>
  <c r="G178" i="63" s="1"/>
  <c r="F190" i="63"/>
  <c r="G190" i="63" s="1" a="1"/>
  <c r="G190" i="63" s="1"/>
  <c r="F196" i="63"/>
  <c r="G196" i="63" s="1" a="1"/>
  <c r="G196" i="63" s="1"/>
  <c r="F221" i="63"/>
  <c r="G221" i="63" s="1" a="1"/>
  <c r="G221" i="63" s="1"/>
  <c r="F241" i="63"/>
  <c r="G241" i="63" s="1" a="1"/>
  <c r="G241" i="63" s="1"/>
  <c r="F270" i="63"/>
  <c r="G270" i="63" s="1" a="1"/>
  <c r="G270" i="63" s="1"/>
  <c r="F274" i="63"/>
  <c r="G274" i="63" s="1" a="1"/>
  <c r="G274" i="63" s="1"/>
  <c r="F279" i="63"/>
  <c r="G279" i="63" s="1" a="1"/>
  <c r="G279" i="63" s="1"/>
  <c r="F291" i="63"/>
  <c r="G291" i="63" s="1" a="1"/>
  <c r="G291" i="63" s="1"/>
  <c r="F36" i="63"/>
  <c r="G36" i="63" s="1" a="1"/>
  <c r="G36" i="63" s="1"/>
  <c r="F140" i="63"/>
  <c r="G140" i="63" s="1" a="1"/>
  <c r="G140" i="63" s="1"/>
  <c r="F144" i="63"/>
  <c r="G144" i="63" s="1" a="1"/>
  <c r="G144" i="63" s="1"/>
  <c r="F152" i="63"/>
  <c r="G152" i="63" s="1" a="1"/>
  <c r="G152" i="63" s="1"/>
  <c r="F166" i="63"/>
  <c r="G166" i="63" s="1" a="1"/>
  <c r="G166" i="63" s="1"/>
  <c r="F192" i="63"/>
  <c r="G192" i="63" s="1" a="1"/>
  <c r="G192" i="63" s="1"/>
  <c r="F226" i="63"/>
  <c r="G226" i="63" s="1" a="1"/>
  <c r="G226" i="63" s="1"/>
  <c r="F229" i="63"/>
  <c r="G229" i="63" s="1" a="1"/>
  <c r="G229" i="63" s="1"/>
  <c r="F243" i="63"/>
  <c r="G243" i="63" s="1" a="1"/>
  <c r="G243" i="63" s="1"/>
  <c r="F268" i="63"/>
  <c r="G268" i="63" s="1" a="1"/>
  <c r="G268" i="63" s="1"/>
  <c r="F283" i="63"/>
  <c r="G283" i="63" s="1" a="1"/>
  <c r="G283" i="63" s="1"/>
  <c r="F34" i="63"/>
  <c r="G34" i="63" s="1" a="1"/>
  <c r="G34" i="63" s="1"/>
  <c r="F92" i="63"/>
  <c r="G92" i="63" s="1" a="1"/>
  <c r="G92" i="63" s="1"/>
  <c r="F203" i="63"/>
  <c r="G203" i="63" s="1" a="1"/>
  <c r="G203" i="63" s="1"/>
  <c r="F249" i="63"/>
  <c r="G249" i="63" s="1" a="1"/>
  <c r="G249" i="63" s="1"/>
  <c r="F278" i="63"/>
  <c r="G278" i="63" s="1" a="1"/>
  <c r="G278" i="63" s="1"/>
  <c r="F234" i="63"/>
  <c r="G234" i="63" s="1" a="1"/>
  <c r="G234" i="63" s="1"/>
  <c r="F262" i="63"/>
  <c r="G262" i="63" s="1" a="1"/>
  <c r="G262" i="63" s="1"/>
  <c r="F267" i="63"/>
  <c r="G267" i="63" s="1" a="1"/>
  <c r="G267" i="63" s="1"/>
  <c r="F43" i="63"/>
  <c r="G43" i="63" s="1" a="1"/>
  <c r="G43" i="63" s="1"/>
  <c r="F51" i="63"/>
  <c r="G51" i="63" s="1" a="1"/>
  <c r="G51" i="63" s="1"/>
  <c r="F59" i="63"/>
  <c r="G59" i="63" s="1" a="1"/>
  <c r="G59" i="63" s="1"/>
  <c r="F67" i="63"/>
  <c r="G67" i="63" s="1" a="1"/>
  <c r="G67" i="63" s="1"/>
  <c r="F180" i="63"/>
  <c r="G180" i="63" s="1" a="1"/>
  <c r="G180" i="63" s="1"/>
  <c r="F38" i="63"/>
  <c r="G38" i="63" s="1" a="1"/>
  <c r="G38" i="63" s="1"/>
  <c r="F46" i="63"/>
  <c r="G46" i="63" s="1" a="1"/>
  <c r="G46" i="63" s="1"/>
  <c r="F54" i="63"/>
  <c r="G54" i="63" s="1" a="1"/>
  <c r="G54" i="63" s="1"/>
  <c r="F62" i="63"/>
  <c r="G62" i="63" s="1" a="1"/>
  <c r="G62" i="63" s="1"/>
  <c r="F74" i="63"/>
  <c r="G74" i="63" s="1" a="1"/>
  <c r="G74" i="63" s="1"/>
  <c r="F108" i="63"/>
  <c r="G108" i="63" s="1" a="1"/>
  <c r="G108" i="63" s="1"/>
  <c r="F177" i="63"/>
  <c r="G177" i="63" s="1" a="1"/>
  <c r="G177" i="63" s="1"/>
  <c r="F189" i="63"/>
  <c r="G189" i="63" s="1" a="1"/>
  <c r="G189" i="63" s="1"/>
  <c r="F269" i="63"/>
  <c r="G269" i="63" s="1" a="1"/>
  <c r="G269" i="63" s="1"/>
  <c r="F90" i="63"/>
  <c r="G90" i="63" s="1" a="1"/>
  <c r="G90" i="63" s="1"/>
  <c r="F98" i="63"/>
  <c r="G98" i="63" s="1" a="1"/>
  <c r="G98" i="63" s="1"/>
  <c r="F104" i="63"/>
  <c r="G104" i="63" s="1" a="1"/>
  <c r="G104" i="63" s="1"/>
  <c r="F107" i="63"/>
  <c r="G107" i="63" s="1" a="1"/>
  <c r="G107" i="63" s="1"/>
  <c r="F145" i="63"/>
  <c r="G145" i="63" s="1" a="1"/>
  <c r="G145" i="63" s="1"/>
  <c r="F153" i="63"/>
  <c r="G153" i="63" s="1" a="1"/>
  <c r="G153" i="63" s="1"/>
  <c r="F167" i="63"/>
  <c r="G167" i="63" s="1" a="1"/>
  <c r="G167" i="63" s="1"/>
  <c r="F173" i="63"/>
  <c r="G173" i="63" s="1" a="1"/>
  <c r="G173" i="63" s="1"/>
  <c r="F211" i="63"/>
  <c r="G211" i="63" s="1" a="1"/>
  <c r="G211" i="63" s="1"/>
  <c r="F227" i="63"/>
  <c r="G227" i="63" s="1" a="1"/>
  <c r="G227" i="63" s="1"/>
  <c r="F255" i="63"/>
  <c r="G255" i="63" s="1" a="1"/>
  <c r="G255" i="63" s="1"/>
  <c r="F272" i="63"/>
  <c r="G272" i="63" s="1" a="1"/>
  <c r="G272" i="63" s="1"/>
  <c r="F297" i="63"/>
  <c r="G297" i="63" s="1" a="1"/>
  <c r="G297" i="63" s="1"/>
  <c r="F305" i="63"/>
  <c r="G305" i="63" s="1" a="1"/>
  <c r="G305" i="63" s="1"/>
  <c r="F86" i="63"/>
  <c r="G86" i="63" s="1" a="1"/>
  <c r="G86" i="63" s="1"/>
  <c r="F159" i="63"/>
  <c r="G159" i="63" s="1" a="1"/>
  <c r="G159" i="63" s="1"/>
  <c r="F175" i="63"/>
  <c r="G175" i="63" s="1" a="1"/>
  <c r="G175" i="63" s="1"/>
  <c r="F182" i="63"/>
  <c r="G182" i="63" s="1" a="1"/>
  <c r="G182" i="63" s="1"/>
  <c r="F184" i="63"/>
  <c r="G184" i="63" s="1" a="1"/>
  <c r="G184" i="63" s="1"/>
  <c r="F202" i="63"/>
  <c r="G202" i="63" s="1" a="1"/>
  <c r="G202" i="63" s="1"/>
  <c r="F217" i="63"/>
  <c r="G217" i="63" s="1" a="1"/>
  <c r="G217" i="63" s="1"/>
  <c r="F220" i="63"/>
  <c r="G220" i="63" s="1" a="1"/>
  <c r="G220" i="63" s="1"/>
  <c r="F224" i="63"/>
  <c r="G224" i="63" s="1" a="1"/>
  <c r="G224" i="63" s="1"/>
  <c r="F247" i="63"/>
  <c r="G247" i="63" s="1" a="1"/>
  <c r="G247" i="63" s="1"/>
  <c r="F265" i="63"/>
  <c r="G265" i="63" s="1" a="1"/>
  <c r="G265" i="63" s="1"/>
  <c r="F275" i="63"/>
  <c r="G275" i="63" s="1" a="1"/>
  <c r="G275" i="63" s="1"/>
  <c r="F277" i="63"/>
  <c r="G277" i="63" s="1" a="1"/>
  <c r="G277" i="63" s="1"/>
  <c r="F293" i="63"/>
  <c r="G293" i="63" s="1" a="1"/>
  <c r="G293" i="63" s="1"/>
  <c r="F302" i="63"/>
  <c r="G302" i="63" s="1" a="1"/>
  <c r="G302" i="63" s="1"/>
  <c r="F321" i="63"/>
  <c r="G321" i="63" s="1" a="1"/>
  <c r="G321" i="63" s="1"/>
  <c r="F31" i="63"/>
  <c r="G31" i="63" s="1" a="1"/>
  <c r="G31" i="63" s="1"/>
  <c r="F41" i="63"/>
  <c r="G41" i="63" s="1" a="1"/>
  <c r="G41" i="63" s="1"/>
  <c r="F82" i="63"/>
  <c r="G82" i="63" s="1" a="1"/>
  <c r="G82" i="63" s="1"/>
  <c r="F94" i="63"/>
  <c r="G94" i="63" s="1" a="1"/>
  <c r="G94" i="63" s="1"/>
  <c r="F96" i="63"/>
  <c r="G96" i="63" s="1" a="1"/>
  <c r="G96" i="63" s="1"/>
  <c r="F103" i="63"/>
  <c r="G103" i="63" s="1" a="1"/>
  <c r="G103" i="63" s="1"/>
  <c r="F143" i="63"/>
  <c r="G143" i="63" s="1" a="1"/>
  <c r="G143" i="63" s="1"/>
  <c r="F149" i="63"/>
  <c r="G149" i="63" s="1" a="1"/>
  <c r="G149" i="63" s="1"/>
  <c r="F157" i="63"/>
  <c r="G157" i="63" s="1" a="1"/>
  <c r="G157" i="63" s="1"/>
  <c r="F161" i="63"/>
  <c r="G161" i="63" s="1" a="1"/>
  <c r="G161" i="63" s="1"/>
  <c r="F206" i="63"/>
  <c r="G206" i="63" s="1" a="1"/>
  <c r="G206" i="63" s="1"/>
  <c r="F240" i="63"/>
  <c r="G240" i="63" s="1" a="1"/>
  <c r="G240" i="63" s="1"/>
  <c r="F250" i="63"/>
  <c r="G250" i="63" s="1" a="1"/>
  <c r="G250" i="63" s="1"/>
  <c r="F263" i="63"/>
  <c r="G263" i="63" s="1" a="1"/>
  <c r="G263" i="63" s="1"/>
  <c r="F273" i="63"/>
  <c r="G273" i="63" s="1" a="1"/>
  <c r="G273" i="63" s="1"/>
  <c r="F295" i="63"/>
  <c r="G295" i="63" s="1" a="1"/>
  <c r="G295" i="63" s="1"/>
  <c r="F324" i="63"/>
  <c r="G324" i="63" s="1" a="1"/>
  <c r="G324" i="63" s="1"/>
  <c r="F225" i="63"/>
  <c r="G225" i="63" s="1" a="1"/>
  <c r="G225" i="63" s="1"/>
  <c r="F32" i="63"/>
  <c r="G32" i="63" s="1" a="1"/>
  <c r="G32" i="63" s="1"/>
  <c r="F97" i="63"/>
  <c r="G97" i="63" s="1" a="1"/>
  <c r="G97" i="63" s="1"/>
  <c r="F40" i="63"/>
  <c r="G40" i="63" s="1" a="1"/>
  <c r="G40" i="63" s="1"/>
  <c r="F95" i="63"/>
  <c r="G95" i="63" s="1" a="1"/>
  <c r="G95" i="63" s="1"/>
  <c r="F99" i="63"/>
  <c r="G99" i="63" s="1" a="1"/>
  <c r="G99" i="63" s="1"/>
  <c r="F101" i="63"/>
  <c r="G101" i="63" s="1" a="1"/>
  <c r="G101" i="63" s="1"/>
  <c r="F100" i="63"/>
  <c r="G100" i="63" s="1" a="1"/>
  <c r="G100" i="63" s="1"/>
  <c r="H33" i="63"/>
  <c r="F79" i="63"/>
  <c r="G79" i="63" s="1" a="1"/>
  <c r="G79" i="63" s="1"/>
  <c r="F87" i="63"/>
  <c r="G87" i="63" s="1" a="1"/>
  <c r="G87" i="63" s="1"/>
  <c r="F93" i="63"/>
  <c r="G93" i="63" s="1" a="1"/>
  <c r="G93" i="63" s="1"/>
  <c r="H95" i="63"/>
  <c r="H3" i="63"/>
  <c r="J42" i="63"/>
  <c r="J31" i="63"/>
  <c r="J95" i="63"/>
  <c r="F141" i="63"/>
  <c r="G141" i="63" s="1" a="1"/>
  <c r="G141" i="63" s="1"/>
  <c r="H42" i="63"/>
  <c r="F83" i="63"/>
  <c r="G83" i="63" s="1" a="1"/>
  <c r="G83" i="63" s="1"/>
  <c r="F91" i="63"/>
  <c r="G91" i="63" s="1" a="1"/>
  <c r="G91" i="63" s="1"/>
  <c r="F109" i="63"/>
  <c r="G109" i="63" s="1" a="1"/>
  <c r="G109" i="63" s="1"/>
  <c r="H175" i="63"/>
  <c r="J212" i="63"/>
  <c r="J217" i="63"/>
  <c r="F218" i="63"/>
  <c r="G218" i="63" s="1" a="1"/>
  <c r="G218" i="63" s="1"/>
  <c r="F233" i="63"/>
  <c r="G233" i="63" s="1" a="1"/>
  <c r="G233" i="63" s="1"/>
  <c r="I175" i="63"/>
  <c r="I234" i="63"/>
  <c r="J234" i="63"/>
  <c r="F197" i="63"/>
  <c r="G197" i="63" s="1" a="1"/>
  <c r="G197" i="63" s="1"/>
  <c r="H198" i="63"/>
  <c r="F212" i="63"/>
  <c r="G212" i="63" s="1" a="1"/>
  <c r="G212" i="63" s="1"/>
  <c r="F222" i="63"/>
  <c r="G222" i="63" s="1" a="1"/>
  <c r="G222" i="63" s="1"/>
  <c r="H223" i="63"/>
  <c r="F228" i="63"/>
  <c r="G228" i="63" s="1" a="1"/>
  <c r="G228" i="63" s="1"/>
  <c r="F230" i="63"/>
  <c r="G230" i="63" s="1" a="1"/>
  <c r="G230" i="63" s="1"/>
  <c r="J232" i="63"/>
  <c r="J246" i="63"/>
  <c r="H246" i="63"/>
  <c r="F251" i="63"/>
  <c r="G251" i="63" s="1" a="1"/>
  <c r="G251" i="63" s="1"/>
  <c r="J198" i="63"/>
  <c r="F205" i="63"/>
  <c r="G205" i="63" s="1" a="1"/>
  <c r="G205" i="63" s="1"/>
  <c r="H212" i="63"/>
  <c r="F214" i="63"/>
  <c r="G214" i="63" s="1" a="1"/>
  <c r="G214" i="63" s="1"/>
  <c r="H217" i="63"/>
  <c r="J223" i="63"/>
  <c r="H234" i="63"/>
  <c r="F235" i="63"/>
  <c r="G235" i="63" s="1" a="1"/>
  <c r="G235" i="63" s="1"/>
  <c r="F237" i="63"/>
  <c r="G237" i="63" s="1" a="1"/>
  <c r="G237" i="63" s="1"/>
  <c r="F242" i="63"/>
  <c r="G242" i="63" s="1" a="1"/>
  <c r="G242" i="63" s="1"/>
  <c r="F244" i="63"/>
  <c r="G244" i="63" s="1" a="1"/>
  <c r="G244" i="63" s="1"/>
  <c r="F245" i="63"/>
  <c r="G245" i="63" s="1" a="1"/>
  <c r="G245" i="63" s="1"/>
  <c r="F248" i="63"/>
  <c r="G248" i="63" s="1" a="1"/>
  <c r="G248" i="63" s="1"/>
  <c r="F253" i="63"/>
  <c r="G253" i="63" s="1" a="1"/>
  <c r="G253" i="63" s="1"/>
  <c r="F252" i="63"/>
  <c r="G252" i="63" s="1" a="1"/>
  <c r="G252" i="63" s="1"/>
  <c r="H241" i="63"/>
  <c r="F246" i="63"/>
  <c r="G246" i="63" s="1" a="1"/>
  <c r="G246" i="63" s="1"/>
  <c r="H248" i="63"/>
  <c r="F264" i="63"/>
  <c r="G264" i="63" s="1" a="1"/>
  <c r="G264" i="63" s="1"/>
  <c r="F276" i="63"/>
  <c r="G276" i="63" s="1" a="1"/>
  <c r="G276" i="63" s="1"/>
  <c r="F280" i="63"/>
  <c r="G280" i="63" s="1" a="1"/>
  <c r="G280" i="63" s="1"/>
  <c r="F286" i="63"/>
  <c r="G286" i="63" s="1" a="1"/>
  <c r="G286" i="63" s="1"/>
  <c r="F292" i="63"/>
  <c r="G292" i="63" s="1" a="1"/>
  <c r="G292" i="63" s="1"/>
  <c r="F300" i="63"/>
  <c r="G300" i="63" s="1" a="1"/>
  <c r="G300" i="63" s="1"/>
  <c r="J308" i="63"/>
  <c r="F309" i="63"/>
  <c r="G309" i="63" s="1" a="1"/>
  <c r="G309" i="63" s="1"/>
  <c r="F316" i="63"/>
  <c r="G316" i="63" s="1" a="1"/>
  <c r="G316" i="63" s="1"/>
  <c r="H205" i="63"/>
  <c r="H221" i="63"/>
  <c r="H233" i="63"/>
  <c r="J241" i="63"/>
  <c r="J248" i="63"/>
  <c r="F271" i="63"/>
  <c r="G271" i="63" s="1" a="1"/>
  <c r="G271" i="63" s="1"/>
  <c r="J293" i="63"/>
  <c r="F294" i="63"/>
  <c r="G294" i="63" s="1" a="1"/>
  <c r="G294" i="63" s="1"/>
  <c r="J296" i="63"/>
  <c r="J298" i="63"/>
  <c r="H303" i="63"/>
  <c r="F266" i="63"/>
  <c r="G266" i="63" s="1" a="1"/>
  <c r="G266" i="63" s="1"/>
  <c r="J303" i="63"/>
  <c r="I263" i="63"/>
  <c r="H267" i="63"/>
  <c r="F296" i="63"/>
  <c r="G296" i="63" s="1" a="1"/>
  <c r="G296" i="63" s="1"/>
  <c r="F298" i="63"/>
  <c r="G298" i="63" s="1" a="1"/>
  <c r="G298" i="63" s="1"/>
  <c r="H308" i="63"/>
  <c r="F325" i="63"/>
  <c r="G325" i="63" s="1" a="1"/>
  <c r="G325" i="63" s="1"/>
  <c r="F338" i="63"/>
  <c r="G338" i="63" s="1" a="1"/>
  <c r="G338" i="63" s="1"/>
  <c r="H291" i="63"/>
  <c r="H297" i="63"/>
  <c r="H304" i="63"/>
  <c r="H320" i="63"/>
  <c r="H332" i="63"/>
  <c r="H321" i="63"/>
  <c r="H337" i="63"/>
  <c r="I321" i="63"/>
  <c r="D35" i="25"/>
  <c r="D34" i="25"/>
  <c r="AB3" i="5" l="1"/>
  <c r="AB8" i="5" l="1"/>
  <c r="AB10" i="5"/>
  <c r="AB7" i="5"/>
  <c r="AB23" i="5"/>
  <c r="AB6" i="5"/>
  <c r="F18" i="36"/>
  <c r="C11" i="5" l="1" a="1"/>
  <c r="C11" i="5" s="1"/>
  <c r="AF6" i="14" s="1"/>
  <c r="AF7" i="14" s="1"/>
  <c r="D107" i="61"/>
  <c r="D112" i="61" s="1"/>
  <c r="D113" i="61" s="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29" i="14" a="1"/>
  <c r="F30" i="14" a="1"/>
  <c r="D29" i="14" a="1"/>
  <c r="AB30" i="14" a="1"/>
  <c r="AB29" i="14" a="1"/>
  <c r="V6" i="14" l="1"/>
  <c r="V7" i="14" s="1"/>
  <c r="AD6" i="14"/>
  <c r="AD7" i="14" s="1"/>
  <c r="J6" i="14"/>
  <c r="J7" i="14" s="1"/>
  <c r="F41" i="75" a="1"/>
  <c r="F41" i="75" s="1"/>
  <c r="F42" i="75" s="1" a="1"/>
  <c r="F42" i="75" s="1"/>
  <c r="AP18" i="25"/>
  <c r="AP19" i="25" s="1"/>
  <c r="AT18" i="25"/>
  <c r="AT19" i="25" s="1"/>
  <c r="AL6" i="8"/>
  <c r="AL7" i="8" s="1"/>
  <c r="AF6" i="8"/>
  <c r="AF7" i="8" s="1"/>
  <c r="C13" i="5"/>
  <c r="AX113" i="61"/>
  <c r="AD113" i="61"/>
  <c r="V113" i="61"/>
  <c r="J113" i="61"/>
  <c r="AB29" i="14"/>
  <c r="AB31" i="14"/>
  <c r="AB30" i="14"/>
  <c r="F30" i="14"/>
  <c r="F29" i="14"/>
  <c r="D29" i="14"/>
  <c r="P26" i="25"/>
  <c r="AR26" i="25" a="1"/>
  <c r="P25" i="25" a="1"/>
  <c r="AR25" i="25" a="1"/>
  <c r="AN25" i="25" a="1"/>
  <c r="P25" i="25" l="1"/>
  <c r="AR26" i="25"/>
  <c r="AR25" i="25"/>
  <c r="AN25" i="25"/>
  <c r="N27" i="25" a="1"/>
  <c r="N27" i="25" l="1"/>
  <c r="BL25" i="25" a="1"/>
  <c r="BL25" i="25" l="1"/>
  <c r="F54" i="33" a="1"/>
  <c r="F54" i="33" l="1"/>
  <c r="R10" i="8" l="1"/>
  <c r="R11" i="8" s="1"/>
  <c r="L11" i="8"/>
  <c r="T11" i="8" s="1"/>
  <c r="J12" i="8"/>
  <c r="J30" i="8" s="1"/>
  <c r="P11" i="8" l="1"/>
  <c r="Z11" i="8"/>
  <c r="N11" i="8"/>
  <c r="AJ11" i="8"/>
  <c r="AX110" i="61"/>
  <c r="AX108" i="61"/>
  <c r="AD97" i="61"/>
  <c r="V97" i="61"/>
  <c r="J97" i="61"/>
  <c r="AD98" i="61"/>
  <c r="V98" i="61"/>
  <c r="J98" i="61"/>
  <c r="AX95" i="61"/>
  <c r="AX96" i="61"/>
  <c r="D110" i="61"/>
  <c r="D109" i="61"/>
  <c r="D108" i="61"/>
  <c r="C109" i="61"/>
  <c r="C110" i="61"/>
  <c r="C108" i="61"/>
  <c r="AX106" i="61"/>
  <c r="AX104" i="61"/>
  <c r="AX103" i="61"/>
  <c r="AD106" i="61"/>
  <c r="V106" i="61"/>
  <c r="C112" i="61"/>
  <c r="D111" i="61"/>
  <c r="J106"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9" i="58"/>
  <c r="V97" i="58"/>
  <c r="V96" i="58"/>
  <c r="T98" i="58"/>
  <c r="T97" i="58"/>
  <c r="R98" i="58"/>
  <c r="R97" i="58"/>
  <c r="P99" i="58"/>
  <c r="P98" i="58"/>
  <c r="P96" i="58"/>
  <c r="N99" i="58"/>
  <c r="N98" i="58"/>
  <c r="N96" i="58"/>
  <c r="J99" i="58"/>
  <c r="D16" i="30" l="1"/>
  <c r="D17" i="30" s="1"/>
  <c r="C17" i="30"/>
  <c r="C30" i="30" s="1"/>
  <c r="C26" i="30"/>
  <c r="C39" i="30" s="1"/>
  <c r="C28" i="30"/>
  <c r="D28" i="30"/>
  <c r="C29" i="30"/>
  <c r="C18" i="30" l="1"/>
  <c r="C19" i="30" s="1"/>
  <c r="C20" i="30" s="1"/>
  <c r="C21" i="30" s="1"/>
  <c r="C22" i="30" s="1"/>
  <c r="C23" i="30" s="1"/>
  <c r="C24" i="30" s="1"/>
  <c r="C25" i="30" s="1"/>
  <c r="D29" i="30"/>
  <c r="D18" i="30"/>
  <c r="D19" i="30" s="1"/>
  <c r="D20" i="30" s="1"/>
  <c r="D21" i="30" s="1"/>
  <c r="D22" i="30" s="1"/>
  <c r="D23" i="30" s="1"/>
  <c r="D24" i="30" s="1"/>
  <c r="D25" i="30" s="1"/>
  <c r="D26" i="30" s="1"/>
  <c r="D30" i="30"/>
  <c r="C31" i="30" l="1"/>
  <c r="C32" i="30"/>
  <c r="D31" i="30"/>
  <c r="D32" i="30"/>
  <c r="C33" i="30"/>
  <c r="C34" i="30" l="1"/>
  <c r="D33" i="30"/>
  <c r="AV7" i="61"/>
  <c r="AV8" i="61"/>
  <c r="AX8" i="61" s="1"/>
  <c r="BL8" i="61"/>
  <c r="BN8" i="61" s="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D8" i="61"/>
  <c r="BF8" i="61" s="1"/>
  <c r="BC84" i="61"/>
  <c r="BC83" i="61"/>
  <c r="BC82" i="61"/>
  <c r="BC81" i="61"/>
  <c r="BC80" i="61"/>
  <c r="BC79" i="61"/>
  <c r="BC78" i="61"/>
  <c r="BC77" i="61"/>
  <c r="BC76" i="61"/>
  <c r="BC75" i="61"/>
  <c r="BC74" i="61"/>
  <c r="BC73" i="61"/>
  <c r="AR8" i="61"/>
  <c r="AT8" i="61" s="1"/>
  <c r="AU84" i="61"/>
  <c r="AU83" i="61"/>
  <c r="AU82" i="61"/>
  <c r="AU81" i="61"/>
  <c r="AU80" i="61"/>
  <c r="AU79" i="61"/>
  <c r="AU78" i="61"/>
  <c r="AU77" i="61"/>
  <c r="AU76" i="61"/>
  <c r="AU75" i="61"/>
  <c r="AU74" i="61"/>
  <c r="AU73" i="61"/>
  <c r="AQ84" i="61"/>
  <c r="AQ83" i="61"/>
  <c r="AQ82" i="61"/>
  <c r="AQ81" i="61"/>
  <c r="AQ80" i="61"/>
  <c r="AQ79" i="61"/>
  <c r="AQ78" i="61"/>
  <c r="AQ77" i="61"/>
  <c r="AQ76" i="61"/>
  <c r="AQ75" i="61"/>
  <c r="AQ74" i="61"/>
  <c r="AQ73" i="61"/>
  <c r="AM84" i="61"/>
  <c r="AM83" i="61"/>
  <c r="AM82" i="61"/>
  <c r="AM81" i="61"/>
  <c r="AM80" i="61"/>
  <c r="AM79" i="61"/>
  <c r="AM78" i="61"/>
  <c r="AM77" i="61"/>
  <c r="AM76" i="61"/>
  <c r="AM75" i="61"/>
  <c r="AM74" i="61"/>
  <c r="AM73" i="61"/>
  <c r="AI84" i="61"/>
  <c r="AI83" i="61"/>
  <c r="AI82" i="61"/>
  <c r="AI81" i="61"/>
  <c r="AI80" i="61"/>
  <c r="AI79" i="61"/>
  <c r="AI78" i="61"/>
  <c r="AI77" i="61"/>
  <c r="AI76" i="61"/>
  <c r="AI75" i="61"/>
  <c r="AI74" i="61"/>
  <c r="AI73" i="61"/>
  <c r="AN6" i="61"/>
  <c r="AN7" i="61" s="1"/>
  <c r="AN8" i="61" s="1"/>
  <c r="AP8" i="61" s="1"/>
  <c r="AF8" i="61"/>
  <c r="AH8" i="61" s="1"/>
  <c r="AE84" i="61"/>
  <c r="AE83" i="61"/>
  <c r="AE82" i="61"/>
  <c r="AE81" i="61"/>
  <c r="AE80" i="61"/>
  <c r="AE79" i="61"/>
  <c r="AE78" i="61"/>
  <c r="AE77" i="61"/>
  <c r="AE76" i="61"/>
  <c r="AE75" i="61"/>
  <c r="AE74" i="61"/>
  <c r="AE73" i="61"/>
  <c r="AA84" i="61"/>
  <c r="AA83" i="61"/>
  <c r="AA82" i="61"/>
  <c r="AA81" i="61"/>
  <c r="AA80" i="61"/>
  <c r="AA79" i="61"/>
  <c r="AA78" i="61"/>
  <c r="AA77" i="61"/>
  <c r="AA76" i="61"/>
  <c r="AA75" i="61"/>
  <c r="AA74" i="61"/>
  <c r="AA73" i="61"/>
  <c r="AB8" i="61"/>
  <c r="AD8" i="61" s="1"/>
  <c r="X6" i="61"/>
  <c r="Y6" i="61" s="1"/>
  <c r="Z6" i="61" s="1"/>
  <c r="X8" i="61"/>
  <c r="Z8" i="61" s="1"/>
  <c r="W84" i="61"/>
  <c r="W83" i="61"/>
  <c r="W82" i="61"/>
  <c r="W81" i="61"/>
  <c r="W80" i="61"/>
  <c r="W79" i="61"/>
  <c r="W78" i="61"/>
  <c r="W77" i="61"/>
  <c r="W76" i="61"/>
  <c r="W75" i="61"/>
  <c r="W74" i="61"/>
  <c r="W73" i="61"/>
  <c r="T8" i="61"/>
  <c r="V8" i="61" s="1"/>
  <c r="S84" i="61"/>
  <c r="S83" i="61"/>
  <c r="S82" i="61"/>
  <c r="S81" i="61"/>
  <c r="S80" i="61"/>
  <c r="S79" i="61"/>
  <c r="S78" i="61"/>
  <c r="S77" i="61"/>
  <c r="S76" i="61"/>
  <c r="S75" i="61"/>
  <c r="S74" i="61"/>
  <c r="S73" i="61"/>
  <c r="D34" i="30" l="1"/>
  <c r="C35" i="30"/>
  <c r="AW8" i="61"/>
  <c r="BM8" i="61"/>
  <c r="BE8" i="61"/>
  <c r="AS8" i="61"/>
  <c r="AO8" i="61"/>
  <c r="AG8" i="61"/>
  <c r="AC8" i="61"/>
  <c r="Y8" i="61"/>
  <c r="U8" i="61"/>
  <c r="O84" i="61"/>
  <c r="O83" i="61"/>
  <c r="O82" i="61"/>
  <c r="O81" i="61"/>
  <c r="O80" i="61"/>
  <c r="O79" i="61"/>
  <c r="O78" i="61"/>
  <c r="O77" i="61"/>
  <c r="O76" i="61"/>
  <c r="O75" i="61"/>
  <c r="O74" i="61"/>
  <c r="O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D37" i="30" l="1"/>
  <c r="I8" i="61"/>
  <c r="J8" i="61"/>
  <c r="C27" i="22"/>
  <c r="C29" i="22" s="1"/>
  <c r="D31" i="22"/>
  <c r="D27" i="22"/>
  <c r="B28" i="22"/>
  <c r="D14" i="45"/>
  <c r="C14" i="45"/>
  <c r="D13" i="45"/>
  <c r="D15" i="45" s="1"/>
  <c r="D16" i="45" s="1"/>
  <c r="C13" i="45"/>
  <c r="C15" i="45" s="1"/>
  <c r="C16" i="45" s="1"/>
  <c r="C9" i="45"/>
  <c r="D9" i="45"/>
  <c r="I17" i="45" s="1"/>
  <c r="C7" i="45"/>
  <c r="I17" i="43"/>
  <c r="D7" i="43"/>
  <c r="C7" i="43"/>
  <c r="D39" i="30" l="1"/>
  <c r="D38" i="30"/>
  <c r="B32" i="22"/>
  <c r="C28" i="22"/>
  <c r="F28" i="22" s="1"/>
  <c r="B36" i="22"/>
  <c r="B33" i="22"/>
  <c r="C31" i="22"/>
  <c r="D33" i="22"/>
  <c r="D32" i="22"/>
  <c r="E32" i="22" s="1"/>
  <c r="D29" i="22"/>
  <c r="D28" i="22"/>
  <c r="E28" i="22" s="1"/>
  <c r="D35" i="22" l="1"/>
  <c r="D36" i="22" s="1"/>
  <c r="E36" i="22" s="1"/>
  <c r="B37" i="22"/>
  <c r="D39" i="22"/>
  <c r="C35" i="22"/>
  <c r="C36" i="22" s="1"/>
  <c r="F36" i="22" s="1"/>
  <c r="C32" i="22"/>
  <c r="F32" i="22" s="1"/>
  <c r="C33" i="22"/>
  <c r="D37" i="22" l="1"/>
  <c r="B41" i="22"/>
  <c r="C39" i="22"/>
  <c r="C41" i="22" s="1"/>
  <c r="C43" i="22"/>
  <c r="C37" i="22"/>
  <c r="B40" i="22"/>
  <c r="D40" i="22"/>
  <c r="E40" i="22" s="1"/>
  <c r="D41" i="22"/>
  <c r="B49" i="22" l="1"/>
  <c r="C40" i="22"/>
  <c r="F40" i="22" s="1"/>
  <c r="B45" i="22"/>
  <c r="B44" i="22"/>
  <c r="D43" i="22"/>
  <c r="D45" i="22" s="1"/>
  <c r="C44" i="22"/>
  <c r="F44" i="22" s="1"/>
  <c r="C45" i="22"/>
  <c r="D47" i="22"/>
  <c r="F24" i="34" a="1"/>
  <c r="F3" i="33" a="1"/>
  <c r="F42" i="34" a="1"/>
  <c r="F37" i="34" a="1"/>
  <c r="B48" i="22" l="1"/>
  <c r="B52" i="22"/>
  <c r="C47" i="22"/>
  <c r="C49" i="22" s="1"/>
  <c r="D44" i="22"/>
  <c r="E44" i="22" s="1"/>
  <c r="D49" i="22"/>
  <c r="D48" i="22"/>
  <c r="E48" i="22" s="1"/>
  <c r="B53" i="22"/>
  <c r="D51"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1" i="22" l="1"/>
  <c r="C53" i="22" s="1"/>
  <c r="C48" i="22"/>
  <c r="F48" i="22" s="1"/>
  <c r="D52" i="22"/>
  <c r="E52" i="22" s="1"/>
  <c r="D53" i="22"/>
  <c r="C52" i="22" l="1"/>
  <c r="F52" i="22" s="1"/>
  <c r="C7" i="59"/>
  <c r="C8" i="59"/>
  <c r="C10" i="59"/>
  <c r="C11" i="59"/>
  <c r="J98" i="58" l="1"/>
  <c r="J96" i="58"/>
  <c r="BD13" i="61" l="1"/>
  <c r="BE13" i="61" s="1"/>
  <c r="AR13" i="61"/>
  <c r="AF13" i="61"/>
  <c r="AG13" i="61" s="1"/>
  <c r="AH13" i="61" s="1"/>
  <c r="AB13" i="61"/>
  <c r="AC13" i="61" s="1"/>
  <c r="AD13" i="61" s="1"/>
  <c r="T13" i="61"/>
  <c r="U13" i="61" s="1"/>
  <c r="V13" i="61" s="1"/>
  <c r="H13" i="61"/>
  <c r="I13" i="61" s="1"/>
  <c r="J13" i="61" s="1"/>
  <c r="AP11" i="61"/>
  <c r="AL11" i="61"/>
  <c r="N11" i="61"/>
  <c r="AW12" i="61"/>
  <c r="AX12" i="61" s="1"/>
  <c r="BM12" i="61"/>
  <c r="BN12" i="61" s="1"/>
  <c r="BN76" i="61" s="1" a="1"/>
  <c r="BN76" i="61" s="1"/>
  <c r="BI12" i="61"/>
  <c r="BJ12" i="61" s="1"/>
  <c r="BJ76" i="61" s="1" a="1"/>
  <c r="BJ76" i="61" s="1"/>
  <c r="AO12" i="61"/>
  <c r="AP12" i="61" s="1"/>
  <c r="AP76" i="61" s="1" a="1"/>
  <c r="AP76" i="61" s="1"/>
  <c r="Y12" i="61"/>
  <c r="Z12" i="61" s="1"/>
  <c r="M12" i="61"/>
  <c r="N12" i="61" s="1"/>
  <c r="N76" i="61" s="1" a="1"/>
  <c r="N76" i="61" s="1"/>
  <c r="BE12" i="61"/>
  <c r="BF12" i="61" s="1"/>
  <c r="AS12" i="61"/>
  <c r="AT12" i="61" s="1"/>
  <c r="AT76" i="61" s="1" a="1"/>
  <c r="AT76" i="61" s="1"/>
  <c r="AG12" i="61"/>
  <c r="AH12" i="61" s="1"/>
  <c r="AC12" i="61"/>
  <c r="AD12" i="61" s="1"/>
  <c r="U12" i="61"/>
  <c r="V12" i="61" s="1"/>
  <c r="I12" i="61"/>
  <c r="J12" i="61" s="1"/>
  <c r="BQ2" i="61"/>
  <c r="BR2" i="61" s="1"/>
  <c r="AW5" i="61"/>
  <c r="AX5" i="61" s="1"/>
  <c r="AW2" i="61"/>
  <c r="AX2" i="61" s="1"/>
  <c r="BM6" i="61"/>
  <c r="BN6" i="61" s="1"/>
  <c r="BM5" i="61"/>
  <c r="BN5" i="61" s="1"/>
  <c r="BM2" i="61"/>
  <c r="BN2" i="61" s="1"/>
  <c r="BI5" i="61"/>
  <c r="BJ5" i="61" s="1"/>
  <c r="BJ77" i="61" s="1"/>
  <c r="BI2" i="61"/>
  <c r="BJ2" i="61" s="1"/>
  <c r="BE7" i="61"/>
  <c r="BF7" i="61" s="1"/>
  <c r="BE6" i="61"/>
  <c r="BF6" i="61" s="1"/>
  <c r="BE5" i="61"/>
  <c r="BF5" i="61" s="1"/>
  <c r="BE2" i="61"/>
  <c r="BF2" i="61" s="1"/>
  <c r="BA2" i="61"/>
  <c r="BB2" i="61" s="1"/>
  <c r="AS7" i="61"/>
  <c r="AT7" i="61" s="1"/>
  <c r="AS6" i="61"/>
  <c r="AT6" i="61" s="1"/>
  <c r="AS5" i="61"/>
  <c r="AT5" i="61" s="1"/>
  <c r="AT77" i="61" s="1"/>
  <c r="AS2" i="61"/>
  <c r="AT2" i="61" s="1"/>
  <c r="AO5" i="61"/>
  <c r="AP5" i="61" s="1"/>
  <c r="AO2" i="61"/>
  <c r="AP2" i="61" s="1"/>
  <c r="AK5" i="61"/>
  <c r="AL5" i="61" s="1"/>
  <c r="AK2" i="61"/>
  <c r="AL2" i="61" s="1"/>
  <c r="AG7" i="61"/>
  <c r="AH7" i="61" s="1"/>
  <c r="AG6" i="61"/>
  <c r="AH6" i="61" s="1"/>
  <c r="AG5" i="61"/>
  <c r="AH5" i="61" s="1"/>
  <c r="AG2" i="61"/>
  <c r="AH2" i="61" s="1"/>
  <c r="AC7" i="61"/>
  <c r="AD7" i="61" s="1"/>
  <c r="AC6" i="61"/>
  <c r="AD6" i="61" s="1"/>
  <c r="AC5" i="61"/>
  <c r="AD5" i="61" s="1"/>
  <c r="AC2" i="61"/>
  <c r="AD2" i="61" s="1"/>
  <c r="Y7" i="61"/>
  <c r="Z7" i="61" s="1"/>
  <c r="Y5" i="61"/>
  <c r="Z5" i="61" s="1"/>
  <c r="Z77" i="61" s="1"/>
  <c r="Y2" i="61"/>
  <c r="Z2" i="61" s="1"/>
  <c r="U7" i="61"/>
  <c r="V7" i="61" s="1"/>
  <c r="U6" i="61"/>
  <c r="V6" i="61" s="1"/>
  <c r="U5" i="61"/>
  <c r="V5" i="61" s="1"/>
  <c r="U2" i="61"/>
  <c r="V2" i="61" s="1"/>
  <c r="Q5" i="61"/>
  <c r="R5" i="61" s="1"/>
  <c r="Q2" i="61"/>
  <c r="R2" i="61" s="1"/>
  <c r="M5" i="61"/>
  <c r="N5" i="61" s="1"/>
  <c r="M2" i="61"/>
  <c r="N2" i="61" s="1"/>
  <c r="I6" i="61"/>
  <c r="J6" i="61" s="1"/>
  <c r="I7" i="61"/>
  <c r="J7" i="61" s="1"/>
  <c r="I5" i="61"/>
  <c r="J5" i="61" s="1"/>
  <c r="I2" i="61"/>
  <c r="J2" i="61" s="1"/>
  <c r="L4" i="61"/>
  <c r="M4" i="61" s="1"/>
  <c r="N4" i="61" s="1"/>
  <c r="C23" i="61"/>
  <c r="D18" i="61"/>
  <c r="C18" i="61"/>
  <c r="BP7" i="61"/>
  <c r="BQ7" i="61" s="1"/>
  <c r="BR7" i="61" s="1"/>
  <c r="AW7" i="61"/>
  <c r="AX7" i="61" s="1"/>
  <c r="BL7" i="61"/>
  <c r="AZ7" i="61"/>
  <c r="BA7" i="61" s="1"/>
  <c r="BB7" i="61" s="1"/>
  <c r="BH6" i="61"/>
  <c r="AJ6" i="61"/>
  <c r="AJ8" i="61" s="1"/>
  <c r="P6" i="61"/>
  <c r="P8" i="61" s="1"/>
  <c r="L6" i="61"/>
  <c r="BP4" i="61"/>
  <c r="BQ4" i="61" s="1"/>
  <c r="BR4" i="61" s="1"/>
  <c r="AV4" i="61"/>
  <c r="AW4" i="61" s="1"/>
  <c r="AX4" i="61" s="1"/>
  <c r="BL4" i="61"/>
  <c r="BM4" i="61" s="1"/>
  <c r="BN4" i="61" s="1"/>
  <c r="BH4" i="61"/>
  <c r="BI4" i="61" s="1"/>
  <c r="BJ4" i="61" s="1"/>
  <c r="BD4" i="61"/>
  <c r="BE4" i="61" s="1"/>
  <c r="BF4" i="61" s="1"/>
  <c r="AZ4" i="61"/>
  <c r="BA4" i="61" s="1"/>
  <c r="BB4" i="61" s="1"/>
  <c r="AR4" i="61"/>
  <c r="AS4" i="61" s="1"/>
  <c r="AT4" i="61" s="1"/>
  <c r="AN4" i="61"/>
  <c r="AO4" i="61" s="1"/>
  <c r="AP4" i="61" s="1"/>
  <c r="AJ4" i="61"/>
  <c r="AK4" i="61" s="1"/>
  <c r="AL4" i="61" s="1"/>
  <c r="AF4" i="61"/>
  <c r="AG4" i="61" s="1"/>
  <c r="AH4" i="61" s="1"/>
  <c r="AB4" i="61"/>
  <c r="AC4" i="61" s="1"/>
  <c r="AD4" i="61" s="1"/>
  <c r="X4" i="61"/>
  <c r="Y4" i="61" s="1"/>
  <c r="Z4" i="61" s="1"/>
  <c r="T4" i="61"/>
  <c r="U4" i="61" s="1"/>
  <c r="V4" i="61" s="1"/>
  <c r="P4" i="61"/>
  <c r="Q4" i="61" s="1"/>
  <c r="R4" i="61" s="1"/>
  <c r="H4" i="61"/>
  <c r="I4" i="61" s="1"/>
  <c r="J4" i="61" s="1"/>
  <c r="AP3" i="61"/>
  <c r="AL3" i="61"/>
  <c r="Z3" i="61"/>
  <c r="R3" i="61"/>
  <c r="CI2" i="61"/>
  <c r="BN74" i="61" a="1"/>
  <c r="BJ74" i="61" a="1"/>
  <c r="N77" i="61" l="1"/>
  <c r="AH78" i="61"/>
  <c r="AX77" i="61"/>
  <c r="AX100" i="61" s="1"/>
  <c r="AP77" i="61"/>
  <c r="AD78" i="61"/>
  <c r="AD101" i="61" s="1"/>
  <c r="CC18" i="61"/>
  <c r="BV3" i="61"/>
  <c r="CD3" i="61"/>
  <c r="CB18" i="61"/>
  <c r="BU18" i="61"/>
  <c r="AT78" i="61"/>
  <c r="J77" i="61"/>
  <c r="J100" i="61" s="1"/>
  <c r="V77" i="61"/>
  <c r="V100" i="61" s="1"/>
  <c r="BT18" i="61"/>
  <c r="V78" i="61"/>
  <c r="V101" i="61" s="1"/>
  <c r="BF78" i="61"/>
  <c r="BF77" i="61"/>
  <c r="BN77" i="61"/>
  <c r="AD77" i="61"/>
  <c r="AD100" i="61" s="1"/>
  <c r="BN78" i="61"/>
  <c r="AH77" i="61"/>
  <c r="J78" i="61"/>
  <c r="J101" i="61" s="1"/>
  <c r="Z76" i="61" a="1"/>
  <c r="Z76" i="61" s="1"/>
  <c r="Z78" i="61"/>
  <c r="AX76" i="61" a="1"/>
  <c r="AX76" i="61" s="1"/>
  <c r="AX99" i="61" s="1"/>
  <c r="AH79" i="61"/>
  <c r="J108" i="61"/>
  <c r="AD107" i="61"/>
  <c r="J107" i="61"/>
  <c r="V107" i="61"/>
  <c r="AD108" i="61"/>
  <c r="V108" i="61"/>
  <c r="BN74" i="61"/>
  <c r="BJ74" i="61"/>
  <c r="V79" i="61"/>
  <c r="V102" i="61" s="1"/>
  <c r="AD79" i="61"/>
  <c r="AD102" i="61" s="1"/>
  <c r="AX79" i="61"/>
  <c r="AX102" i="61" s="1"/>
  <c r="J79" i="61"/>
  <c r="J102" i="61" s="1"/>
  <c r="Z79" i="61"/>
  <c r="AT79" i="61"/>
  <c r="BF79" i="61"/>
  <c r="V80" i="61" a="1"/>
  <c r="V80" i="61" s="1"/>
  <c r="V103" i="61" s="1"/>
  <c r="BF80" i="61" a="1"/>
  <c r="BF80" i="61" s="1"/>
  <c r="J82" i="61" a="1"/>
  <c r="J82" i="61" s="1"/>
  <c r="J105" i="61" s="1"/>
  <c r="V81" i="61" a="1"/>
  <c r="V81" i="61" s="1"/>
  <c r="V104" i="61" s="1"/>
  <c r="BF81" i="61" a="1"/>
  <c r="BF81" i="61" s="1"/>
  <c r="AX64" i="61"/>
  <c r="AX62" i="61"/>
  <c r="BD18" i="61"/>
  <c r="AF18" i="61"/>
  <c r="AB18" i="61"/>
  <c r="T18" i="61"/>
  <c r="H18" i="61"/>
  <c r="J81" i="61" a="1"/>
  <c r="J81" i="61" s="1"/>
  <c r="J104" i="61" s="1"/>
  <c r="V105" i="61"/>
  <c r="BF82" i="61" a="1"/>
  <c r="BF82" i="61" s="1"/>
  <c r="BE18" i="61"/>
  <c r="AG18" i="61"/>
  <c r="AC18" i="61"/>
  <c r="U18" i="61"/>
  <c r="I18" i="61"/>
  <c r="BN81" i="61" a="1"/>
  <c r="BN81" i="61" s="1"/>
  <c r="AR18" i="61"/>
  <c r="AS13" i="61"/>
  <c r="AT13" i="61" s="1"/>
  <c r="AT81" i="61" a="1"/>
  <c r="AT81" i="61" s="1"/>
  <c r="AL8" i="61"/>
  <c r="AK8" i="61"/>
  <c r="AH82" i="61" a="1"/>
  <c r="AH82" i="61" s="1"/>
  <c r="AH81" i="61" a="1"/>
  <c r="AH81" i="61" s="1"/>
  <c r="AH80" i="61" a="1"/>
  <c r="AH80" i="61" s="1"/>
  <c r="AD82" i="61" a="1"/>
  <c r="AD82" i="61" s="1"/>
  <c r="AD105" i="61" s="1"/>
  <c r="AD81" i="61" a="1"/>
  <c r="AD81" i="61" s="1"/>
  <c r="AD104" i="61" s="1"/>
  <c r="AD80" i="61" a="1"/>
  <c r="AD80" i="61" s="1"/>
  <c r="AD103" i="61" s="1"/>
  <c r="Z82" i="61" a="1"/>
  <c r="Z82" i="61" s="1"/>
  <c r="R8" i="61"/>
  <c r="Q8" i="61"/>
  <c r="J80" i="61" a="1"/>
  <c r="J80" i="61" s="1"/>
  <c r="J103" i="61" s="1"/>
  <c r="AK6" i="61"/>
  <c r="AL6" i="61" s="1"/>
  <c r="AO6" i="61"/>
  <c r="AP6" i="61" s="1"/>
  <c r="AP78" i="61" s="1"/>
  <c r="P7" i="61"/>
  <c r="Q7" i="61" s="1"/>
  <c r="R7" i="61" s="1"/>
  <c r="L7" i="61"/>
  <c r="L13" i="61" s="1"/>
  <c r="M13" i="61" s="1"/>
  <c r="X13" i="61"/>
  <c r="BI6" i="61"/>
  <c r="BJ6" i="61" s="1"/>
  <c r="BJ78" i="61" s="1"/>
  <c r="BL13" i="61"/>
  <c r="BF13" i="61"/>
  <c r="BA12" i="61"/>
  <c r="BB12" i="61" s="1"/>
  <c r="BQ12" i="61"/>
  <c r="BR12" i="61" s="1"/>
  <c r="Q12" i="61"/>
  <c r="R12" i="61" s="1"/>
  <c r="BM7" i="61"/>
  <c r="BN7" i="61" s="1"/>
  <c r="BN79" i="61" s="1"/>
  <c r="Q6" i="61"/>
  <c r="R6" i="61" s="1"/>
  <c r="M6" i="61"/>
  <c r="N6" i="61" s="1"/>
  <c r="N78" i="61" s="1"/>
  <c r="BH7" i="61"/>
  <c r="AJ7" i="61"/>
  <c r="AN13" i="61"/>
  <c r="BJ75" i="61" a="1"/>
  <c r="R79" i="61" l="1"/>
  <c r="R78" i="61"/>
  <c r="R80" i="61" a="1"/>
  <c r="R80" i="61" s="1"/>
  <c r="BJ75" i="61"/>
  <c r="BH13" i="61"/>
  <c r="BI13" i="61" s="1"/>
  <c r="BH8" i="61"/>
  <c r="BR82" i="61" a="1"/>
  <c r="BR82" i="61" s="1"/>
  <c r="R81" i="61" a="1"/>
  <c r="R81" i="61" s="1"/>
  <c r="R82" i="61" a="1"/>
  <c r="R82" i="61" s="1"/>
  <c r="BB82" i="61" a="1"/>
  <c r="BB82" i="61" s="1"/>
  <c r="AS18" i="61"/>
  <c r="P13" i="61"/>
  <c r="P18" i="61" s="1"/>
  <c r="N75" i="61"/>
  <c r="BL18" i="61"/>
  <c r="Y13" i="61"/>
  <c r="Z13" i="61" s="1"/>
  <c r="X18" i="61"/>
  <c r="M7" i="61"/>
  <c r="N7" i="61" s="1"/>
  <c r="N79" i="61" s="1"/>
  <c r="L8" i="61"/>
  <c r="AN18" i="61"/>
  <c r="AJ13" i="61"/>
  <c r="AO13" i="61"/>
  <c r="AP13" i="61" s="1"/>
  <c r="AP74" i="61" s="1"/>
  <c r="BM13" i="61"/>
  <c r="N13" i="61"/>
  <c r="N74" i="61" s="1"/>
  <c r="AK12" i="61"/>
  <c r="AL12" i="61" s="1"/>
  <c r="BI7" i="61"/>
  <c r="BJ7" i="61" s="1"/>
  <c r="BJ79" i="61" s="1"/>
  <c r="AO7" i="61"/>
  <c r="AP7" i="61" s="1"/>
  <c r="AP79" i="61" s="1"/>
  <c r="AK7" i="61"/>
  <c r="AL7" i="61" s="1"/>
  <c r="D3" i="31"/>
  <c r="AL79" i="61" l="1"/>
  <c r="AL78" i="61"/>
  <c r="BH18" i="61"/>
  <c r="BJ8" i="61"/>
  <c r="BI8" i="61"/>
  <c r="BI18" i="61" s="1"/>
  <c r="N62" i="61"/>
  <c r="Z74" i="61"/>
  <c r="Z62" i="61"/>
  <c r="AP62" i="61"/>
  <c r="Q13" i="61"/>
  <c r="R13" i="61" s="1"/>
  <c r="AP75" i="61"/>
  <c r="AL82" i="61" a="1"/>
  <c r="AL82" i="61" s="1"/>
  <c r="AL80" i="61" a="1"/>
  <c r="AL80" i="61" s="1"/>
  <c r="AL81" i="61" a="1"/>
  <c r="AL81" i="61" s="1"/>
  <c r="BM18" i="61"/>
  <c r="AO18" i="61"/>
  <c r="N8" i="61"/>
  <c r="M8" i="61"/>
  <c r="L18" i="61"/>
  <c r="Y18" i="61"/>
  <c r="BJ13" i="61"/>
  <c r="BJ62" i="61" s="1"/>
  <c r="AJ18" i="61"/>
  <c r="BN13" i="61"/>
  <c r="AK13" i="61"/>
  <c r="Q18" i="61" l="1"/>
  <c r="BJ64" i="61"/>
  <c r="BJ63" i="61"/>
  <c r="BJ65" i="61" s="1"/>
  <c r="R74" i="61"/>
  <c r="R62" i="61"/>
  <c r="Z64" i="61"/>
  <c r="Z63" i="61"/>
  <c r="Z65" i="61" s="1"/>
  <c r="BN62" i="61"/>
  <c r="AP64" i="61"/>
  <c r="AP63" i="61"/>
  <c r="AP65" i="61" s="1"/>
  <c r="N63" i="61"/>
  <c r="N65" i="61" s="1"/>
  <c r="N64" i="61"/>
  <c r="M18" i="61"/>
  <c r="AK18" i="61"/>
  <c r="AL13" i="61"/>
  <c r="BN64" i="61" l="1"/>
  <c r="BN63" i="61"/>
  <c r="BN65" i="61" s="1"/>
  <c r="R64" i="61"/>
  <c r="R63" i="61"/>
  <c r="R65" i="61" s="1"/>
  <c r="AL74" i="61"/>
  <c r="AL62" i="61"/>
  <c r="F60" i="60"/>
  <c r="I24" i="60"/>
  <c r="H26" i="60" s="1" a="1"/>
  <c r="H26" i="60" s="1"/>
  <c r="C15" i="60"/>
  <c r="D15" i="60"/>
  <c r="C16" i="60"/>
  <c r="D16" i="60"/>
  <c r="C17" i="60"/>
  <c r="D17" i="60"/>
  <c r="C18" i="60"/>
  <c r="D18" i="60"/>
  <c r="C19" i="60"/>
  <c r="D19" i="60"/>
  <c r="C20" i="60"/>
  <c r="D20" i="60"/>
  <c r="C21" i="60"/>
  <c r="D21" i="60"/>
  <c r="D14" i="60"/>
  <c r="C14" i="60"/>
  <c r="D3" i="60" a="1"/>
  <c r="D3" i="60" s="1"/>
  <c r="AL63" i="61" l="1"/>
  <c r="AL65" i="61" s="1"/>
  <c r="AL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C26" i="60" l="1"/>
  <c r="D26" i="60"/>
  <c r="H29" i="60" a="1"/>
  <c r="H29" i="60" s="1"/>
  <c r="I28" i="60" a="1"/>
  <c r="I28" i="60" s="1"/>
  <c r="K28" i="60" a="1"/>
  <c r="K28" i="60" s="1"/>
  <c r="L28" i="60" a="1"/>
  <c r="L28" i="60" s="1"/>
  <c r="N27" i="60" a="1"/>
  <c r="N27" i="60" s="1"/>
  <c r="M27" i="60" a="1"/>
  <c r="M27" i="60" s="1"/>
  <c r="J27" i="60" a="1"/>
  <c r="J27" i="60" s="1"/>
  <c r="V11" i="25"/>
  <c r="N28" i="60" l="1" a="1"/>
  <c r="N28" i="60" s="1"/>
  <c r="M28" i="60" a="1"/>
  <c r="M28" i="60" s="1"/>
  <c r="J28" i="60" a="1"/>
  <c r="J28" i="60" s="1"/>
  <c r="O27" i="60" a="1"/>
  <c r="O27" i="60" s="1"/>
  <c r="P27" i="60" a="1"/>
  <c r="P27" i="60" s="1"/>
  <c r="H30" i="60" a="1"/>
  <c r="H30" i="60" s="1"/>
  <c r="I29" i="60" a="1"/>
  <c r="I29" i="60" s="1"/>
  <c r="K29" i="60" a="1"/>
  <c r="K29" i="60" s="1"/>
  <c r="L29" i="60" a="1"/>
  <c r="L29" i="60" s="1"/>
  <c r="K11" i="5" a="1"/>
  <c r="K11" i="5" s="1"/>
  <c r="M10" i="5"/>
  <c r="K10" i="5" a="1"/>
  <c r="K10" i="5" s="1"/>
  <c r="M9" i="5"/>
  <c r="C27" i="60" l="1"/>
  <c r="D27" i="60"/>
  <c r="O28" i="60" a="1"/>
  <c r="O28" i="60" s="1"/>
  <c r="P28" i="60" a="1"/>
  <c r="P28" i="60" s="1"/>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H15" i="22"/>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2" i="44" s="1"/>
  <c r="C20" i="44"/>
  <c r="D35" i="60" l="1"/>
  <c r="C35" i="60"/>
  <c r="J37" i="60" a="1"/>
  <c r="J37" i="60" s="1"/>
  <c r="M37" i="60" a="1"/>
  <c r="M37" i="60" s="1"/>
  <c r="N37" i="60" a="1"/>
  <c r="N37" i="60" s="1"/>
  <c r="P36" i="60" a="1"/>
  <c r="P36" i="60" s="1"/>
  <c r="O36" i="60" a="1"/>
  <c r="O36" i="60" s="1"/>
  <c r="H39" i="60" a="1"/>
  <c r="H39" i="60" s="1"/>
  <c r="K38" i="60" a="1"/>
  <c r="K38" i="60" s="1"/>
  <c r="I38" i="60" a="1"/>
  <c r="I38" i="60" s="1"/>
  <c r="L38" i="60" a="1"/>
  <c r="L38" i="60" s="1"/>
  <c r="D20" i="44"/>
  <c r="D36" i="60" l="1"/>
  <c r="C36" i="60"/>
  <c r="H40" i="60" a="1"/>
  <c r="H40" i="60" s="1"/>
  <c r="K39" i="60" a="1"/>
  <c r="K39" i="60" s="1"/>
  <c r="I39" i="60" a="1"/>
  <c r="I39" i="60" s="1"/>
  <c r="L39" i="60" a="1"/>
  <c r="L39" i="60" s="1"/>
  <c r="N38" i="60" a="1"/>
  <c r="N38" i="60" s="1"/>
  <c r="J38" i="60" a="1"/>
  <c r="J38" i="60" s="1"/>
  <c r="M38" i="60" a="1"/>
  <c r="M38" i="60" s="1"/>
  <c r="O37" i="60" a="1"/>
  <c r="O37" i="60" s="1"/>
  <c r="P37" i="60" a="1"/>
  <c r="P37" i="60" s="1"/>
  <c r="C37" i="60" l="1"/>
  <c r="D37" i="60"/>
  <c r="N39" i="60" a="1"/>
  <c r="N39" i="60" s="1"/>
  <c r="J39" i="60" a="1"/>
  <c r="J39" i="60" s="1"/>
  <c r="M39" i="60" a="1"/>
  <c r="M39" i="60" s="1"/>
  <c r="O38" i="60" a="1"/>
  <c r="O38" i="60" s="1"/>
  <c r="P38" i="60" a="1"/>
  <c r="P38"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BX6" i="61"/>
  <c r="BY6" i="61" s="1"/>
  <c r="BZ6" i="61" s="1"/>
  <c r="V10" i="14"/>
  <c r="J10" i="14"/>
  <c r="AZ26" i="25"/>
  <c r="L10" i="8"/>
  <c r="AJ10" i="8" s="1"/>
  <c r="AV26" i="25"/>
  <c r="AZ6" i="61"/>
  <c r="BA6" i="61" s="1"/>
  <c r="BB6" i="61" s="1"/>
  <c r="BP6" i="61"/>
  <c r="BQ6" i="61" s="1"/>
  <c r="BR6" i="61" s="1"/>
  <c r="H10" i="14"/>
  <c r="C39" i="60"/>
  <c r="D39" i="60"/>
  <c r="N41" i="60" a="1"/>
  <c r="N41" i="60" s="1"/>
  <c r="J41" i="60" a="1"/>
  <c r="J41" i="60" s="1"/>
  <c r="M41" i="60" a="1"/>
  <c r="M41" i="60" s="1"/>
  <c r="O40" i="60" a="1"/>
  <c r="O40" i="60" s="1"/>
  <c r="P40" i="60" a="1"/>
  <c r="P40" i="60" s="1"/>
  <c r="C39" i="5"/>
  <c r="T10" i="14"/>
  <c r="F11" i="25"/>
  <c r="AF31" i="14" a="1"/>
  <c r="H31" i="14" a="1"/>
  <c r="AD31" i="14" a="1"/>
  <c r="T30" i="14" a="1"/>
  <c r="AF31" i="14" l="1"/>
  <c r="AD31" i="14"/>
  <c r="AD10" i="14"/>
  <c r="AF10" i="14"/>
  <c r="H31" i="14"/>
  <c r="J9" i="14"/>
  <c r="J19" i="14" s="1"/>
  <c r="BX5" i="61"/>
  <c r="V9" i="14"/>
  <c r="V19" i="14" s="1"/>
  <c r="BZ81" i="61" a="1"/>
  <c r="BZ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BR81" i="61" a="1"/>
  <c r="BR81" i="61" s="1"/>
  <c r="BB81" i="61" a="1"/>
  <c r="BB81" i="61" s="1"/>
  <c r="BP5" i="61"/>
  <c r="AZ5" i="61"/>
  <c r="C40" i="60"/>
  <c r="D40" i="60"/>
  <c r="O41" i="60" a="1"/>
  <c r="O41" i="60" s="1"/>
  <c r="P41" i="60" a="1"/>
  <c r="P41" i="60" s="1"/>
  <c r="B13" i="35"/>
  <c r="C13" i="35" s="1"/>
  <c r="H9" i="14"/>
  <c r="T9" i="14"/>
  <c r="AV11" i="25"/>
  <c r="F13" i="25"/>
  <c r="F12" i="25"/>
  <c r="C3" i="53"/>
  <c r="C8" i="53" s="1"/>
  <c r="C5" i="53"/>
  <c r="C27" i="53"/>
  <c r="C12" i="53"/>
  <c r="V29" i="14" a="1"/>
  <c r="J30" i="14" a="1"/>
  <c r="V30" i="14" a="1"/>
  <c r="AD30" i="14" a="1"/>
  <c r="H30" i="14" a="1"/>
  <c r="T29" i="14" a="1"/>
  <c r="AF30" i="14" a="1"/>
  <c r="AF30" i="14" l="1"/>
  <c r="AD30" i="14"/>
  <c r="AD9" i="14"/>
  <c r="AD19" i="14" s="1"/>
  <c r="AF9" i="14"/>
  <c r="J30" i="14"/>
  <c r="H30" i="14"/>
  <c r="V30" i="14"/>
  <c r="V29" i="14"/>
  <c r="BY5" i="61"/>
  <c r="BZ5" i="61" s="1"/>
  <c r="BX8" i="61"/>
  <c r="BX13" i="61"/>
  <c r="BY13" i="61" s="1"/>
  <c r="BZ13" i="61" s="1"/>
  <c r="BB17" i="25"/>
  <c r="AZ17" i="25"/>
  <c r="P9" i="8"/>
  <c r="Z9" i="8"/>
  <c r="T9" i="8"/>
  <c r="AJ9" i="8"/>
  <c r="F26" i="25"/>
  <c r="F25" i="25"/>
  <c r="F14" i="25"/>
  <c r="T29" i="14"/>
  <c r="AZ8" i="61"/>
  <c r="AZ13" i="61"/>
  <c r="BA13" i="61" s="1"/>
  <c r="BB13" i="61" s="1"/>
  <c r="BA5" i="61"/>
  <c r="BB5" i="61" s="1"/>
  <c r="BP8" i="61"/>
  <c r="BQ5" i="61"/>
  <c r="BR5" i="61" s="1"/>
  <c r="BP13" i="61"/>
  <c r="BQ13" i="61" s="1"/>
  <c r="BR13" i="61" s="1"/>
  <c r="D41" i="60"/>
  <c r="C41" i="60"/>
  <c r="B15" i="35"/>
  <c r="B14" i="35"/>
  <c r="C28" i="53"/>
  <c r="X11" i="14"/>
  <c r="Z11" i="14" s="1"/>
  <c r="X10" i="14"/>
  <c r="Z10" i="14" s="1"/>
  <c r="X9" i="14"/>
  <c r="Z9" i="14" s="1"/>
  <c r="J29" i="14" a="1"/>
  <c r="Z30" i="14" a="1"/>
  <c r="Z29" i="14" a="1"/>
  <c r="H29" i="14" a="1"/>
  <c r="AF29" i="14" a="1"/>
  <c r="AF29" i="14" l="1"/>
  <c r="AF19" i="14"/>
  <c r="J29" i="14"/>
  <c r="H29" i="14"/>
  <c r="BZ8" i="61"/>
  <c r="BZ77" i="61" s="1"/>
  <c r="BY8" i="61"/>
  <c r="BX18" i="61"/>
  <c r="BZ80" i="61" a="1"/>
  <c r="BZ80" i="61" s="1"/>
  <c r="Z30" i="14"/>
  <c r="Z29" i="14"/>
  <c r="BR8" i="61"/>
  <c r="BQ8" i="61"/>
  <c r="BP18" i="61"/>
  <c r="BB80" i="61" a="1"/>
  <c r="BB80" i="61" s="1"/>
  <c r="BR80" i="61" a="1"/>
  <c r="BR80" i="61" s="1"/>
  <c r="BB8" i="61"/>
  <c r="BA8" i="61"/>
  <c r="AZ18" i="61"/>
  <c r="F3" i="60"/>
  <c r="AD10" i="8"/>
  <c r="AD30" i="8" s="1"/>
  <c r="C15" i="35"/>
  <c r="F26" i="60" a="1"/>
  <c r="X30" i="14" a="1"/>
  <c r="AD29" i="14" a="1"/>
  <c r="X29" i="14" a="1"/>
  <c r="AD29" i="14" l="1"/>
  <c r="BY18" i="61"/>
  <c r="BZ79" i="61"/>
  <c r="BZ78" i="61"/>
  <c r="X29" i="14"/>
  <c r="X30" i="14"/>
  <c r="BR78" i="61"/>
  <c r="BR79" i="61"/>
  <c r="BB78" i="61"/>
  <c r="BB79" i="61"/>
  <c r="BB77" i="61"/>
  <c r="BR77" i="61"/>
  <c r="F37" i="60"/>
  <c r="F38" i="60"/>
  <c r="F39" i="60"/>
  <c r="F40" i="60"/>
  <c r="F26" i="60"/>
  <c r="F27" i="60"/>
  <c r="F28" i="60"/>
  <c r="F33" i="60"/>
  <c r="F32" i="60"/>
  <c r="F35" i="60"/>
  <c r="F31" i="60"/>
  <c r="F41" i="60"/>
  <c r="F34" i="60"/>
  <c r="F30" i="60"/>
  <c r="F29" i="60"/>
  <c r="F36" i="60"/>
  <c r="BA18" i="61"/>
  <c r="BQ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3" i="24"/>
  <c r="C54" i="24" s="1"/>
  <c r="C32" i="24"/>
  <c r="C53" i="24" s="1"/>
  <c r="C29" i="24"/>
  <c r="C50" i="24" s="1"/>
  <c r="C28" i="24"/>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39" i="24"/>
  <c r="C49" i="24"/>
  <c r="C47" i="24"/>
  <c r="C41" i="24"/>
  <c r="C55" i="24"/>
  <c r="C56" i="24"/>
  <c r="F22" i="23"/>
  <c r="N9" i="14"/>
  <c r="H37" i="24" a="1"/>
  <c r="N37" i="24" a="1"/>
  <c r="J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V12"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H18" i="59" l="1"/>
  <c r="H16" i="59"/>
  <c r="H14" i="59"/>
  <c r="H17" i="59"/>
  <c r="P34" i="8" l="1"/>
  <c r="P29" i="8"/>
  <c r="P28" i="8"/>
  <c r="P27" i="8"/>
  <c r="P26" i="8"/>
  <c r="P20" i="8"/>
  <c r="P4" i="8"/>
  <c r="P6" i="8" s="1"/>
  <c r="P7" i="8" s="1"/>
  <c r="Q31" i="8"/>
  <c r="Q30" i="8"/>
  <c r="Q29" i="8"/>
  <c r="Q28" i="8"/>
  <c r="Q27" i="8"/>
  <c r="Q26" i="8"/>
  <c r="Q25" i="8"/>
  <c r="AH28" i="25" l="1"/>
  <c r="AH25" i="25"/>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6"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BP3" i="25" l="1"/>
  <c r="BT3" i="25"/>
  <c r="BT18" i="25" s="1"/>
  <c r="BT19" i="25" s="1"/>
  <c r="F32" i="73"/>
  <c r="E37" i="72"/>
  <c r="E39" i="72" s="1"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AX3" i="61"/>
  <c r="BN3" i="61"/>
  <c r="BJ3" i="61"/>
  <c r="G44" i="35"/>
  <c r="G46" i="35" s="1" a="1"/>
  <c r="G46" i="35" s="1"/>
  <c r="G47" i="35" s="1" a="1"/>
  <c r="G47" i="35" s="1"/>
  <c r="F46" i="26"/>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H34" i="40" l="1"/>
  <c r="G34" i="40"/>
  <c r="F34" i="40"/>
  <c r="E34" i="40"/>
  <c r="F33" i="40"/>
  <c r="J15" i="40"/>
  <c r="J6" i="40"/>
  <c r="J17" i="40" l="1"/>
  <c r="J7" i="40"/>
  <c r="J8" i="40" s="1"/>
  <c r="M55" i="40" s="1"/>
  <c r="J10" i="40" l="1" a="1"/>
  <c r="J10" i="40" s="1"/>
  <c r="F65" i="23"/>
  <c r="F4" i="48" l="1"/>
  <c r="I8" i="48"/>
  <c r="H8" i="48"/>
  <c r="G8" i="48"/>
  <c r="M7" i="48"/>
  <c r="K7" i="48"/>
  <c r="I7" i="48"/>
  <c r="H7" i="48"/>
  <c r="J7" i="48"/>
  <c r="G7" i="48"/>
  <c r="M6" i="48"/>
  <c r="K6" i="48"/>
  <c r="J6" i="48"/>
  <c r="I6" i="48"/>
  <c r="H6" i="48"/>
  <c r="G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L82" i="58" s="1"/>
  <c r="P82" i="58" l="1"/>
  <c r="V82" i="58"/>
  <c r="X82" i="58" s="1"/>
  <c r="U100" i="58"/>
  <c r="U99" i="58"/>
  <c r="U97" i="58"/>
  <c r="U96" i="58"/>
  <c r="U95" i="58"/>
  <c r="U94" i="58"/>
  <c r="T82" i="58" l="1"/>
  <c r="R82" i="58"/>
  <c r="N82" i="58"/>
  <c r="Z2" i="58"/>
  <c r="Z3" i="58"/>
  <c r="C11" i="49" l="1"/>
  <c r="I5" i="41" l="1"/>
  <c r="I6" i="41" s="1"/>
  <c r="B9" i="57"/>
  <c r="AN26" i="25"/>
  <c r="F18" i="41" l="1"/>
  <c r="D19" i="41" s="1"/>
  <c r="H18" i="41"/>
  <c r="E18" i="41"/>
  <c r="D18" i="41"/>
  <c r="H13" i="50" l="1"/>
  <c r="G13" i="50"/>
  <c r="F13" i="50"/>
  <c r="H7" i="50"/>
  <c r="G7" i="50"/>
  <c r="F7" i="50"/>
  <c r="M25" i="50"/>
  <c r="M24" i="50"/>
  <c r="M22" i="50"/>
  <c r="P22" i="50" s="1"/>
  <c r="P20" i="50"/>
  <c r="M19" i="50"/>
  <c r="P19" i="50" s="1"/>
  <c r="H61" i="22" l="1"/>
  <c r="H59" i="22"/>
  <c r="H58" i="22"/>
  <c r="BH12" i="25"/>
  <c r="BH11" i="25"/>
  <c r="I13" i="21" l="1"/>
  <c r="F9" i="17"/>
  <c r="G7" i="55" l="1"/>
  <c r="J30" i="40"/>
  <c r="I30" i="40"/>
  <c r="D14" i="34"/>
  <c r="C14" i="34"/>
  <c r="G11" i="49"/>
  <c r="F11" i="49"/>
  <c r="I9" i="49"/>
  <c r="H9" i="49"/>
  <c r="G9" i="49"/>
  <c r="F9" i="49"/>
  <c r="I8" i="49"/>
  <c r="H8" i="49"/>
  <c r="G8" i="49"/>
  <c r="F8" i="49"/>
  <c r="I6" i="49"/>
  <c r="H6" i="49"/>
  <c r="G6" i="49"/>
  <c r="F6" i="49"/>
  <c r="I5" i="49"/>
  <c r="H5"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I12" i="49"/>
  <c r="H12" i="49"/>
  <c r="G12" i="49"/>
  <c r="F12" i="49"/>
  <c r="I11" i="49"/>
  <c r="H11" i="49"/>
  <c r="C17" i="50"/>
  <c r="I4" i="50" s="1"/>
  <c r="O73" i="24"/>
  <c r="O72" i="24"/>
  <c r="O71" i="24"/>
  <c r="O70" i="24"/>
  <c r="I73" i="24"/>
  <c r="I72" i="24"/>
  <c r="I71" i="24"/>
  <c r="I70" i="24"/>
  <c r="I7" i="50" l="1"/>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E45" i="40" s="1"/>
  <c r="C40" i="40"/>
  <c r="C41" i="40"/>
  <c r="C39" i="40"/>
  <c r="E39" i="40" s="1"/>
  <c r="C28" i="40"/>
  <c r="J28" i="40" l="1"/>
  <c r="I28" i="40"/>
  <c r="F48" i="40"/>
  <c r="E48" i="40"/>
  <c r="F42" i="40"/>
  <c r="E42" i="40"/>
  <c r="L14" i="25"/>
  <c r="E46" i="40"/>
  <c r="G46" i="40"/>
  <c r="F46" i="40"/>
  <c r="H46" i="40"/>
  <c r="G40" i="40"/>
  <c r="F39" i="40"/>
  <c r="H40" i="40"/>
  <c r="J36" i="40"/>
  <c r="E40" i="40"/>
  <c r="G36" i="40"/>
  <c r="F40" i="40"/>
  <c r="F45" i="40"/>
  <c r="L17" i="25" l="1"/>
  <c r="G42" i="40"/>
  <c r="G48" i="40"/>
  <c r="H48" i="40"/>
  <c r="J42" i="40"/>
  <c r="I42" i="40"/>
  <c r="J48" i="40"/>
  <c r="I48" i="40"/>
  <c r="H42" i="40"/>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F12" i="57"/>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l="1"/>
  <c r="E13" i="57" a="1"/>
  <c r="E13" i="57" s="1"/>
  <c r="A14" i="57" l="1"/>
  <c r="B14" i="57"/>
  <c r="C14" i="57" l="1"/>
  <c r="D14" i="57" s="1"/>
  <c r="F14" i="57" l="1"/>
  <c r="E14" i="57" a="1"/>
  <c r="E14" i="57" s="1"/>
  <c r="C7" i="5"/>
  <c r="C8" i="5" s="1"/>
  <c r="AB26" i="8" s="1"/>
  <c r="M38" i="55" l="1"/>
  <c r="G38" i="55"/>
  <c r="I38" i="55" s="1"/>
  <c r="H38" i="55" l="1"/>
  <c r="G31" i="55"/>
  <c r="I31" i="55" s="1"/>
  <c r="I29" i="55"/>
  <c r="H29" i="55"/>
  <c r="H31" i="55" l="1"/>
  <c r="C4" i="55"/>
  <c r="I17" i="55"/>
  <c r="H17" i="55"/>
  <c r="G19" i="55"/>
  <c r="I19" i="55" s="1"/>
  <c r="G8" i="55"/>
  <c r="G9" i="55"/>
  <c r="M4" i="55"/>
  <c r="M5" i="55"/>
  <c r="I7" i="55"/>
  <c r="H7" i="55"/>
  <c r="C5" i="55" l="1"/>
  <c r="C6" i="55" s="1"/>
  <c r="K4" i="55"/>
  <c r="I9" i="55"/>
  <c r="G33" i="55"/>
  <c r="H8" i="55"/>
  <c r="G32" i="55"/>
  <c r="K5" i="55"/>
  <c r="G21" i="55"/>
  <c r="I21" i="55" s="1"/>
  <c r="G20" i="55"/>
  <c r="I8" i="55"/>
  <c r="H9" i="55"/>
  <c r="G10" i="55"/>
  <c r="G11" i="55"/>
  <c r="M8" i="55"/>
  <c r="M10" i="55"/>
  <c r="M12" i="55"/>
  <c r="H19" i="55"/>
  <c r="C7" i="55" l="1"/>
  <c r="M36" i="55" a="1"/>
  <c r="M36" i="55" s="1"/>
  <c r="M34" i="55" a="1"/>
  <c r="M34" i="55" s="1"/>
  <c r="M32" i="55" a="1"/>
  <c r="M32" i="55" s="1"/>
  <c r="M28" i="55" a="1"/>
  <c r="M28" i="55" s="1"/>
  <c r="K28" i="55" s="1" a="1"/>
  <c r="K28" i="55" s="1"/>
  <c r="M29" i="55" a="1"/>
  <c r="M29" i="55" s="1"/>
  <c r="I32" i="55"/>
  <c r="H32" i="55"/>
  <c r="G23" i="55"/>
  <c r="H23" i="55" s="1"/>
  <c r="G35" i="55"/>
  <c r="I33" i="55"/>
  <c r="H33" i="55"/>
  <c r="G22" i="55"/>
  <c r="H22" i="55" s="1"/>
  <c r="G34" i="55"/>
  <c r="H21" i="55"/>
  <c r="H20" i="55"/>
  <c r="I20" i="55"/>
  <c r="H10" i="55"/>
  <c r="I10" i="55"/>
  <c r="G12" i="55"/>
  <c r="I11" i="55"/>
  <c r="H11" i="55"/>
  <c r="M16" i="55" l="1" a="1"/>
  <c r="M16" i="55" s="1"/>
  <c r="K16" i="55" s="1" a="1"/>
  <c r="K16" i="55" s="1"/>
  <c r="M17" i="55" a="1"/>
  <c r="M17" i="55" s="1"/>
  <c r="M22" i="55" a="1"/>
  <c r="M22" i="55" s="1"/>
  <c r="M20" i="55" a="1"/>
  <c r="M20" i="55" s="1"/>
  <c r="M24" i="55" a="1"/>
  <c r="M24" i="55" s="1"/>
  <c r="I23" i="55"/>
  <c r="I22" i="55"/>
  <c r="I35" i="55"/>
  <c r="H35" i="55"/>
  <c r="G24" i="55"/>
  <c r="I24" i="55" s="1"/>
  <c r="G36" i="55"/>
  <c r="I34" i="55"/>
  <c r="H34" i="55"/>
  <c r="H12" i="55"/>
  <c r="I12" i="55"/>
  <c r="H24" i="55" l="1"/>
  <c r="I36" i="55"/>
  <c r="H36" i="55"/>
  <c r="D13" i="34" l="1"/>
  <c r="D15" i="34"/>
  <c r="D16" i="34"/>
  <c r="D17" i="34"/>
  <c r="D18" i="34"/>
  <c r="D19" i="34"/>
  <c r="D20" i="34"/>
  <c r="D21" i="34"/>
  <c r="D22" i="34"/>
  <c r="C15" i="34"/>
  <c r="C16" i="34"/>
  <c r="C17" i="34"/>
  <c r="C18"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5" i="25" a="1"/>
  <c r="Z26"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O11" i="49" l="1"/>
  <c r="O8" i="49"/>
  <c r="O5" i="49"/>
  <c r="L20" i="45" a="1"/>
  <c r="L20" i="45" s="1"/>
  <c r="K20" i="45" a="1"/>
  <c r="K20" i="45" s="1"/>
  <c r="C3" i="45" a="1"/>
  <c r="C3" i="45" s="1"/>
  <c r="D3" i="45"/>
  <c r="I20" i="45" a="1"/>
  <c r="I20" i="45" s="1"/>
  <c r="H21" i="45" a="1"/>
  <c r="H21" i="45" s="1"/>
  <c r="B3" i="43"/>
  <c r="C3" i="43" s="1"/>
  <c r="L21" i="45" l="1"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C9" i="44"/>
  <c r="D11" i="44"/>
  <c r="D17" i="44"/>
  <c r="J21" i="45" a="1"/>
  <c r="J21" i="45" s="1"/>
  <c r="H23" i="45" a="1"/>
  <c r="H23" i="45" s="1"/>
  <c r="I22" i="45" a="1"/>
  <c r="I22" i="45" s="1"/>
  <c r="D3" i="43"/>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M20" i="43" l="1" a="1"/>
  <c r="M20" i="43" s="1"/>
  <c r="N20" i="43" a="1"/>
  <c r="N20" i="43" s="1"/>
  <c r="P22" i="45" a="1"/>
  <c r="P22" i="45" s="1"/>
  <c r="O22" i="45" a="1"/>
  <c r="O22" i="45" s="1"/>
  <c r="K21" i="43" a="1"/>
  <c r="K21" i="43" s="1"/>
  <c r="L21" i="43" a="1"/>
  <c r="L21" i="43" s="1"/>
  <c r="N23" i="45" a="1"/>
  <c r="N23" i="45" s="1"/>
  <c r="M23" i="45" a="1"/>
  <c r="M23" i="45" s="1"/>
  <c r="D22" i="44"/>
  <c r="C27" i="44"/>
  <c r="C30" i="44"/>
  <c r="C28" i="44"/>
  <c r="C15" i="44"/>
  <c r="D21" i="45"/>
  <c r="D26" i="45" s="1"/>
  <c r="D9" i="44"/>
  <c r="D23" i="44"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3" i="45" s="1"/>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5" i="42"/>
  <c r="C16" i="42"/>
  <c r="B17" i="42"/>
  <c r="C18" i="42"/>
  <c r="C12" i="42"/>
  <c r="B12" i="42"/>
  <c r="F19" i="41"/>
  <c r="J29" i="40"/>
  <c r="I29" i="40"/>
  <c r="H29" i="40"/>
  <c r="G29" i="40"/>
  <c r="J27" i="40"/>
  <c r="I27" i="40"/>
  <c r="H27" i="40"/>
  <c r="G27" i="40"/>
  <c r="F27" i="40"/>
  <c r="H26" i="40"/>
  <c r="F26" i="40"/>
  <c r="E26" i="40"/>
  <c r="D18" i="39"/>
  <c r="AR32" i="25"/>
  <c r="AR14" i="25"/>
  <c r="AR13" i="25"/>
  <c r="C18" i="39"/>
  <c r="C2" i="39" a="1"/>
  <c r="C2" i="39" s="1"/>
  <c r="C4" i="39" a="1"/>
  <c r="C4" i="39" s="1"/>
  <c r="B21" i="39"/>
  <c r="B22" i="39" s="1"/>
  <c r="B23" i="39" s="1"/>
  <c r="B24" i="39" s="1"/>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F25" i="45" a="1"/>
  <c r="F20" i="45" a="1"/>
  <c r="D27" i="25" a="1"/>
  <c r="F11" i="45" a="1"/>
  <c r="G30" i="39" l="1"/>
  <c r="F30" i="39"/>
  <c r="F27" i="25"/>
  <c r="D27" i="25"/>
  <c r="F33" i="45"/>
  <c r="F34" i="45"/>
  <c r="F32" i="45"/>
  <c r="F31" i="45"/>
  <c r="O23" i="43" a="1"/>
  <c r="O23" i="43" s="1"/>
  <c r="P23" i="43" a="1"/>
  <c r="P23" i="43" s="1"/>
  <c r="F14" i="45"/>
  <c r="F12" i="45"/>
  <c r="F13" i="45"/>
  <c r="F16" i="45"/>
  <c r="F11" i="45"/>
  <c r="F15" i="45"/>
  <c r="F20" i="45"/>
  <c r="F21" i="45"/>
  <c r="F22" i="45"/>
  <c r="F23" i="45"/>
  <c r="F28" i="45"/>
  <c r="F27" i="45"/>
  <c r="F26" i="45"/>
  <c r="F25" i="45"/>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F30" i="40"/>
  <c r="E30" i="40"/>
  <c r="F28" i="40"/>
  <c r="E28" i="40"/>
  <c r="B23" i="41"/>
  <c r="G18" i="41"/>
  <c r="E19" i="41" s="1"/>
  <c r="E29" i="40"/>
  <c r="L24" i="40"/>
  <c r="L45" i="40"/>
  <c r="L36" i="40"/>
  <c r="L39" i="40"/>
  <c r="L42" i="40"/>
  <c r="L48" i="40"/>
  <c r="L33" i="40"/>
  <c r="D15" i="44"/>
  <c r="D29" i="44" s="1"/>
  <c r="F7" i="45" a="1"/>
  <c r="F7" i="45" s="1"/>
  <c r="F8" i="45" a="1"/>
  <c r="F8" i="45" s="1"/>
  <c r="F9" i="45" a="1"/>
  <c r="F9" i="45" s="1"/>
  <c r="F6" i="45" a="1"/>
  <c r="F6" i="45" s="1"/>
  <c r="G19" i="41"/>
  <c r="E27" i="40"/>
  <c r="F29" i="40"/>
  <c r="G26" i="40"/>
  <c r="H28" i="40" s="1"/>
  <c r="L25" i="40"/>
  <c r="C23" i="39" a="1"/>
  <c r="C23" i="39" s="1"/>
  <c r="D23" i="39"/>
  <c r="D24" i="39"/>
  <c r="C22" i="39" a="1"/>
  <c r="C22" i="39" s="1"/>
  <c r="D22" i="39"/>
  <c r="C21" i="39" a="1"/>
  <c r="C21" i="39" s="1"/>
  <c r="D21" i="39"/>
  <c r="C24" i="39" a="1"/>
  <c r="C24" i="39" s="1"/>
  <c r="C5" i="39" a="1"/>
  <c r="C5" i="39" s="1"/>
  <c r="C7" i="39" s="1" a="1"/>
  <c r="C7" i="39" s="1"/>
  <c r="C3" i="38"/>
  <c r="F46" i="45" l="1" a="1"/>
  <c r="F46" i="45" s="1"/>
  <c r="C10" i="39"/>
  <c r="C11" i="39" s="1"/>
  <c r="F47" i="45" a="1"/>
  <c r="F47" i="45" s="1"/>
  <c r="L55" i="40"/>
  <c r="J11" i="40"/>
  <c r="J13" i="40" s="1" a="1"/>
  <c r="J13" i="40" s="1"/>
  <c r="L29" i="40"/>
  <c r="B24" i="41"/>
  <c r="E24" i="41" s="1"/>
  <c r="E27" i="41" s="1"/>
  <c r="I23" i="41"/>
  <c r="I26" i="41" s="1"/>
  <c r="F23" i="41"/>
  <c r="H23" i="41"/>
  <c r="D23" i="41"/>
  <c r="E23" i="41"/>
  <c r="E26" i="41" s="1"/>
  <c r="G23" i="41"/>
  <c r="G26" i="41" s="1"/>
  <c r="G30" i="40"/>
  <c r="H30" i="40"/>
  <c r="G28" i="40"/>
  <c r="L28" i="40" s="1"/>
  <c r="D16" i="44"/>
  <c r="L27" i="40"/>
  <c r="J12" i="40" a="1"/>
  <c r="J12" i="40" s="1"/>
  <c r="L26" i="40"/>
  <c r="F24" i="39"/>
  <c r="F21" i="39"/>
  <c r="F23" i="39"/>
  <c r="F22" i="39"/>
  <c r="D6" i="38"/>
  <c r="B7" i="38"/>
  <c r="G31" i="39" l="1"/>
  <c r="D30" i="44"/>
  <c r="F36" i="44" s="1"/>
  <c r="G24" i="41"/>
  <c r="G27" i="41" s="1"/>
  <c r="G31" i="41" s="1"/>
  <c r="J18" i="40"/>
  <c r="J19" i="40" s="1"/>
  <c r="F37" i="45"/>
  <c r="E30" i="41"/>
  <c r="E31" i="41"/>
  <c r="I30" i="41"/>
  <c r="G30" i="41"/>
  <c r="H24" i="41"/>
  <c r="I24" i="41"/>
  <c r="I27" i="41" s="1"/>
  <c r="F24" i="41"/>
  <c r="D24" i="41"/>
  <c r="F31" i="39"/>
  <c r="L30" i="40"/>
  <c r="C7" i="38"/>
  <c r="B8" i="38"/>
  <c r="D7" i="38"/>
  <c r="C6" i="38"/>
  <c r="D8" i="36"/>
  <c r="D10" i="36"/>
  <c r="D9" i="36"/>
  <c r="D7" i="36"/>
  <c r="D6" i="36"/>
  <c r="AN32" i="25"/>
  <c r="AN13" i="25"/>
  <c r="AN14" i="25"/>
  <c r="AF13" i="25"/>
  <c r="AF12" i="25"/>
  <c r="AF32" i="25"/>
  <c r="AD32" i="25"/>
  <c r="AD13" i="25"/>
  <c r="AD12" i="25"/>
  <c r="AB32" i="25"/>
  <c r="AB12" i="25"/>
  <c r="AB13" i="25"/>
  <c r="C24" i="35"/>
  <c r="C26" i="35" s="1"/>
  <c r="G25" i="35"/>
  <c r="G5" i="35"/>
  <c r="F37" i="44" l="1"/>
  <c r="AH3" i="25"/>
  <c r="AH18" i="25" s="1"/>
  <c r="AH19" i="25" s="1"/>
  <c r="J3" i="25"/>
  <c r="J18" i="25" s="1"/>
  <c r="J19" i="25" s="1"/>
  <c r="AN17" i="25"/>
  <c r="AN18" i="25" s="1"/>
  <c r="C25" i="41"/>
  <c r="K25" i="41" s="1"/>
  <c r="I31" i="41"/>
  <c r="AD14" i="25"/>
  <c r="AD17" i="25" s="1"/>
  <c r="AB14" i="25"/>
  <c r="AF14" i="25"/>
  <c r="AF17" i="25" s="1"/>
  <c r="B9" i="38"/>
  <c r="D8" i="38"/>
  <c r="C8" i="38"/>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V26" i="25" l="1"/>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C9" i="38"/>
  <c r="D9" i="38"/>
  <c r="F48" i="34"/>
  <c r="F49" i="34"/>
  <c r="C10" i="30"/>
  <c r="C11" i="30" s="1"/>
  <c r="C12" i="30" s="1"/>
  <c r="C13" i="30" s="1"/>
  <c r="D9" i="30"/>
  <c r="I20" i="29" a="1"/>
  <c r="I20" i="29" s="1"/>
  <c r="H22" i="29" s="1" a="1"/>
  <c r="H22" i="29" s="1"/>
  <c r="H22" i="28" a="1"/>
  <c r="H22" i="28" s="1"/>
  <c r="F57" i="30" a="1"/>
  <c r="F6" i="32" a="1"/>
  <c r="AH30" i="8" a="1"/>
  <c r="E3" i="64" l="1"/>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D10" i="38"/>
  <c r="C10"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F40" i="32" l="1" a="1"/>
  <c r="F40" i="32" s="1"/>
  <c r="E6" i="64"/>
  <c r="E36" i="64"/>
  <c r="K27" i="41"/>
  <c r="K31" i="41"/>
  <c r="AV17" i="25"/>
  <c r="K30" i="41"/>
  <c r="O22" i="28" a="1"/>
  <c r="O22" i="28" s="1"/>
  <c r="K26" i="41"/>
  <c r="N22" i="28" a="1"/>
  <c r="N22" i="28" s="1"/>
  <c r="B12" i="38"/>
  <c r="C11" i="38"/>
  <c r="D11"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E37" i="64" l="1"/>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D12" i="38"/>
  <c r="C12" i="38"/>
  <c r="M23" i="29" a="1"/>
  <c r="M23" i="29" s="1"/>
  <c r="N23" i="29" a="1"/>
  <c r="N23" i="29" s="1"/>
  <c r="P22" i="29" a="1"/>
  <c r="P22" i="29" s="1"/>
  <c r="O22" i="29" a="1"/>
  <c r="O22" i="29" s="1"/>
  <c r="N23" i="28" a="1"/>
  <c r="N23" i="28" s="1"/>
  <c r="M23" i="28" a="1"/>
  <c r="M23" i="28" s="1"/>
  <c r="O23" i="28" a="1"/>
  <c r="O23" i="28" s="1"/>
  <c r="P23" i="28" a="1"/>
  <c r="P23" i="28" s="1"/>
  <c r="N32" i="25"/>
  <c r="N13" i="25"/>
  <c r="N14" i="25"/>
  <c r="N17" i="25" l="1"/>
  <c r="N18" i="25" s="1"/>
  <c r="M24" i="29" a="1"/>
  <c r="M24" i="29" s="1"/>
  <c r="N24" i="29" a="1"/>
  <c r="N24" i="29" s="1"/>
  <c r="J24" i="29" a="1"/>
  <c r="J24" i="29" s="1"/>
  <c r="M24" i="28" a="1"/>
  <c r="M24" i="28" s="1"/>
  <c r="N24" i="28" a="1"/>
  <c r="N24" i="28" s="1"/>
  <c r="J24" i="28" a="1"/>
  <c r="J24" i="28" s="1"/>
  <c r="C22" i="29"/>
  <c r="B14" i="38"/>
  <c r="B15" i="38" s="1"/>
  <c r="C13" i="38"/>
  <c r="D13" i="38"/>
  <c r="D22" i="29"/>
  <c r="O23" i="29" a="1"/>
  <c r="O23" i="29" s="1"/>
  <c r="P23" i="29" a="1"/>
  <c r="P23" i="29" s="1"/>
  <c r="AX32" i="25"/>
  <c r="C23" i="29" l="1"/>
  <c r="O24" i="29" a="1"/>
  <c r="O24" i="29" s="1"/>
  <c r="P24" i="29" a="1"/>
  <c r="P24" i="29" s="1"/>
  <c r="O24" i="28" a="1"/>
  <c r="O24" i="28" s="1"/>
  <c r="P24" i="28" a="1"/>
  <c r="P24" i="28" s="1"/>
  <c r="D23" i="29"/>
  <c r="D14" i="38"/>
  <c r="C14" i="38"/>
  <c r="N19" i="25"/>
  <c r="J20" i="8" l="1"/>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D23" i="22"/>
  <c r="H9" i="22"/>
  <c r="F55" i="26" a="1"/>
  <c r="F5" i="26" a="1"/>
  <c r="F56" i="26" a="1"/>
  <c r="F56" i="26" l="1"/>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K25" i="23" a="1"/>
  <c r="K25" i="23" s="1"/>
  <c r="M25" i="23" a="1"/>
  <c r="M25" i="23" s="1"/>
  <c r="L25" i="23" a="1"/>
  <c r="L25" i="23" s="1"/>
  <c r="C23" i="22"/>
  <c r="F23" i="22" s="1"/>
  <c r="H5" i="22"/>
  <c r="F7" i="17"/>
  <c r="F6" i="17"/>
  <c r="F5" i="17"/>
  <c r="F4" i="17"/>
  <c r="J7" i="8"/>
  <c r="B22" i="19"/>
  <c r="C22" i="19"/>
  <c r="B16" i="19"/>
  <c r="C16"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E23" i="22" l="1"/>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L27" i="23" s="1" a="1"/>
  <c r="L27" i="23" s="1"/>
  <c r="K26" i="23" a="1"/>
  <c r="K26" i="23" s="1"/>
  <c r="L26" i="23" a="1"/>
  <c r="L26" i="23" s="1"/>
  <c r="N25" i="23" a="1"/>
  <c r="N25" i="23" s="1"/>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S25" i="9" l="1"/>
  <c r="S23" i="9"/>
  <c r="S24" i="9"/>
  <c r="S22" i="9"/>
  <c r="E25" i="22"/>
  <c r="S9" i="9"/>
  <c r="S19" i="9"/>
  <c r="S10" i="9"/>
  <c r="S15" i="9"/>
  <c r="S6" i="9"/>
  <c r="S13" i="9"/>
  <c r="S8" i="9"/>
  <c r="S14" i="9"/>
  <c r="S12" i="9"/>
  <c r="S17" i="9"/>
  <c r="S16" i="9"/>
  <c r="S18" i="9"/>
  <c r="S11" i="9"/>
  <c r="S7" i="9"/>
  <c r="H10" i="22"/>
  <c r="H11" i="22" s="1"/>
  <c r="F24" i="17"/>
  <c r="H3" i="18"/>
  <c r="F22" i="17"/>
  <c r="F23" i="17"/>
  <c r="D24" i="17"/>
  <c r="H30" i="23"/>
  <c r="K30" i="23" s="1" a="1"/>
  <c r="K30" i="23" s="1"/>
  <c r="I27" i="23"/>
  <c r="J27" i="23" s="1"/>
  <c r="K27" i="23" a="1"/>
  <c r="K27" i="23" s="1"/>
  <c r="P25" i="23" a="1"/>
  <c r="P25" i="23" s="1"/>
  <c r="O25" i="23" a="1"/>
  <c r="O25" i="23" s="1"/>
  <c r="M26" i="23" a="1"/>
  <c r="M26" i="23" s="1"/>
  <c r="N26" i="23" a="1"/>
  <c r="N26" i="23" s="1"/>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43" i="22" a="1"/>
  <c r="H23" i="22" a="1"/>
  <c r="H35" i="22" a="1"/>
  <c r="H31" i="22" a="1"/>
  <c r="H39" i="22" a="1"/>
  <c r="H27" i="22" a="1"/>
  <c r="H51" i="22" a="1"/>
  <c r="H47" i="22" a="1"/>
  <c r="H51" i="18" a="1"/>
  <c r="S39" i="9" l="1"/>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N27" i="23" a="1"/>
  <c r="N27" i="23" s="1"/>
  <c r="L30" i="23" a="1"/>
  <c r="L30" i="23" s="1"/>
  <c r="D25" i="23"/>
  <c r="H31" i="23"/>
  <c r="I30" i="23"/>
  <c r="J30" i="23" s="1"/>
  <c r="C25" i="23"/>
  <c r="M27" i="23" a="1"/>
  <c r="M27" i="23" s="1"/>
  <c r="O26" i="23" a="1"/>
  <c r="O26" i="23" s="1"/>
  <c r="P26" i="23" a="1"/>
  <c r="P26" i="23" s="1"/>
  <c r="P27" i="23" a="1"/>
  <c r="P27" i="23" s="1"/>
  <c r="O27" i="23" a="1"/>
  <c r="O27" i="23" s="1"/>
  <c r="H12" i="22" a="1"/>
  <c r="H12" i="22" s="1"/>
  <c r="X16" i="14"/>
  <c r="Z16" i="14" s="1"/>
  <c r="T16" i="14"/>
  <c r="X7" i="14"/>
  <c r="Z7" i="14" s="1"/>
  <c r="X19" i="14"/>
  <c r="Z19" i="14" s="1"/>
  <c r="L9" i="14"/>
  <c r="T7" i="14"/>
  <c r="N7" i="14"/>
  <c r="L7" i="14"/>
  <c r="N19" i="14"/>
  <c r="H19" i="14"/>
  <c r="F19" i="14"/>
  <c r="C42" i="5"/>
  <c r="D3" i="74" s="1"/>
  <c r="C3" i="74" s="1"/>
  <c r="AK2" i="14"/>
  <c r="AJ20" i="8"/>
  <c r="Z20" i="8"/>
  <c r="V20" i="8"/>
  <c r="X20" i="8" s="1"/>
  <c r="T20" i="8"/>
  <c r="N20" i="8"/>
  <c r="L20" i="8"/>
  <c r="D20" i="8"/>
  <c r="T31" i="14" a="1"/>
  <c r="L29" i="14" a="1"/>
  <c r="Z31" i="14" a="1"/>
  <c r="F24" i="74" l="1"/>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C24" i="19" a="1"/>
  <c r="C24" i="19" s="1"/>
  <c r="B9" i="19" a="1"/>
  <c r="B9" i="19" s="1"/>
  <c r="C26" i="19" a="1"/>
  <c r="C26" i="19" s="1"/>
  <c r="B10" i="42" a="1"/>
  <c r="B10" i="42" s="1"/>
  <c r="C6" i="42" a="1"/>
  <c r="C6" i="42" s="1"/>
  <c r="I19" i="21" a="1"/>
  <c r="I19" i="21" s="1"/>
  <c r="B28" i="19" a="1"/>
  <c r="B28" i="19" s="1"/>
  <c r="B24" i="19" a="1"/>
  <c r="B24" i="19" s="1"/>
  <c r="B7" i="19" a="1"/>
  <c r="B7" i="19" s="1"/>
  <c r="B13" i="19" a="1"/>
  <c r="B13" i="19" s="1"/>
  <c r="C30" i="19" a="1"/>
  <c r="C30" i="19" s="1"/>
  <c r="C24" i="21" a="1"/>
  <c r="C24" i="21" s="1"/>
  <c r="B24" i="21" a="1"/>
  <c r="B24" i="21" s="1"/>
  <c r="I18" i="21" a="1"/>
  <c r="I18" i="21" s="1"/>
  <c r="C34" i="19" a="1"/>
  <c r="C34" i="19" s="1"/>
  <c r="B36" i="19" a="1"/>
  <c r="B36" i="19" s="1"/>
  <c r="B32" i="19" a="1"/>
  <c r="B32" i="19" s="1"/>
  <c r="B34" i="19" a="1"/>
  <c r="B34"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J31" i="23" s="1"/>
  <c r="M30" i="23" a="1"/>
  <c r="M30" i="23" s="1"/>
  <c r="N30" i="23" a="1"/>
  <c r="N30" i="23" s="1"/>
  <c r="K31" i="23" a="1"/>
  <c r="K31" i="23" s="1"/>
  <c r="L31" i="23" a="1"/>
  <c r="L31" i="23" s="1"/>
  <c r="D26" i="23"/>
  <c r="C26" i="23"/>
  <c r="D27" i="23"/>
  <c r="C27"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D6" i="74" l="1"/>
  <c r="F33" i="74" a="1"/>
  <c r="F33" i="74" s="1"/>
  <c r="F34" i="74" s="1" a="1"/>
  <c r="F34" i="74" s="1"/>
  <c r="F35" i="74" s="1" a="1"/>
  <c r="F35" i="74" s="1"/>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L32" i="23" a="1"/>
  <c r="L32" i="23" s="1"/>
  <c r="I32" i="23"/>
  <c r="K32" i="23" a="1"/>
  <c r="K32" i="23" s="1"/>
  <c r="H35" i="23"/>
  <c r="C14" i="42"/>
  <c r="B13" i="42"/>
  <c r="C17" i="42"/>
  <c r="C17" i="19"/>
  <c r="C9" i="19"/>
  <c r="C19" i="19"/>
  <c r="C11" i="19"/>
  <c r="C15" i="19"/>
  <c r="C7" i="19"/>
  <c r="C21" i="19"/>
  <c r="C13" i="19"/>
  <c r="N31" i="23" a="1"/>
  <c r="N31" i="23" s="1"/>
  <c r="M31" i="23" a="1"/>
  <c r="M31" i="23" s="1"/>
  <c r="P30" i="23" a="1"/>
  <c r="P30" i="23" s="1"/>
  <c r="O30" i="23" a="1"/>
  <c r="O30" i="23" s="1"/>
  <c r="F15" i="62" a="1"/>
  <c r="F6" i="74" a="1"/>
  <c r="F19" i="62" a="1"/>
  <c r="F6" i="74" l="1"/>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M32" i="23" a="1"/>
  <c r="M32" i="23" s="1"/>
  <c r="N32" i="23" a="1"/>
  <c r="N32" i="23" s="1"/>
  <c r="J32" i="23"/>
  <c r="C30" i="23"/>
  <c r="E2" i="42"/>
  <c r="B17" i="19"/>
  <c r="B15" i="19"/>
  <c r="B21" i="19"/>
  <c r="B19" i="19"/>
  <c r="H36" i="23"/>
  <c r="I35" i="23"/>
  <c r="J35" i="23" s="1"/>
  <c r="D30" i="23"/>
  <c r="O31" i="23" a="1"/>
  <c r="O31" i="23" s="1"/>
  <c r="P31" i="23" a="1"/>
  <c r="P31" i="23" s="1"/>
  <c r="K35" i="23" a="1"/>
  <c r="K35" i="23" s="1"/>
  <c r="L35" i="23" a="1"/>
  <c r="L35" i="23" s="1"/>
  <c r="AJ7" i="8"/>
  <c r="Z7" i="8"/>
  <c r="V7" i="8"/>
  <c r="X7" i="8" s="1"/>
  <c r="T7" i="8"/>
  <c r="R7" i="8"/>
  <c r="N7" i="8"/>
  <c r="L7" i="8"/>
  <c r="H7" i="8"/>
  <c r="T29" i="8"/>
  <c r="AD3" i="5" a="1"/>
  <c r="AD3" i="5" s="1"/>
  <c r="AD9" i="5" s="1"/>
  <c r="F32" i="68" a="1"/>
  <c r="F44" i="68" a="1"/>
  <c r="F27" i="68" a="1"/>
  <c r="F23" i="62" a="1"/>
  <c r="F37" i="68" a="1"/>
  <c r="E5" i="42" a="1"/>
  <c r="F6" i="68" a="1"/>
  <c r="AD10" i="5" l="1"/>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O32" i="23" a="1"/>
  <c r="O32" i="23" s="1"/>
  <c r="P32" i="23" a="1"/>
  <c r="P32" i="23" s="1"/>
  <c r="H20" i="8"/>
  <c r="C31" i="23"/>
  <c r="H37" i="23"/>
  <c r="I36" i="23"/>
  <c r="J36" i="23" s="1"/>
  <c r="D31" i="23"/>
  <c r="M35" i="23" a="1"/>
  <c r="M35" i="23" s="1"/>
  <c r="N35" i="23" a="1"/>
  <c r="N35" i="23" s="1"/>
  <c r="K36" i="23" a="1"/>
  <c r="K36" i="23" s="1"/>
  <c r="L36" i="23" a="1"/>
  <c r="L36" i="23" s="1"/>
  <c r="D7" i="8"/>
  <c r="E36" i="42" a="1"/>
  <c r="E6" i="19" a="1"/>
  <c r="F61" i="68" l="1"/>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J37" i="23" s="1"/>
  <c r="C32" i="23"/>
  <c r="D32" i="23"/>
  <c r="K37" i="23" a="1"/>
  <c r="K37" i="23" s="1"/>
  <c r="L37" i="23" a="1"/>
  <c r="L37" i="23" s="1"/>
  <c r="N36" i="23" a="1"/>
  <c r="N36" i="23" s="1"/>
  <c r="M36" i="23" a="1"/>
  <c r="M36" i="23" s="1"/>
  <c r="O35" i="23" a="1"/>
  <c r="O35" i="23" s="1"/>
  <c r="P35" i="23" a="1"/>
  <c r="P35" i="23" s="1"/>
  <c r="E55" i="19" l="1"/>
  <c r="E27" i="42"/>
  <c r="E28" i="42" s="1"/>
  <c r="E29" i="42" s="1" a="1"/>
  <c r="E29" i="42" s="1"/>
  <c r="L40" i="23" a="1"/>
  <c r="L40" i="23" s="1"/>
  <c r="I40" i="23"/>
  <c r="K40" i="23" a="1"/>
  <c r="K40" i="23" s="1"/>
  <c r="H41" i="23"/>
  <c r="D35" i="23"/>
  <c r="C35" i="23"/>
  <c r="M37" i="23" a="1"/>
  <c r="M37" i="23" s="1"/>
  <c r="N37" i="23" a="1"/>
  <c r="N37" i="23" s="1"/>
  <c r="O36" i="23" a="1"/>
  <c r="O36" i="23" s="1"/>
  <c r="P36" i="23" a="1"/>
  <c r="P36" i="23" s="1"/>
  <c r="I20" i="7"/>
  <c r="H22" i="7" s="1"/>
  <c r="C17" i="7"/>
  <c r="C16" i="7"/>
  <c r="C14" i="7"/>
  <c r="C13" i="7"/>
  <c r="D36" i="23" l="1"/>
  <c r="H42" i="23"/>
  <c r="L41" i="23" a="1"/>
  <c r="L41" i="23" s="1"/>
  <c r="I41" i="23"/>
  <c r="K41" i="23" a="1"/>
  <c r="K41" i="23" s="1"/>
  <c r="N40" i="23" a="1"/>
  <c r="N40" i="23" s="1"/>
  <c r="J40" i="23"/>
  <c r="M40" i="23" a="1"/>
  <c r="M40" i="23" s="1"/>
  <c r="C36" i="23"/>
  <c r="O37" i="23" a="1"/>
  <c r="O37" i="23" s="1"/>
  <c r="P37" i="23" a="1"/>
  <c r="P37" i="23" s="1"/>
  <c r="H23" i="7"/>
  <c r="I22" i="7"/>
  <c r="J22" i="7" s="1"/>
  <c r="K22" i="7" a="1"/>
  <c r="K22" i="7" s="1"/>
  <c r="D37" i="23" l="1"/>
  <c r="N41" i="23" a="1"/>
  <c r="N41" i="23" s="1"/>
  <c r="J41" i="23"/>
  <c r="M41" i="23" a="1"/>
  <c r="M41" i="23" s="1"/>
  <c r="P40" i="23" a="1"/>
  <c r="P40" i="23" s="1"/>
  <c r="O40" i="23" a="1"/>
  <c r="O40" i="23" s="1"/>
  <c r="K42" i="23" a="1"/>
  <c r="K42" i="23" s="1"/>
  <c r="I42" i="23"/>
  <c r="L42" i="23" a="1"/>
  <c r="L42" i="23" s="1"/>
  <c r="C37" i="23"/>
  <c r="I23" i="7"/>
  <c r="H24" i="7"/>
  <c r="H25" i="7" l="1"/>
  <c r="I24" i="7"/>
  <c r="J42" i="23"/>
  <c r="M42" i="23" a="1"/>
  <c r="M42" i="23" s="1"/>
  <c r="N42" i="23" a="1"/>
  <c r="N42" i="23" s="1"/>
  <c r="P41" i="23" a="1"/>
  <c r="P41" i="23" s="1"/>
  <c r="O41" i="23" a="1"/>
  <c r="O41" i="23" s="1"/>
  <c r="D40" i="23"/>
  <c r="C40" i="23"/>
  <c r="J23" i="7"/>
  <c r="C43" i="5"/>
  <c r="B11" i="51" l="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D15" i="28" a="1"/>
  <c r="D15" i="28" s="1"/>
  <c r="C13" i="28" a="1"/>
  <c r="C13" i="28" s="1"/>
  <c r="C10" i="28" a="1"/>
  <c r="C10" i="28" s="1"/>
  <c r="D17" i="7" a="1"/>
  <c r="D17" i="7" s="1"/>
  <c r="C12" i="7" a="1"/>
  <c r="C12" i="7" s="1"/>
  <c r="C10" i="7" a="1"/>
  <c r="C10" i="7" s="1"/>
  <c r="D7" i="7" a="1"/>
  <c r="D7" i="7" s="1"/>
  <c r="L24" i="7" s="1" a="1"/>
  <c r="L24"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7" i="28" a="1"/>
  <c r="D17" i="28" s="1"/>
  <c r="C15" i="28" a="1"/>
  <c r="C15" i="28" s="1"/>
  <c r="D12" i="28" a="1"/>
  <c r="D12" i="28" s="1"/>
  <c r="C6" i="28" a="1"/>
  <c r="C6" i="28" s="1"/>
  <c r="D15" i="7" a="1"/>
  <c r="D15" i="7" s="1"/>
  <c r="D11" i="7" a="1"/>
  <c r="D11"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7" i="28" a="1"/>
  <c r="C17" i="28" s="1"/>
  <c r="C14" i="28" a="1"/>
  <c r="C14" i="28" s="1"/>
  <c r="D11" i="28" a="1"/>
  <c r="D11" i="28" s="1"/>
  <c r="D13" i="7" a="1"/>
  <c r="D13" i="7" s="1"/>
  <c r="C11" i="7" a="1"/>
  <c r="C11" i="7" s="1"/>
  <c r="D8" i="7" a="1"/>
  <c r="D8" i="7" s="1"/>
  <c r="N24" i="7" s="1" a="1"/>
  <c r="N24" i="7" s="1"/>
  <c r="D6" i="7" a="1"/>
  <c r="D6" i="7" s="1"/>
  <c r="D40" i="31" a="1"/>
  <c r="D40" i="31" s="1"/>
  <c r="D17" i="31" a="1"/>
  <c r="D17" i="31" s="1"/>
  <c r="D13" i="28" a="1"/>
  <c r="D13" i="28" s="1"/>
  <c r="C6" i="7" a="1"/>
  <c r="C6" i="7" s="1"/>
  <c r="C13" i="52" a="1"/>
  <c r="C13" i="52" s="1"/>
  <c r="D46" i="31" a="1"/>
  <c r="D46" i="31" s="1"/>
  <c r="D24" i="31" a="1"/>
  <c r="D24" i="31" s="1"/>
  <c r="C11" i="28" a="1"/>
  <c r="C11" i="28" s="1"/>
  <c r="D10" i="7" a="1"/>
  <c r="D10" i="7" s="1"/>
  <c r="L4" i="55" a="1"/>
  <c r="L4" i="55" s="1"/>
  <c r="L5" i="55" s="1" a="1"/>
  <c r="L5" i="55" s="1"/>
  <c r="C41" i="23"/>
  <c r="J24" i="7"/>
  <c r="O42" i="23" a="1"/>
  <c r="O42" i="23" s="1"/>
  <c r="P42" i="23" a="1"/>
  <c r="P42" i="23" s="1"/>
  <c r="D41" i="23"/>
  <c r="C44" i="5"/>
  <c r="F3" i="67" s="1"/>
  <c r="J110" i="61" l="1"/>
  <c r="J109" i="61"/>
  <c r="AD110" i="61"/>
  <c r="V110" i="61"/>
  <c r="AD109" i="61"/>
  <c r="V109" i="61"/>
  <c r="L22" i="7" a="1"/>
  <c r="L22" i="7" s="1"/>
  <c r="AV6" i="61"/>
  <c r="D53" i="61" a="1"/>
  <c r="D53" i="61" s="1"/>
  <c r="C44" i="61" a="1"/>
  <c r="C44" i="61" s="1"/>
  <c r="D38" i="61" a="1"/>
  <c r="D38" i="61" s="1"/>
  <c r="C32" i="61" a="1"/>
  <c r="C32" i="61" s="1"/>
  <c r="D26" i="61" a="1"/>
  <c r="D26" i="61" s="1"/>
  <c r="D24" i="61" a="1"/>
  <c r="D24" i="61" s="1"/>
  <c r="D22" i="61" a="1"/>
  <c r="D22" i="61" s="1"/>
  <c r="D20" i="61" a="1"/>
  <c r="D20" i="61" s="1"/>
  <c r="C53" i="61" a="1"/>
  <c r="C53" i="61" s="1"/>
  <c r="D43" i="61" a="1"/>
  <c r="D43" i="61" s="1"/>
  <c r="C38" i="61" a="1"/>
  <c r="C38" i="61" s="1"/>
  <c r="D31" i="61" a="1"/>
  <c r="D31" i="61" s="1"/>
  <c r="C26" i="61" a="1"/>
  <c r="C26" i="61" s="1"/>
  <c r="C24" i="61" a="1"/>
  <c r="C24" i="61" s="1"/>
  <c r="C22" i="61" a="1"/>
  <c r="C22" i="61" s="1"/>
  <c r="C20" i="61" a="1"/>
  <c r="C20"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C52" i="61" a="1"/>
  <c r="C52" i="61" s="1"/>
  <c r="C42" i="61" a="1"/>
  <c r="C42"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B10" i="15" a="1"/>
  <c r="B10" i="15" s="1"/>
  <c r="B8" i="15" a="1"/>
  <c r="B8" i="15" s="1"/>
  <c r="D20" i="3" a="1"/>
  <c r="D20" i="3" s="1"/>
  <c r="D15" i="3" a="1"/>
  <c r="D15" i="3" s="1"/>
  <c r="D9" i="3" a="1"/>
  <c r="D9" i="3" s="1"/>
  <c r="P24" i="3" s="1" a="1"/>
  <c r="P24" i="3" s="1"/>
  <c r="B9" i="15" a="1"/>
  <c r="B9" i="15" s="1"/>
  <c r="D12" i="3" a="1"/>
  <c r="D12" i="3" s="1"/>
  <c r="C9" i="15" a="1"/>
  <c r="C9" i="15" s="1"/>
  <c r="C7" i="15" a="1"/>
  <c r="C7" i="15" s="1"/>
  <c r="C19" i="3" a="1"/>
  <c r="C19" i="3" s="1"/>
  <c r="C13" i="3" a="1"/>
  <c r="C13" i="3" s="1"/>
  <c r="C8" i="3" a="1"/>
  <c r="C8" i="3" s="1"/>
  <c r="B7" i="15" a="1"/>
  <c r="B7" i="15"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6" i="31" a="1"/>
  <c r="F42" i="31" a="1"/>
  <c r="F38" i="31" a="1"/>
  <c r="F26" i="31" a="1"/>
  <c r="F34" i="31" a="1"/>
  <c r="F6" i="31" a="1"/>
  <c r="F19" i="31" a="1"/>
  <c r="F30" i="31" a="1"/>
  <c r="E6" i="15" a="1"/>
  <c r="CB19" i="61" l="1"/>
  <c r="BX19" i="61"/>
  <c r="CC25" i="61"/>
  <c r="BY25" i="61"/>
  <c r="CB20" i="61"/>
  <c r="BX20" i="61"/>
  <c r="CC20" i="61"/>
  <c r="BY20" i="61"/>
  <c r="CB21" i="61"/>
  <c r="BX21" i="61"/>
  <c r="CC19" i="61"/>
  <c r="BY19" i="61"/>
  <c r="CC27" i="61"/>
  <c r="BY27" i="61"/>
  <c r="BT22" i="61"/>
  <c r="CB22" i="61"/>
  <c r="BX22" i="61"/>
  <c r="CC22" i="61"/>
  <c r="BY22" i="61"/>
  <c r="CB25" i="61"/>
  <c r="BX25" i="61"/>
  <c r="CC21" i="61"/>
  <c r="BY21" i="61"/>
  <c r="BT24" i="61"/>
  <c r="CB24" i="61"/>
  <c r="BX24" i="61"/>
  <c r="CC24" i="61"/>
  <c r="BY24" i="61"/>
  <c r="D3" i="61"/>
  <c r="V3" i="61" s="1"/>
  <c r="C6" i="75" a="1"/>
  <c r="C6" i="75" s="1"/>
  <c r="CB27" i="61"/>
  <c r="BX27" i="61"/>
  <c r="CC23" i="61"/>
  <c r="CB23" i="61"/>
  <c r="BX23" i="61"/>
  <c r="BY23" i="61"/>
  <c r="BT26" i="61"/>
  <c r="CB26" i="61"/>
  <c r="BX26" i="61"/>
  <c r="CC26" i="61"/>
  <c r="BY26" i="61"/>
  <c r="BT20" i="61"/>
  <c r="BT19" i="61"/>
  <c r="BT21" i="61"/>
  <c r="BT27" i="61"/>
  <c r="BT25" i="61"/>
  <c r="BU25" i="61"/>
  <c r="BU20" i="61"/>
  <c r="BU19" i="61"/>
  <c r="BU27" i="61"/>
  <c r="BU22" i="61"/>
  <c r="BU21" i="61"/>
  <c r="BU24" i="61"/>
  <c r="BU23" i="61"/>
  <c r="BT23" i="61"/>
  <c r="BU26" i="61"/>
  <c r="D4" i="61"/>
  <c r="BB3" i="61"/>
  <c r="AH3" i="61"/>
  <c r="AT3" i="61"/>
  <c r="BF3" i="61"/>
  <c r="E9" i="15"/>
  <c r="E7" i="15"/>
  <c r="E8" i="15"/>
  <c r="E6" i="15"/>
  <c r="E10" i="15"/>
  <c r="F8" i="31"/>
  <c r="F10" i="31"/>
  <c r="F15" i="31"/>
  <c r="F9" i="31"/>
  <c r="F12" i="31"/>
  <c r="F14" i="31"/>
  <c r="F13" i="31"/>
  <c r="F16" i="31"/>
  <c r="F7" i="31"/>
  <c r="F17" i="31"/>
  <c r="F6" i="31"/>
  <c r="F11" i="31"/>
  <c r="F19" i="31"/>
  <c r="F20" i="31"/>
  <c r="F23" i="31"/>
  <c r="F24" i="31"/>
  <c r="F22" i="31"/>
  <c r="F21" i="31"/>
  <c r="F26" i="31"/>
  <c r="F27" i="31"/>
  <c r="F28" i="31"/>
  <c r="F32" i="31"/>
  <c r="F30" i="31"/>
  <c r="F31" i="31"/>
  <c r="F35" i="31"/>
  <c r="F36" i="31"/>
  <c r="F34" i="31"/>
  <c r="F44" i="31"/>
  <c r="F43" i="31"/>
  <c r="F42" i="31"/>
  <c r="F48" i="31"/>
  <c r="F47" i="31"/>
  <c r="F46" i="31"/>
  <c r="F39" i="31"/>
  <c r="F38" i="31"/>
  <c r="F40" i="31"/>
  <c r="BD25" i="61"/>
  <c r="AF25" i="61"/>
  <c r="AB25" i="61"/>
  <c r="T25" i="61"/>
  <c r="H25" i="61"/>
  <c r="AR25" i="61"/>
  <c r="X25" i="61"/>
  <c r="P25" i="61"/>
  <c r="BL25" i="61"/>
  <c r="BH25" i="61"/>
  <c r="AN25" i="61"/>
  <c r="AJ25" i="61"/>
  <c r="L25" i="61"/>
  <c r="BP25" i="61"/>
  <c r="AZ25" i="61"/>
  <c r="C47" i="61"/>
  <c r="BE21" i="61"/>
  <c r="AG21" i="61"/>
  <c r="AC21" i="61"/>
  <c r="U21" i="61"/>
  <c r="I21" i="61"/>
  <c r="AS21" i="61"/>
  <c r="BM21" i="61"/>
  <c r="Q21" i="61"/>
  <c r="BI21" i="61"/>
  <c r="Y21" i="61"/>
  <c r="AO21" i="61"/>
  <c r="M21" i="61"/>
  <c r="AK21" i="61"/>
  <c r="BQ21" i="61"/>
  <c r="BA21" i="61"/>
  <c r="C34" i="61"/>
  <c r="AR31" i="61"/>
  <c r="D58" i="61"/>
  <c r="AS54" i="61"/>
  <c r="BD24" i="61"/>
  <c r="AF24" i="61"/>
  <c r="AB24" i="61"/>
  <c r="T24" i="61"/>
  <c r="H24" i="61"/>
  <c r="AR24" i="61"/>
  <c r="AN24" i="61"/>
  <c r="P24" i="61"/>
  <c r="BL24" i="61"/>
  <c r="X24" i="61"/>
  <c r="BH24" i="61"/>
  <c r="L24" i="61"/>
  <c r="AJ24" i="61"/>
  <c r="AZ24" i="61"/>
  <c r="BP24" i="61"/>
  <c r="D49" i="61"/>
  <c r="AS43" i="61"/>
  <c r="BE24" i="61"/>
  <c r="AG24" i="61"/>
  <c r="AC24" i="61"/>
  <c r="U24" i="61"/>
  <c r="I24" i="61"/>
  <c r="AS24" i="61"/>
  <c r="BI24" i="61"/>
  <c r="AO24" i="61"/>
  <c r="Y24" i="61"/>
  <c r="BM24" i="61"/>
  <c r="Q24" i="61"/>
  <c r="M24" i="61"/>
  <c r="AK24" i="61"/>
  <c r="BQ24" i="61"/>
  <c r="BA24" i="61"/>
  <c r="C48" i="61"/>
  <c r="K80" i="67" a="1"/>
  <c r="K80" i="67" s="1"/>
  <c r="K81" i="67" s="1" a="1"/>
  <c r="K81" i="67" s="1"/>
  <c r="BD27" i="61"/>
  <c r="AF27" i="61"/>
  <c r="AB27" i="61"/>
  <c r="T27" i="61"/>
  <c r="H27" i="61"/>
  <c r="AR27" i="61"/>
  <c r="BL27" i="61"/>
  <c r="X27" i="61"/>
  <c r="P27" i="61"/>
  <c r="BH27" i="61"/>
  <c r="AN27" i="61"/>
  <c r="AJ27" i="61"/>
  <c r="L27" i="61"/>
  <c r="AZ27" i="61"/>
  <c r="BP27" i="61"/>
  <c r="C57" i="61"/>
  <c r="AR52" i="61"/>
  <c r="BE23" i="61"/>
  <c r="AG23" i="61"/>
  <c r="AC23" i="61"/>
  <c r="U23" i="61"/>
  <c r="I23" i="61"/>
  <c r="BD23" i="61"/>
  <c r="H23" i="61"/>
  <c r="AF23" i="61"/>
  <c r="AB23" i="61"/>
  <c r="T23" i="61"/>
  <c r="AR23" i="61"/>
  <c r="AN23" i="61"/>
  <c r="AS23" i="61"/>
  <c r="BL23" i="61"/>
  <c r="BH23" i="61"/>
  <c r="X23" i="61"/>
  <c r="P23" i="61"/>
  <c r="L23" i="61"/>
  <c r="BI23" i="61"/>
  <c r="AO23" i="61"/>
  <c r="AJ23" i="61"/>
  <c r="Y23" i="61"/>
  <c r="BM23" i="61"/>
  <c r="Q23" i="61"/>
  <c r="M23" i="61"/>
  <c r="AK23" i="61"/>
  <c r="BP23" i="61"/>
  <c r="AZ23" i="61"/>
  <c r="BQ23" i="61"/>
  <c r="BA23" i="61"/>
  <c r="AR37" i="61"/>
  <c r="AS37" i="61"/>
  <c r="BD26" i="61"/>
  <c r="AF26" i="61"/>
  <c r="AB26" i="61"/>
  <c r="T26" i="61"/>
  <c r="H26" i="61"/>
  <c r="AR26" i="61"/>
  <c r="P26" i="61"/>
  <c r="BL26" i="61"/>
  <c r="X26" i="61"/>
  <c r="BH26" i="61"/>
  <c r="AN26" i="61"/>
  <c r="L26" i="61"/>
  <c r="AJ26" i="61"/>
  <c r="BP26" i="61"/>
  <c r="AZ26" i="61"/>
  <c r="C59" i="61"/>
  <c r="AR53" i="61"/>
  <c r="BE26" i="61"/>
  <c r="AG26" i="61"/>
  <c r="AC26" i="61"/>
  <c r="U26" i="61"/>
  <c r="I26" i="61"/>
  <c r="AS26" i="61"/>
  <c r="AO26" i="61"/>
  <c r="Y26" i="61"/>
  <c r="BI26" i="61"/>
  <c r="BM26" i="61"/>
  <c r="Q26" i="61"/>
  <c r="AK26" i="61"/>
  <c r="M26" i="61"/>
  <c r="BA26" i="61"/>
  <c r="BQ26" i="61"/>
  <c r="D59" i="61"/>
  <c r="AS53" i="61"/>
  <c r="F54" i="31"/>
  <c r="F53" i="31"/>
  <c r="F52" i="31"/>
  <c r="F51" i="31"/>
  <c r="AR30" i="61"/>
  <c r="AS30" i="61"/>
  <c r="C58" i="61"/>
  <c r="AR54" i="61"/>
  <c r="BE25" i="61"/>
  <c r="AG25" i="61"/>
  <c r="AC25" i="61"/>
  <c r="U25" i="61"/>
  <c r="I25" i="61"/>
  <c r="AS25" i="61"/>
  <c r="AO25" i="61"/>
  <c r="Y25" i="61"/>
  <c r="BI25" i="61"/>
  <c r="BM25" i="61"/>
  <c r="Q25" i="61"/>
  <c r="AK25" i="61"/>
  <c r="M25" i="61"/>
  <c r="BA25" i="61"/>
  <c r="BQ25" i="61"/>
  <c r="C49" i="61"/>
  <c r="AR43" i="61"/>
  <c r="BD20" i="61"/>
  <c r="AF20" i="61"/>
  <c r="AB20" i="61"/>
  <c r="T20" i="61"/>
  <c r="H20" i="61"/>
  <c r="AR20" i="61"/>
  <c r="BL20" i="61"/>
  <c r="X20" i="61"/>
  <c r="P20" i="61"/>
  <c r="BH20" i="61"/>
  <c r="AN20" i="61"/>
  <c r="AJ20" i="61"/>
  <c r="L20" i="61"/>
  <c r="BP20" i="61"/>
  <c r="AZ20" i="61"/>
  <c r="D34" i="61"/>
  <c r="AS31" i="61"/>
  <c r="BE20" i="61"/>
  <c r="AG20" i="61"/>
  <c r="AC20" i="61"/>
  <c r="U20" i="61"/>
  <c r="I20" i="61"/>
  <c r="AS20" i="61"/>
  <c r="Y20" i="61"/>
  <c r="BM20" i="61"/>
  <c r="Q20" i="61"/>
  <c r="BI20" i="61"/>
  <c r="AO20" i="61"/>
  <c r="AK20" i="61"/>
  <c r="M20" i="61"/>
  <c r="BA20" i="61"/>
  <c r="BQ20" i="61"/>
  <c r="C33" i="61"/>
  <c r="AR32" i="61"/>
  <c r="AW6" i="61"/>
  <c r="AX6" i="61" s="1"/>
  <c r="AX78" i="61" s="1"/>
  <c r="AV13" i="61"/>
  <c r="AV24" i="61" s="1"/>
  <c r="BD19" i="61"/>
  <c r="AF19" i="61"/>
  <c r="AB19" i="61"/>
  <c r="T19" i="61"/>
  <c r="H19" i="61"/>
  <c r="AR19" i="61"/>
  <c r="BL19" i="61"/>
  <c r="X19" i="61"/>
  <c r="P19" i="61"/>
  <c r="AN19" i="61"/>
  <c r="BH19" i="61"/>
  <c r="AJ19" i="61"/>
  <c r="L19" i="61"/>
  <c r="AZ19" i="61"/>
  <c r="BP19" i="61"/>
  <c r="BD21" i="61"/>
  <c r="AF21" i="61"/>
  <c r="AB21" i="61"/>
  <c r="T21" i="61"/>
  <c r="H21" i="61"/>
  <c r="AR21" i="61"/>
  <c r="BH21" i="61"/>
  <c r="AN21" i="61"/>
  <c r="BL21" i="61"/>
  <c r="X21" i="61"/>
  <c r="P21" i="61"/>
  <c r="AJ21" i="61"/>
  <c r="L21" i="61"/>
  <c r="BP21" i="61"/>
  <c r="AZ21" i="61"/>
  <c r="D33" i="61"/>
  <c r="D42" i="61"/>
  <c r="AR42" i="61" s="1"/>
  <c r="AS32" i="61"/>
  <c r="BE19" i="61"/>
  <c r="AG19" i="61"/>
  <c r="AC19" i="61"/>
  <c r="U19" i="61"/>
  <c r="I19" i="61"/>
  <c r="AS19" i="61"/>
  <c r="Y19" i="61"/>
  <c r="Q19" i="61"/>
  <c r="BM19" i="61"/>
  <c r="BI19" i="61"/>
  <c r="AO19" i="61"/>
  <c r="AK19" i="61"/>
  <c r="M19" i="61"/>
  <c r="BA19" i="61"/>
  <c r="BQ19" i="61"/>
  <c r="BE27" i="61"/>
  <c r="AG27" i="61"/>
  <c r="AC27" i="61"/>
  <c r="U27" i="61"/>
  <c r="I27" i="61"/>
  <c r="AS27" i="61"/>
  <c r="Y27" i="61"/>
  <c r="BM27" i="61"/>
  <c r="Q27" i="61"/>
  <c r="BI27" i="61"/>
  <c r="AO27" i="61"/>
  <c r="AK27" i="61"/>
  <c r="M27" i="61"/>
  <c r="BA27" i="61"/>
  <c r="BQ27" i="61"/>
  <c r="D57" i="61"/>
  <c r="AS57" i="61" s="1"/>
  <c r="AS52" i="61"/>
  <c r="BD22" i="61"/>
  <c r="AF22" i="61"/>
  <c r="AB22" i="61"/>
  <c r="T22" i="61"/>
  <c r="H22" i="61"/>
  <c r="AR22" i="61"/>
  <c r="BH22" i="61"/>
  <c r="AN22" i="61"/>
  <c r="BL22" i="61"/>
  <c r="X22" i="61"/>
  <c r="P22" i="61"/>
  <c r="AJ22" i="61"/>
  <c r="L22" i="61"/>
  <c r="BP22" i="61"/>
  <c r="AZ22" i="61"/>
  <c r="C39" i="61"/>
  <c r="AR38" i="61"/>
  <c r="BE22" i="61"/>
  <c r="AG22" i="61"/>
  <c r="AC22" i="61"/>
  <c r="U22" i="61"/>
  <c r="I22" i="61"/>
  <c r="AS22" i="61"/>
  <c r="BM22" i="61"/>
  <c r="Q22" i="61"/>
  <c r="BI22" i="61"/>
  <c r="AO22" i="61"/>
  <c r="Y22" i="61"/>
  <c r="M22" i="61"/>
  <c r="AK22" i="61"/>
  <c r="BQ22" i="61"/>
  <c r="BA22" i="61"/>
  <c r="D39" i="61"/>
  <c r="AS38" i="61"/>
  <c r="E15" i="15"/>
  <c r="E14" i="15"/>
  <c r="E17" i="15"/>
  <c r="E16" i="15"/>
  <c r="L24" i="3" a="1"/>
  <c r="L24" i="3" s="1"/>
  <c r="N23" i="3" a="1"/>
  <c r="N23" i="3" s="1"/>
  <c r="J34" i="40"/>
  <c r="I46" i="40" s="1"/>
  <c r="E35" i="40"/>
  <c r="M24" i="3" a="1"/>
  <c r="M24" i="3" s="1"/>
  <c r="O23" i="3" a="1"/>
  <c r="O23" i="3" s="1"/>
  <c r="C6" i="30" a="1"/>
  <c r="C6" i="30" s="1"/>
  <c r="E3" i="51"/>
  <c r="F2" i="36"/>
  <c r="C22" i="28"/>
  <c r="C23" i="28"/>
  <c r="D23" i="28"/>
  <c r="D22" i="28"/>
  <c r="F3" i="23"/>
  <c r="D23" i="7"/>
  <c r="C22" i="7"/>
  <c r="C23" i="7"/>
  <c r="D22" i="7"/>
  <c r="AP18" i="61" a="1"/>
  <c r="E6" i="51" a="1"/>
  <c r="F30" i="23" a="1"/>
  <c r="F35" i="23" a="1"/>
  <c r="F40" i="23" a="1"/>
  <c r="V18" i="61" a="1"/>
  <c r="CD18" i="61" a="1"/>
  <c r="AT18" i="61" a="1"/>
  <c r="BF18" i="61" a="1"/>
  <c r="AD18" i="61" a="1"/>
  <c r="F25" i="23" a="1"/>
  <c r="BB18" i="61" a="1"/>
  <c r="AH18" i="61" a="1"/>
  <c r="AT52" i="61" a="1"/>
  <c r="Z18" i="61" a="1"/>
  <c r="N18" i="61" a="1"/>
  <c r="J18" i="61" a="1"/>
  <c r="F8" i="23" a="1"/>
  <c r="BZ18" i="61" a="1"/>
  <c r="BR18" i="61" a="1"/>
  <c r="BV18" i="61" a="1"/>
  <c r="BJ18" i="61" a="1"/>
  <c r="BN18" i="61" a="1"/>
  <c r="AL18" i="61" a="1"/>
  <c r="F5" i="36" a="1"/>
  <c r="R18" i="61" a="1"/>
  <c r="AD3" i="61" l="1"/>
  <c r="BR3" i="61"/>
  <c r="BZ64" i="61"/>
  <c r="BZ23" i="61"/>
  <c r="BZ22" i="61"/>
  <c r="BZ24" i="61"/>
  <c r="BZ19" i="61"/>
  <c r="BZ18" i="61"/>
  <c r="BZ20" i="61"/>
  <c r="BZ25" i="61"/>
  <c r="BZ21" i="61"/>
  <c r="BZ27" i="61"/>
  <c r="BZ26" i="61"/>
  <c r="CD20" i="61"/>
  <c r="CD19" i="61"/>
  <c r="CD21" i="61"/>
  <c r="CD25" i="61"/>
  <c r="CD26" i="61"/>
  <c r="CD27" i="61"/>
  <c r="CD22" i="61"/>
  <c r="CD24" i="61"/>
  <c r="CD23" i="61"/>
  <c r="CD18" i="61"/>
  <c r="BZ63" i="61"/>
  <c r="BZ65" i="61"/>
  <c r="BZ62" i="61"/>
  <c r="BV68" i="61"/>
  <c r="BV69" i="61" s="1"/>
  <c r="BZ3" i="61"/>
  <c r="C14" i="5" s="1"/>
  <c r="CD68" i="61"/>
  <c r="CD69" i="61" s="1"/>
  <c r="E31" i="15"/>
  <c r="BV24" i="61"/>
  <c r="BV19" i="61"/>
  <c r="BV18" i="61"/>
  <c r="BV25" i="61"/>
  <c r="BV21" i="61"/>
  <c r="BV26" i="61"/>
  <c r="BV20" i="61"/>
  <c r="BV27" i="61"/>
  <c r="BV23" i="61"/>
  <c r="BV22" i="61"/>
  <c r="AV19" i="61"/>
  <c r="AR58" i="61"/>
  <c r="AR49" i="61"/>
  <c r="AS34" i="61"/>
  <c r="J111" i="61"/>
  <c r="V111" i="61"/>
  <c r="AX101" i="61"/>
  <c r="AD111" i="61"/>
  <c r="AV22" i="61"/>
  <c r="AS33" i="61"/>
  <c r="AS39" i="61"/>
  <c r="AV20" i="61"/>
  <c r="AR59" i="61"/>
  <c r="AV21" i="61"/>
  <c r="E6" i="51"/>
  <c r="E8" i="51"/>
  <c r="E10" i="51"/>
  <c r="E9" i="51"/>
  <c r="E7" i="51"/>
  <c r="E11" i="51"/>
  <c r="BR24" i="61"/>
  <c r="BR25" i="61"/>
  <c r="BR22" i="61"/>
  <c r="BR19" i="61"/>
  <c r="BR18" i="61"/>
  <c r="BR23" i="61"/>
  <c r="BR21" i="61"/>
  <c r="BR27" i="61"/>
  <c r="BR20" i="61"/>
  <c r="BR26" i="61"/>
  <c r="AP26" i="61"/>
  <c r="AP20" i="61"/>
  <c r="AP18" i="61"/>
  <c r="AP24" i="61"/>
  <c r="AP19" i="61"/>
  <c r="AP23" i="61"/>
  <c r="AP25" i="61"/>
  <c r="AP27" i="61"/>
  <c r="AP22" i="61"/>
  <c r="AP21" i="61"/>
  <c r="BN22" i="61"/>
  <c r="BN18" i="61"/>
  <c r="BN19" i="61"/>
  <c r="BN24" i="61"/>
  <c r="BN23" i="61"/>
  <c r="BN26" i="61"/>
  <c r="BN20" i="61"/>
  <c r="BN25" i="61"/>
  <c r="BN21" i="61"/>
  <c r="BN27" i="61"/>
  <c r="J22" i="61"/>
  <c r="J20" i="61"/>
  <c r="J18" i="61"/>
  <c r="J23" i="61"/>
  <c r="J27" i="61"/>
  <c r="J25" i="61"/>
  <c r="J24" i="61"/>
  <c r="J21" i="61"/>
  <c r="J26" i="61"/>
  <c r="J19" i="61"/>
  <c r="BF22" i="61"/>
  <c r="BF23" i="61"/>
  <c r="BF19" i="61"/>
  <c r="BF27" i="61"/>
  <c r="BF25" i="61"/>
  <c r="BF26" i="61"/>
  <c r="BF18" i="61"/>
  <c r="BF20" i="61"/>
  <c r="BF21" i="61"/>
  <c r="BF24" i="61"/>
  <c r="BB18" i="61"/>
  <c r="BB22" i="61"/>
  <c r="BB24" i="61"/>
  <c r="BB21" i="61"/>
  <c r="BB27" i="61"/>
  <c r="BB20" i="61"/>
  <c r="BB25" i="61"/>
  <c r="BB19" i="61"/>
  <c r="BB26" i="61"/>
  <c r="BB23" i="61"/>
  <c r="V20" i="61"/>
  <c r="V18" i="61"/>
  <c r="V19" i="61"/>
  <c r="V27" i="61"/>
  <c r="V23" i="61"/>
  <c r="V24" i="61"/>
  <c r="V25" i="61"/>
  <c r="V21" i="61"/>
  <c r="V26" i="61"/>
  <c r="V22" i="61"/>
  <c r="N26" i="61"/>
  <c r="N23" i="61"/>
  <c r="N21" i="61"/>
  <c r="N18" i="61"/>
  <c r="N25" i="61"/>
  <c r="N27" i="61"/>
  <c r="N24" i="61"/>
  <c r="N19" i="61"/>
  <c r="N22" i="61"/>
  <c r="N20" i="61"/>
  <c r="BJ18" i="61"/>
  <c r="BJ20" i="61"/>
  <c r="BJ21" i="61"/>
  <c r="BJ24" i="61"/>
  <c r="BJ19" i="61"/>
  <c r="BJ23" i="61"/>
  <c r="BJ26" i="61"/>
  <c r="BJ27" i="61"/>
  <c r="BJ25" i="61"/>
  <c r="BJ22" i="61"/>
  <c r="Z23" i="61"/>
  <c r="Z25" i="61"/>
  <c r="Z27" i="61"/>
  <c r="Z26" i="61"/>
  <c r="Z22" i="61"/>
  <c r="Z21" i="61"/>
  <c r="Z20" i="61"/>
  <c r="Z18" i="61"/>
  <c r="Z24" i="61"/>
  <c r="Z19" i="61"/>
  <c r="AD26" i="61"/>
  <c r="AD18" i="61"/>
  <c r="AD23" i="61"/>
  <c r="AD21" i="61"/>
  <c r="AD25" i="61"/>
  <c r="AD22" i="61"/>
  <c r="AD20" i="61"/>
  <c r="AD19" i="61"/>
  <c r="AD24" i="61"/>
  <c r="AD27" i="61"/>
  <c r="F6" i="36"/>
  <c r="F5" i="36"/>
  <c r="F9" i="36"/>
  <c r="F8" i="36"/>
  <c r="F10" i="36"/>
  <c r="F7" i="36"/>
  <c r="AL19" i="61"/>
  <c r="AL27" i="61"/>
  <c r="AL25" i="61"/>
  <c r="AL26" i="61"/>
  <c r="AL18" i="61"/>
  <c r="AL20" i="61"/>
  <c r="AL24" i="61"/>
  <c r="AL22" i="61"/>
  <c r="AL23" i="61"/>
  <c r="AL21" i="61"/>
  <c r="R21" i="61"/>
  <c r="R20" i="61"/>
  <c r="R25" i="61"/>
  <c r="R24" i="61"/>
  <c r="R22" i="61"/>
  <c r="R23" i="61"/>
  <c r="R18" i="61"/>
  <c r="R27" i="61"/>
  <c r="R26" i="61"/>
  <c r="R19" i="61"/>
  <c r="AT23" i="61"/>
  <c r="AT21" i="61"/>
  <c r="AT18" i="61"/>
  <c r="AT22" i="61"/>
  <c r="AT24" i="61"/>
  <c r="AT19" i="61"/>
  <c r="AT25" i="61"/>
  <c r="AT20" i="61"/>
  <c r="AT26" i="61"/>
  <c r="AT27" i="61"/>
  <c r="AH23" i="61"/>
  <c r="AH24" i="61"/>
  <c r="AH27" i="61"/>
  <c r="AH26" i="61"/>
  <c r="AH18" i="61"/>
  <c r="AH20" i="61"/>
  <c r="AH21" i="61"/>
  <c r="AH19" i="61"/>
  <c r="AH25" i="61"/>
  <c r="AH22" i="61"/>
  <c r="AT53" i="61"/>
  <c r="AT52" i="61"/>
  <c r="AT54" i="61"/>
  <c r="E15" i="51"/>
  <c r="E14" i="51"/>
  <c r="E17" i="51"/>
  <c r="E16" i="51"/>
  <c r="AR39" i="61"/>
  <c r="AH63" i="61"/>
  <c r="AH65" i="61"/>
  <c r="AD62" i="61"/>
  <c r="AD64" i="61"/>
  <c r="AV26" i="61"/>
  <c r="AV23" i="61"/>
  <c r="AV27" i="61"/>
  <c r="AS58" i="61"/>
  <c r="BR63" i="61"/>
  <c r="BR65" i="61"/>
  <c r="J65" i="61"/>
  <c r="J63" i="61"/>
  <c r="BF65" i="61"/>
  <c r="BF63" i="61"/>
  <c r="AH64" i="61"/>
  <c r="AH62" i="61"/>
  <c r="AR57" i="61"/>
  <c r="AS49" i="61"/>
  <c r="F67" i="31" a="1"/>
  <c r="F67" i="31" s="1"/>
  <c r="F66" i="31" a="1"/>
  <c r="F66" i="31" s="1"/>
  <c r="BB63" i="61"/>
  <c r="BB65" i="61"/>
  <c r="V65" i="61"/>
  <c r="V63" i="61"/>
  <c r="BR64" i="61"/>
  <c r="BR62" i="61"/>
  <c r="J64" i="61"/>
  <c r="J62" i="61"/>
  <c r="BF64" i="61"/>
  <c r="BF62" i="61"/>
  <c r="AR33" i="61"/>
  <c r="AR34" i="61"/>
  <c r="AD63" i="61"/>
  <c r="AD65" i="61"/>
  <c r="D44" i="61"/>
  <c r="AS42" i="61"/>
  <c r="D47" i="61"/>
  <c r="AS47" i="61" s="1"/>
  <c r="BB62" i="61"/>
  <c r="BB64" i="61"/>
  <c r="V64" i="61"/>
  <c r="V62" i="61"/>
  <c r="AW13" i="61"/>
  <c r="AV18" i="61"/>
  <c r="AS59" i="61"/>
  <c r="AV25" i="61"/>
  <c r="F19" i="23"/>
  <c r="F14" i="23"/>
  <c r="F9" i="23"/>
  <c r="F15" i="23"/>
  <c r="F10" i="23"/>
  <c r="F16" i="23"/>
  <c r="F11" i="23"/>
  <c r="F17" i="23"/>
  <c r="F12" i="23"/>
  <c r="F18" i="23"/>
  <c r="F13" i="23"/>
  <c r="F8" i="23"/>
  <c r="F30" i="23"/>
  <c r="F32" i="23"/>
  <c r="F31" i="23"/>
  <c r="F36" i="23"/>
  <c r="F35" i="23"/>
  <c r="F37" i="23"/>
  <c r="F42" i="23"/>
  <c r="F41" i="23"/>
  <c r="F40" i="23"/>
  <c r="F25" i="23"/>
  <c r="F26" i="23"/>
  <c r="F27" i="23"/>
  <c r="F49" i="23"/>
  <c r="F47" i="23"/>
  <c r="F46" i="23"/>
  <c r="F48" i="23"/>
  <c r="F16" i="36"/>
  <c r="F15" i="36"/>
  <c r="F14" i="36"/>
  <c r="F13" i="36"/>
  <c r="C23" i="3"/>
  <c r="L34" i="40"/>
  <c r="J46" i="40"/>
  <c r="L46" i="40" s="1"/>
  <c r="J40" i="40"/>
  <c r="F35" i="40"/>
  <c r="L35" i="40" s="1"/>
  <c r="I40" i="40"/>
  <c r="D23" i="3"/>
  <c r="AT30" i="61" a="1"/>
  <c r="AT37" i="61" a="1"/>
  <c r="AT57" i="61" a="1"/>
  <c r="AF28" i="14" l="1"/>
  <c r="F48" i="75"/>
  <c r="BT24" i="25"/>
  <c r="V28" i="14"/>
  <c r="AD28" i="14"/>
  <c r="E44" i="72"/>
  <c r="F37" i="76"/>
  <c r="J28" i="14"/>
  <c r="BB24" i="25"/>
  <c r="F37" i="69"/>
  <c r="G28" i="39"/>
  <c r="F39" i="74"/>
  <c r="X25" i="8"/>
  <c r="CD73" i="61"/>
  <c r="CD82" i="61" a="1"/>
  <c r="CD82" i="61" s="1"/>
  <c r="BZ67" i="61"/>
  <c r="BZ68" i="61" s="1"/>
  <c r="BZ69" i="61" s="1"/>
  <c r="BZ73" i="61" s="1"/>
  <c r="BZ76" i="61" a="1"/>
  <c r="BZ76" i="61" s="1"/>
  <c r="AP24" i="25"/>
  <c r="BJ24" i="25"/>
  <c r="E35" i="64"/>
  <c r="AZ24" i="25"/>
  <c r="AL25" i="8"/>
  <c r="T24" i="25"/>
  <c r="AT24" i="25"/>
  <c r="AF25" i="8"/>
  <c r="E37" i="69"/>
  <c r="BF24" i="25"/>
  <c r="R28" i="14"/>
  <c r="AJ24" i="25"/>
  <c r="Z28" i="14"/>
  <c r="G40" i="71"/>
  <c r="BL24" i="25"/>
  <c r="X24" i="25"/>
  <c r="AD25" i="8"/>
  <c r="G51" i="35"/>
  <c r="G61" i="35"/>
  <c r="F46" i="65"/>
  <c r="BR24" i="25"/>
  <c r="AL24" i="25"/>
  <c r="P25" i="8"/>
  <c r="D28" i="14"/>
  <c r="L24" i="25"/>
  <c r="F25" i="8"/>
  <c r="C30" i="52"/>
  <c r="C26" i="53"/>
  <c r="J24" i="25"/>
  <c r="AH24" i="25"/>
  <c r="AB28" i="14"/>
  <c r="P18" i="50"/>
  <c r="AB25" i="8"/>
  <c r="R24" i="25"/>
  <c r="O23" i="48"/>
  <c r="V24" i="25"/>
  <c r="D24" i="25"/>
  <c r="AH25" i="8"/>
  <c r="F24" i="25"/>
  <c r="F52" i="33"/>
  <c r="AR24" i="25"/>
  <c r="L54" i="40"/>
  <c r="BH24" i="25"/>
  <c r="F28" i="39"/>
  <c r="O3" i="49"/>
  <c r="M54" i="40"/>
  <c r="AV24" i="25"/>
  <c r="N24" i="25"/>
  <c r="F45" i="66"/>
  <c r="J25" i="8"/>
  <c r="F53" i="26"/>
  <c r="H24" i="25"/>
  <c r="F20" i="17"/>
  <c r="I22" i="21"/>
  <c r="H57" i="22"/>
  <c r="N28" i="14"/>
  <c r="X28" i="14"/>
  <c r="L28" i="14"/>
  <c r="AN24" i="25"/>
  <c r="BP24" i="25"/>
  <c r="H28" i="14"/>
  <c r="F28" i="14"/>
  <c r="T28" i="14"/>
  <c r="P28" i="14"/>
  <c r="F62" i="34"/>
  <c r="P24" i="25"/>
  <c r="AB24" i="25"/>
  <c r="AX24" i="25"/>
  <c r="BD24" i="25"/>
  <c r="AD24" i="25"/>
  <c r="H50" i="18"/>
  <c r="BN24" i="25"/>
  <c r="AF24" i="25"/>
  <c r="Z24" i="25"/>
  <c r="F45" i="45"/>
  <c r="L25" i="8"/>
  <c r="N25" i="8"/>
  <c r="V25" i="8"/>
  <c r="AJ25" i="8"/>
  <c r="T25" i="8"/>
  <c r="Z25" i="8"/>
  <c r="D25" i="8"/>
  <c r="H25" i="8"/>
  <c r="S38" i="9"/>
  <c r="F42" i="62"/>
  <c r="E35" i="42"/>
  <c r="BV73" i="61"/>
  <c r="K84" i="67"/>
  <c r="H29" i="36" a="1"/>
  <c r="H29" i="36" s="1"/>
  <c r="BV82" i="61" a="1"/>
  <c r="BV82" i="61" s="1"/>
  <c r="R76" i="61" a="1"/>
  <c r="R76" i="61" s="1"/>
  <c r="AD76" i="61" a="1"/>
  <c r="AD76" i="61" s="1"/>
  <c r="AD99" i="61" s="1"/>
  <c r="V76" i="61" a="1"/>
  <c r="V76" i="61" s="1"/>
  <c r="V99" i="61" s="1"/>
  <c r="AL76" i="61" a="1"/>
  <c r="AL76" i="61" s="1"/>
  <c r="J76" i="61" a="1"/>
  <c r="J76" i="61" s="1"/>
  <c r="J99" i="61" s="1"/>
  <c r="BR76" i="61" a="1"/>
  <c r="BR76" i="61" s="1"/>
  <c r="F29" i="36" a="1"/>
  <c r="F29" i="36" s="1"/>
  <c r="AH76" i="61" a="1"/>
  <c r="AH76" i="61" s="1"/>
  <c r="BB76" i="61" a="1"/>
  <c r="BB76" i="61" s="1"/>
  <c r="BF76" i="61" a="1"/>
  <c r="BF76" i="61" s="1"/>
  <c r="V112" i="61"/>
  <c r="AD112" i="61"/>
  <c r="J112" i="61"/>
  <c r="AD96" i="61"/>
  <c r="AD95" i="61"/>
  <c r="J95" i="61"/>
  <c r="J96" i="61"/>
  <c r="V96" i="61"/>
  <c r="V95" i="61"/>
  <c r="E47" i="40"/>
  <c r="V67" i="61"/>
  <c r="V90" i="61" s="1"/>
  <c r="AR47" i="61"/>
  <c r="L40" i="40"/>
  <c r="AP67" i="61"/>
  <c r="BN67" i="61"/>
  <c r="AT38" i="61"/>
  <c r="AT39" i="61"/>
  <c r="AT37" i="61"/>
  <c r="AT58" i="61"/>
  <c r="AT59" i="61"/>
  <c r="AT57" i="61"/>
  <c r="AT33" i="61"/>
  <c r="AT31" i="61"/>
  <c r="AT32" i="61"/>
  <c r="AT30" i="61"/>
  <c r="AT34" i="61"/>
  <c r="BJ67" i="61"/>
  <c r="J67" i="61"/>
  <c r="J90" i="61" s="1"/>
  <c r="AH67" i="61"/>
  <c r="BN82" i="61" a="1"/>
  <c r="BN82" i="61" s="1"/>
  <c r="AP82" i="61" a="1"/>
  <c r="AP82" i="61" s="1"/>
  <c r="D48" i="61"/>
  <c r="AS44" i="61"/>
  <c r="AR44" i="61"/>
  <c r="Z67" i="61"/>
  <c r="N67" i="61"/>
  <c r="BB67" i="61"/>
  <c r="BF67" i="61"/>
  <c r="AL67" i="61"/>
  <c r="Z81" i="61" a="1"/>
  <c r="Z81" i="61" s="1"/>
  <c r="N82" i="61" a="1"/>
  <c r="N82" i="61" s="1"/>
  <c r="AX13" i="61"/>
  <c r="AW18" i="61"/>
  <c r="AW25" i="61"/>
  <c r="AW23" i="61"/>
  <c r="AW26" i="61"/>
  <c r="AW21" i="61"/>
  <c r="AW24" i="61"/>
  <c r="AW19" i="61"/>
  <c r="AW27" i="61"/>
  <c r="AW20" i="61"/>
  <c r="AW22" i="61"/>
  <c r="AD67" i="61"/>
  <c r="AD90" i="61" s="1"/>
  <c r="R67" i="61"/>
  <c r="BR67" i="61"/>
  <c r="BJ82" i="61" a="1"/>
  <c r="BJ82" i="61" s="1"/>
  <c r="E32" i="51"/>
  <c r="F63" i="23" a="1"/>
  <c r="F63" i="23" s="1"/>
  <c r="F64" i="23" a="1"/>
  <c r="F64" i="23" s="1"/>
  <c r="E41" i="40"/>
  <c r="F41" i="40"/>
  <c r="F47" i="40"/>
  <c r="F30" i="32"/>
  <c r="F31" i="32" s="1"/>
  <c r="F32" i="32" s="1" a="1"/>
  <c r="F32" i="32" s="1"/>
  <c r="F39" i="32" s="1"/>
  <c r="F57" i="31"/>
  <c r="F58" i="31" s="1"/>
  <c r="F59" i="31" s="1" a="1"/>
  <c r="F59" i="31" s="1"/>
  <c r="F65" i="31" s="1"/>
  <c r="J25" i="14" a="1"/>
  <c r="AB25" i="14" a="1"/>
  <c r="T22" i="25" a="1"/>
  <c r="AT42" i="61" a="1"/>
  <c r="BF22" i="25" a="1"/>
  <c r="E34" i="69" a="1"/>
  <c r="D48" i="75" a="1"/>
  <c r="F22" i="25" a="1"/>
  <c r="V22" i="25" a="1"/>
  <c r="X23" i="8" a="1"/>
  <c r="AR22" i="25" a="1"/>
  <c r="F23" i="8" a="1"/>
  <c r="BD22" i="25" a="1"/>
  <c r="BB22" i="25" a="1"/>
  <c r="C52" i="33" a="1"/>
  <c r="AH23" i="8" a="1"/>
  <c r="D25" i="14" a="1"/>
  <c r="D39" i="74" a="1"/>
  <c r="AH22" i="25" a="1"/>
  <c r="AN22" i="25" a="1"/>
  <c r="AZ22" i="25" a="1"/>
  <c r="C35" i="64" a="1"/>
  <c r="AF23" i="8" a="1"/>
  <c r="T23" i="8" a="1"/>
  <c r="BN22" i="25" a="1"/>
  <c r="Z22" i="25" a="1"/>
  <c r="BZ15" i="61" a="1"/>
  <c r="F3" i="21" a="1"/>
  <c r="AL22" i="25" a="1"/>
  <c r="H22" i="25" a="1"/>
  <c r="D65" i="31" a="1"/>
  <c r="AX18" i="61" a="1"/>
  <c r="AJ22" i="25" a="1"/>
  <c r="L25" i="14" a="1"/>
  <c r="Z23" i="8" a="1"/>
  <c r="E13" i="22" a="1"/>
  <c r="BV15" i="61" a="1"/>
  <c r="AB23" i="8" a="1"/>
  <c r="T25" i="14" a="1"/>
  <c r="C35" i="42" a="1"/>
  <c r="AD23" i="8" a="1"/>
  <c r="CD15" i="61" a="1"/>
  <c r="L23" i="8" a="1"/>
  <c r="J23" i="8" a="1"/>
  <c r="H25" i="14" a="1"/>
  <c r="BP22" i="25" a="1"/>
  <c r="L22" i="25" a="1"/>
  <c r="C39" i="32" a="1"/>
  <c r="R22" i="25" a="1"/>
  <c r="AP22" i="25" a="1"/>
  <c r="BJ22" i="25" a="1"/>
  <c r="AB22" i="25" a="1"/>
  <c r="AL23" i="8" a="1"/>
  <c r="AX22" i="25" a="1"/>
  <c r="C44" i="72" a="1"/>
  <c r="AD25" i="14" a="1"/>
  <c r="C62" i="34" a="1"/>
  <c r="BR22" i="25" a="1"/>
  <c r="D22" i="25" a="1"/>
  <c r="X25" i="14" a="1"/>
  <c r="R25" i="14" a="1"/>
  <c r="O20" i="48" a="1"/>
  <c r="AD22" i="25" a="1"/>
  <c r="S35" i="9" a="1"/>
  <c r="AV22" i="25" a="1"/>
  <c r="N25" i="14" a="1"/>
  <c r="N23" i="8" a="1"/>
  <c r="F25" i="14" a="1"/>
  <c r="N22" i="25" a="1"/>
  <c r="D23" i="8" a="1"/>
  <c r="H84" i="67" a="1"/>
  <c r="J22" i="25" a="1"/>
  <c r="X22" i="25" a="1"/>
  <c r="V25" i="14" a="1"/>
  <c r="P23" i="8" a="1"/>
  <c r="D42" i="62" a="1"/>
  <c r="D37" i="76" a="1"/>
  <c r="P22" i="25" a="1"/>
  <c r="P25" i="14" a="1"/>
  <c r="E40" i="71" a="1"/>
  <c r="AF22" i="25" a="1"/>
  <c r="Z25" i="14" a="1"/>
  <c r="BT22" i="25" a="1"/>
  <c r="AT22" i="25" a="1"/>
  <c r="D46" i="65" a="1"/>
  <c r="V23" i="8" a="1"/>
  <c r="AF25" i="14" a="1"/>
  <c r="AJ23" i="8" a="1"/>
  <c r="BL22" i="25" a="1"/>
  <c r="H23" i="8" a="1"/>
  <c r="F18" i="39" a="1"/>
  <c r="BH22" i="25" a="1"/>
  <c r="D39" i="74" l="1"/>
  <c r="J25" i="14"/>
  <c r="V25" i="14"/>
  <c r="D37" i="76"/>
  <c r="BT22" i="25"/>
  <c r="C44" i="72"/>
  <c r="D48" i="75"/>
  <c r="X23" i="8"/>
  <c r="BB22" i="25"/>
  <c r="AD25" i="14"/>
  <c r="AF25" i="14"/>
  <c r="F55" i="75"/>
  <c r="CD15" i="61"/>
  <c r="BZ15" i="61"/>
  <c r="S35" i="9"/>
  <c r="O3" i="9" s="1"/>
  <c r="F18" i="39"/>
  <c r="D46" i="65"/>
  <c r="AT22" i="25"/>
  <c r="C35" i="64"/>
  <c r="C35" i="42"/>
  <c r="F3" i="21"/>
  <c r="E40" i="71"/>
  <c r="H84" i="67"/>
  <c r="C52" i="33"/>
  <c r="AF23" i="8"/>
  <c r="E13" i="22"/>
  <c r="O20" i="48"/>
  <c r="D42" i="62"/>
  <c r="C62" i="34"/>
  <c r="Z25" i="14"/>
  <c r="E34" i="69"/>
  <c r="AP22" i="25"/>
  <c r="BV15" i="61"/>
  <c r="AB22" i="25"/>
  <c r="D22" i="25"/>
  <c r="AL23" i="8"/>
  <c r="BF22" i="25"/>
  <c r="AH23" i="8"/>
  <c r="AN22" i="25"/>
  <c r="Z23" i="8"/>
  <c r="AF22" i="25"/>
  <c r="AB23" i="8"/>
  <c r="AJ22" i="25"/>
  <c r="J23" i="8"/>
  <c r="AD22" i="25"/>
  <c r="F25" i="14"/>
  <c r="L22" i="25"/>
  <c r="AX22" i="25"/>
  <c r="R25" i="14"/>
  <c r="BL22" i="25"/>
  <c r="L25" i="14"/>
  <c r="BH22" i="25"/>
  <c r="AD23" i="8"/>
  <c r="F22" i="25"/>
  <c r="AZ22" i="25"/>
  <c r="AJ23" i="8"/>
  <c r="AR22" i="25"/>
  <c r="P23" i="8"/>
  <c r="AV22" i="25"/>
  <c r="F23" i="8"/>
  <c r="N22" i="25"/>
  <c r="R22" i="25"/>
  <c r="AH22" i="25"/>
  <c r="AB25" i="14"/>
  <c r="X22" i="25"/>
  <c r="H23" i="8"/>
  <c r="H25" i="14"/>
  <c r="T22" i="25"/>
  <c r="BP22" i="25"/>
  <c r="H22" i="25"/>
  <c r="N25" i="14"/>
  <c r="D25" i="14"/>
  <c r="N23" i="8"/>
  <c r="BD22" i="25"/>
  <c r="J22" i="25"/>
  <c r="T23" i="8"/>
  <c r="X25" i="14"/>
  <c r="V23" i="8"/>
  <c r="AL22" i="25"/>
  <c r="BJ22" i="25"/>
  <c r="P25" i="14"/>
  <c r="Z22" i="25"/>
  <c r="L23" i="8"/>
  <c r="V22" i="25"/>
  <c r="BN22" i="25"/>
  <c r="T25" i="14"/>
  <c r="P22" i="25"/>
  <c r="BR22" i="25"/>
  <c r="D23" i="8"/>
  <c r="BR68" i="61"/>
  <c r="BR69" i="61" s="1"/>
  <c r="BR73" i="61" s="1"/>
  <c r="BB68" i="61"/>
  <c r="BB69" i="61" s="1"/>
  <c r="BB73" i="61" s="1"/>
  <c r="J114" i="61"/>
  <c r="J66" i="61"/>
  <c r="J68" i="61"/>
  <c r="J69" i="61" s="1"/>
  <c r="J73" i="61" s="1"/>
  <c r="R68" i="61"/>
  <c r="R69" i="61" s="1"/>
  <c r="R73" i="61" s="1"/>
  <c r="N68" i="61"/>
  <c r="N69" i="61" s="1"/>
  <c r="N73" i="61" s="1"/>
  <c r="BJ68" i="61"/>
  <c r="BJ69" i="61" s="1"/>
  <c r="BJ73" i="61" s="1"/>
  <c r="BN68" i="61"/>
  <c r="BN69" i="61" s="1"/>
  <c r="BN73" i="61" s="1"/>
  <c r="V114" i="61"/>
  <c r="V68" i="61"/>
  <c r="V69" i="61" s="1"/>
  <c r="V73" i="61" s="1"/>
  <c r="AD91" i="61"/>
  <c r="AD94" i="61" s="1"/>
  <c r="AD68" i="61"/>
  <c r="AD69" i="61" s="1"/>
  <c r="AD73" i="61" s="1"/>
  <c r="AL68" i="61"/>
  <c r="AL69" i="61" s="1"/>
  <c r="AL73" i="61" s="1"/>
  <c r="Z68" i="61"/>
  <c r="Z69" i="61" s="1"/>
  <c r="Z73" i="61" s="1"/>
  <c r="AP68" i="61"/>
  <c r="AP69" i="61" s="1"/>
  <c r="AP73" i="61" s="1"/>
  <c r="BF68" i="61"/>
  <c r="BF69" i="61" s="1"/>
  <c r="BF73" i="61" s="1"/>
  <c r="AH68" i="61"/>
  <c r="AH69" i="61" s="1"/>
  <c r="AH73" i="61" s="1"/>
  <c r="AD114" i="61"/>
  <c r="L47" i="40"/>
  <c r="AX107" i="61"/>
  <c r="AX109" i="61"/>
  <c r="J91" i="61"/>
  <c r="J94" i="61" s="1"/>
  <c r="AX111" i="61"/>
  <c r="D65" i="31"/>
  <c r="AX18" i="61"/>
  <c r="AX20" i="61"/>
  <c r="AX22" i="61"/>
  <c r="AX24" i="61"/>
  <c r="AX21" i="61"/>
  <c r="AX23" i="61"/>
  <c r="AX26" i="61"/>
  <c r="AX27" i="61"/>
  <c r="AX25" i="61"/>
  <c r="AX19" i="61"/>
  <c r="AT44" i="61"/>
  <c r="AT42" i="61"/>
  <c r="AT43" i="61"/>
  <c r="AX63" i="61"/>
  <c r="AS48" i="61"/>
  <c r="AR48" i="61"/>
  <c r="AT64" i="61" s="1"/>
  <c r="C39" i="32"/>
  <c r="L41" i="40"/>
  <c r="E27" i="51" a="1"/>
  <c r="E27" i="51" s="1"/>
  <c r="E33" i="51" s="1"/>
  <c r="E20" i="51"/>
  <c r="E21" i="51" s="1"/>
  <c r="E22" i="51" s="1" a="1"/>
  <c r="E22" i="51" s="1"/>
  <c r="E31" i="51" s="1"/>
  <c r="F19" i="36"/>
  <c r="F20" i="36" s="1"/>
  <c r="F21" i="36" s="1" a="1"/>
  <c r="F21" i="36" s="1"/>
  <c r="F52" i="23"/>
  <c r="F53" i="23" s="1"/>
  <c r="F54" i="23" s="1" a="1"/>
  <c r="F54" i="23" s="1"/>
  <c r="F62" i="23" s="1"/>
  <c r="AX74" i="61" a="1"/>
  <c r="AD15" i="61" a="1"/>
  <c r="Z15" i="61" a="1"/>
  <c r="AL15" i="61" a="1"/>
  <c r="C62" i="23" a="1"/>
  <c r="AT47" i="61" a="1"/>
  <c r="C31" i="51" a="1"/>
  <c r="J15" i="61" a="1"/>
  <c r="V15" i="61" a="1"/>
  <c r="BB15" i="61" a="1"/>
  <c r="AX75" i="61" a="1"/>
  <c r="AH15" i="61" a="1"/>
  <c r="BF15" i="61" a="1"/>
  <c r="AP15" i="61" a="1"/>
  <c r="BJ15" i="61" a="1"/>
  <c r="N15" i="61" a="1"/>
  <c r="BR15" i="61" a="1"/>
  <c r="R15" i="61" a="1"/>
  <c r="BN15" i="61" a="1"/>
  <c r="M56" i="40" l="1" a="1"/>
  <c r="M56" i="40" s="1"/>
  <c r="F28" i="36"/>
  <c r="H28" i="36"/>
  <c r="L56" i="40" a="1"/>
  <c r="L56" i="40" s="1"/>
  <c r="V91" i="61"/>
  <c r="V94" i="61" s="1"/>
  <c r="AP15" i="61"/>
  <c r="BJ15" i="61"/>
  <c r="N15" i="61"/>
  <c r="Z15" i="61"/>
  <c r="AH15" i="61"/>
  <c r="AL15" i="61"/>
  <c r="R15" i="61"/>
  <c r="BB15" i="61"/>
  <c r="BF15" i="61"/>
  <c r="BN15" i="61"/>
  <c r="BR15" i="61"/>
  <c r="AX75" i="61"/>
  <c r="AX98" i="61" s="1"/>
  <c r="AX74" i="61"/>
  <c r="AX97" i="61" s="1"/>
  <c r="AX65" i="61"/>
  <c r="V15" i="61"/>
  <c r="J15" i="61"/>
  <c r="AD15" i="61"/>
  <c r="C31" i="51"/>
  <c r="AT47" i="61"/>
  <c r="AT48" i="61"/>
  <c r="AT49" i="61"/>
  <c r="AT63" i="61"/>
  <c r="AT62" i="61"/>
  <c r="AT65" i="61"/>
  <c r="AX82" i="61" a="1"/>
  <c r="AX82" i="61" s="1"/>
  <c r="AX105" i="61" s="1"/>
  <c r="L58" i="40" a="1"/>
  <c r="L58" i="40" s="1"/>
  <c r="C62" i="23"/>
  <c r="B28" i="36" a="1"/>
  <c r="L51" i="40" a="1"/>
  <c r="B28" i="36" l="1"/>
  <c r="AX67" i="61"/>
  <c r="AX90" i="61" s="1"/>
  <c r="AX112" i="61"/>
  <c r="AT80" i="61" a="1"/>
  <c r="AT80" i="61" s="1"/>
  <c r="AT82" i="61" a="1"/>
  <c r="AT82" i="61" s="1"/>
  <c r="AT67" i="61"/>
  <c r="L51" i="40"/>
  <c r="E20" i="15"/>
  <c r="E21" i="15" s="1"/>
  <c r="E22" i="15" s="1" a="1"/>
  <c r="E22" i="15" s="1"/>
  <c r="E30" i="15" s="1"/>
  <c r="AT68" i="61" l="1"/>
  <c r="AT69" i="61" s="1"/>
  <c r="AT73" i="61" s="1"/>
  <c r="AX91" i="61"/>
  <c r="AX94" i="61" s="1"/>
  <c r="AX68" i="61"/>
  <c r="AX69" i="61" s="1"/>
  <c r="AX73" i="61" s="1"/>
  <c r="AX15" i="61" a="1"/>
  <c r="AT15" i="61" a="1"/>
  <c r="E27" i="15" a="1"/>
  <c r="AT15" i="61" l="1"/>
  <c r="AX114" i="61"/>
  <c r="AX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33" i="43" s="1"/>
  <c r="F11" i="43" a="1"/>
  <c r="F25" i="43" a="1"/>
  <c r="F20" i="43" a="1"/>
  <c r="F34" i="43" l="1"/>
  <c r="F6" i="43"/>
  <c r="F32" i="43"/>
  <c r="F7" i="43"/>
  <c r="F31" i="43"/>
  <c r="F9" i="43"/>
  <c r="F8" i="43"/>
  <c r="F27" i="43"/>
  <c r="F26" i="43"/>
  <c r="F25" i="43"/>
  <c r="F2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33" i="55" l="1"/>
  <c r="K21" i="55"/>
  <c r="K19" i="55"/>
  <c r="K31" i="55"/>
  <c r="K23" i="55"/>
  <c r="D24" i="3"/>
  <c r="C5" i="35"/>
  <c r="C7" i="35" s="1"/>
  <c r="D24" i="7"/>
  <c r="D24" i="28"/>
  <c r="K29" i="55"/>
  <c r="K17" i="55"/>
  <c r="L29" i="55"/>
  <c r="L17" i="55"/>
  <c r="H26" i="7"/>
  <c r="L26" i="7" s="1" a="1"/>
  <c r="L26" i="7" s="1"/>
  <c r="L31" i="55"/>
  <c r="L33" i="55"/>
  <c r="L35" i="55"/>
  <c r="L23" i="55"/>
  <c r="L21" i="55"/>
  <c r="L19" i="55"/>
  <c r="D24" i="29"/>
  <c r="D24" i="54"/>
  <c r="B16" i="38"/>
  <c r="B17" i="38" s="1"/>
  <c r="C15" i="38"/>
  <c r="H26" i="29" a="1"/>
  <c r="H26" i="29" s="1"/>
  <c r="H27" i="29" s="1" a="1"/>
  <c r="H27" i="29" s="1"/>
  <c r="H26" i="28" a="1"/>
  <c r="H26" i="28" s="1"/>
  <c r="I26" i="28" s="1" a="1"/>
  <c r="I26" i="28" s="1"/>
  <c r="H26" i="54" a="1"/>
  <c r="H26" i="54" s="1"/>
  <c r="I26" i="54" s="1" a="1"/>
  <c r="I26" i="54" s="1"/>
  <c r="C24" i="29"/>
  <c r="K35" i="55"/>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D15" i="38"/>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G6" i="35" l="1"/>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C16" i="38"/>
  <c r="C17" i="38"/>
  <c r="D17" i="38"/>
  <c r="D16" i="38"/>
  <c r="K20" i="55"/>
  <c r="K36" i="55"/>
  <c r="K26" i="7" a="1"/>
  <c r="K26" i="7" s="1"/>
  <c r="L20" i="55"/>
  <c r="L32" i="55"/>
  <c r="K24" i="55"/>
  <c r="H27" i="7"/>
  <c r="K34" i="55"/>
  <c r="I26" i="7"/>
  <c r="L36" i="55"/>
  <c r="F28" i="30" a="1"/>
  <c r="F20" i="44" a="1"/>
  <c r="F15" i="30" a="1"/>
  <c r="F6" i="44" a="1"/>
  <c r="J26" i="3" l="1"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39" i="30"/>
  <c r="F34" i="30"/>
  <c r="F29" i="30"/>
  <c r="F35" i="30"/>
  <c r="F30" i="30"/>
  <c r="F36" i="30"/>
  <c r="F31" i="30"/>
  <c r="F37" i="30"/>
  <c r="F32" i="30"/>
  <c r="F38" i="30"/>
  <c r="F33" i="30"/>
  <c r="F28" i="30"/>
  <c r="F42" i="30"/>
  <c r="F43" i="30"/>
  <c r="F44" i="30"/>
  <c r="F45" i="30"/>
  <c r="F3" i="38"/>
  <c r="C25" i="29"/>
  <c r="K27" i="54" a="1"/>
  <c r="K27" i="54" s="1"/>
  <c r="J27" i="54" a="1"/>
  <c r="J27" i="54" s="1"/>
  <c r="O27" i="54" s="1" a="1"/>
  <c r="O27" i="54" s="1"/>
  <c r="M27" i="54" a="1"/>
  <c r="M27" i="54" s="1"/>
  <c r="L27" i="54" a="1"/>
  <c r="L27" i="54" s="1"/>
  <c r="H28" i="54" a="1"/>
  <c r="H28" i="54" s="1"/>
  <c r="L28" i="54" s="1" a="1"/>
  <c r="L28" i="54" s="1"/>
  <c r="D25" i="28"/>
  <c r="O26" i="3" a="1"/>
  <c r="O26" i="3" s="1"/>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H29" i="29" a="1"/>
  <c r="H29" i="29" s="1"/>
  <c r="K28" i="29" a="1"/>
  <c r="K28" i="29" s="1"/>
  <c r="L28" i="29" a="1"/>
  <c r="L28" i="29" s="1"/>
  <c r="I28" i="29" a="1"/>
  <c r="I28" i="29" s="1"/>
  <c r="C17" i="55"/>
  <c r="P26" i="54" a="1"/>
  <c r="P26" i="54" s="1"/>
  <c r="O26" i="54" a="1"/>
  <c r="O26" i="54" s="1"/>
  <c r="P25" i="3" a="1"/>
  <c r="P25" i="3" s="1"/>
  <c r="O25" i="3" a="1"/>
  <c r="O25" i="3" s="1"/>
  <c r="C20" i="55"/>
  <c r="I27" i="7"/>
  <c r="L27" i="7" a="1"/>
  <c r="L27" i="7" s="1"/>
  <c r="H28" i="7"/>
  <c r="K27" i="7" a="1"/>
  <c r="K27" i="7" s="1"/>
  <c r="C15" i="57"/>
  <c r="D15" i="57" s="1"/>
  <c r="O11" i="55"/>
  <c r="O9" i="55"/>
  <c r="L28" i="3" a="1"/>
  <c r="L28" i="3" s="1"/>
  <c r="H29" i="3" a="1"/>
  <c r="H29" i="3" s="1"/>
  <c r="K28" i="3" a="1"/>
  <c r="K28" i="3" s="1"/>
  <c r="I28" i="3" a="1"/>
  <c r="I28" i="3" s="1"/>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F6" i="38" a="1"/>
  <c r="E9" i="35" a="1"/>
  <c r="C26" i="3" l="1"/>
  <c r="F13" i="38"/>
  <c r="F14" i="38"/>
  <c r="F8" i="38"/>
  <c r="F17" i="38"/>
  <c r="F7" i="38"/>
  <c r="F12" i="38"/>
  <c r="F15" i="38"/>
  <c r="F6" i="38"/>
  <c r="F10" i="38"/>
  <c r="F11" i="38"/>
  <c r="F16" i="38"/>
  <c r="F9" i="38"/>
  <c r="F20" i="38"/>
  <c r="F23" i="38"/>
  <c r="F22" i="38"/>
  <c r="F21" i="38"/>
  <c r="F58" i="30" a="1"/>
  <c r="F58" i="30" s="1"/>
  <c r="F50" i="44" a="1"/>
  <c r="F50" i="44" s="1"/>
  <c r="F49" i="44" a="1"/>
  <c r="F49" i="44" s="1"/>
  <c r="E9" i="35"/>
  <c r="K28" i="54" a="1"/>
  <c r="K28" i="54" s="1"/>
  <c r="P27" i="54" a="1"/>
  <c r="P27" i="54" s="1"/>
  <c r="C27" i="54" s="1"/>
  <c r="C26" i="28"/>
  <c r="D26" i="3"/>
  <c r="D25" i="54"/>
  <c r="C25" i="54"/>
  <c r="D26" i="54"/>
  <c r="C25" i="3"/>
  <c r="D26" i="28"/>
  <c r="D25" i="3"/>
  <c r="C26" i="54"/>
  <c r="I28" i="54" a="1"/>
  <c r="I28" i="54" s="1"/>
  <c r="M28" i="54" s="1" a="1"/>
  <c r="M28" i="54" s="1"/>
  <c r="H29" i="54" a="1"/>
  <c r="H29" i="54" s="1"/>
  <c r="L29" i="54" s="1" a="1"/>
  <c r="L29" i="54" s="1"/>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L28" i="7" a="1"/>
  <c r="L28" i="7" s="1"/>
  <c r="K28" i="7" a="1"/>
  <c r="K28" i="7" s="1"/>
  <c r="H29" i="7"/>
  <c r="I28" i="7"/>
  <c r="M28" i="29" a="1"/>
  <c r="M28" i="29" s="1"/>
  <c r="N28" i="29" a="1"/>
  <c r="N28" i="29" s="1"/>
  <c r="J28" i="29" a="1"/>
  <c r="J28" i="29" s="1"/>
  <c r="I19" i="57"/>
  <c r="H20" i="57" s="1"/>
  <c r="K29" i="3" a="1"/>
  <c r="K29" i="3" s="1"/>
  <c r="H30" i="3" a="1"/>
  <c r="H30" i="3" s="1"/>
  <c r="I29" i="3" a="1"/>
  <c r="I29" i="3" s="1"/>
  <c r="L29" i="3" a="1"/>
  <c r="L29" i="3" s="1"/>
  <c r="N27" i="7" a="1"/>
  <c r="N27" i="7" s="1"/>
  <c r="M27" i="7" a="1"/>
  <c r="M27" i="7" s="1"/>
  <c r="J27" i="7"/>
  <c r="I28" i="28" a="1"/>
  <c r="I28" i="28" s="1"/>
  <c r="L28" i="28" a="1"/>
  <c r="L28" i="28" s="1"/>
  <c r="K28" i="28" a="1"/>
  <c r="K28" i="28" s="1"/>
  <c r="H29" i="28" a="1"/>
  <c r="H29" i="28" s="1"/>
  <c r="O27" i="29" a="1"/>
  <c r="O27" i="29" s="1"/>
  <c r="P27" i="29" a="1"/>
  <c r="P27" i="29" s="1"/>
  <c r="M28" i="3" a="1"/>
  <c r="M28" i="3" s="1"/>
  <c r="N28" i="3" a="1"/>
  <c r="N28" i="3" s="1"/>
  <c r="J28" i="3" a="1"/>
  <c r="J28" i="3" s="1"/>
  <c r="E15" i="57" a="1"/>
  <c r="E15" i="57" s="1"/>
  <c r="F15" i="57"/>
  <c r="L29" i="29" a="1"/>
  <c r="L29" i="29" s="1"/>
  <c r="K29" i="29" a="1"/>
  <c r="K29" i="29" s="1"/>
  <c r="I29" i="29" a="1"/>
  <c r="I29" i="29" s="1"/>
  <c r="H30" i="29" a="1"/>
  <c r="H30" i="29" s="1"/>
  <c r="N27" i="28" a="1"/>
  <c r="N27" i="28" s="1"/>
  <c r="M27" i="28" a="1"/>
  <c r="M27" i="28" s="1"/>
  <c r="J27" i="28" a="1"/>
  <c r="J27" i="28" s="1"/>
  <c r="C28" i="55" a="1"/>
  <c r="F37" i="38" l="1"/>
  <c r="D27" i="54"/>
  <c r="O27" i="3" a="1"/>
  <c r="O27" i="3" s="1"/>
  <c r="D27" i="3" s="1"/>
  <c r="C28" i="55"/>
  <c r="C26" i="29"/>
  <c r="N28" i="54" a="1"/>
  <c r="N28" i="54" s="1"/>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J28" i="54" a="1"/>
  <c r="J28" i="54" s="1"/>
  <c r="O28" i="54" s="1" a="1"/>
  <c r="O28" i="54" s="1"/>
  <c r="I9" i="41"/>
  <c r="B16" i="57"/>
  <c r="A16" i="57"/>
  <c r="P28" i="3" a="1"/>
  <c r="P28" i="3" s="1"/>
  <c r="O28" i="3" a="1"/>
  <c r="O28" i="3" s="1"/>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M28" i="7" a="1"/>
  <c r="M28" i="7" s="1"/>
  <c r="N28" i="7" a="1"/>
  <c r="N28" i="7" s="1"/>
  <c r="J28" i="7"/>
  <c r="M28" i="28" a="1"/>
  <c r="M28" i="28" s="1"/>
  <c r="J28" i="28" a="1"/>
  <c r="J28" i="28" s="1"/>
  <c r="N28" i="28" a="1"/>
  <c r="N28" i="28" s="1"/>
  <c r="P27" i="7" a="1"/>
  <c r="P27" i="7" s="1"/>
  <c r="O27" i="7" a="1"/>
  <c r="O27" i="7" s="1"/>
  <c r="O28" i="29" a="1"/>
  <c r="O28" i="29" s="1"/>
  <c r="P28" i="29" a="1"/>
  <c r="P28" i="29" s="1"/>
  <c r="I29" i="7"/>
  <c r="H30" i="7"/>
  <c r="L29" i="7" a="1"/>
  <c r="L29" i="7" s="1"/>
  <c r="K29" i="7" a="1"/>
  <c r="K29" i="7" s="1"/>
  <c r="K37" i="41" a="1"/>
  <c r="D48" i="44" a="1"/>
  <c r="K37" i="41" l="1"/>
  <c r="I11" i="41" a="1"/>
  <c r="I11" i="41" s="1"/>
  <c r="I14" i="41" s="1"/>
  <c r="C27" i="3"/>
  <c r="D48" i="44"/>
  <c r="P28" i="54" a="1"/>
  <c r="P28" i="54" s="1"/>
  <c r="D28" i="54" s="1"/>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O28" i="7" a="1"/>
  <c r="O28" i="7" s="1"/>
  <c r="P28" i="7" a="1"/>
  <c r="P28" i="7" s="1"/>
  <c r="P29" i="29" a="1"/>
  <c r="P29" i="29" s="1"/>
  <c r="O29" i="29" a="1"/>
  <c r="O29" i="29" s="1"/>
  <c r="L30" i="7" a="1"/>
  <c r="L30" i="7" s="1"/>
  <c r="I30" i="7"/>
  <c r="K30" i="7" a="1"/>
  <c r="K30" i="7" s="1"/>
  <c r="H31" i="7"/>
  <c r="J29" i="7"/>
  <c r="M29" i="7" a="1"/>
  <c r="M29" i="7" s="1"/>
  <c r="N29" i="7" a="1"/>
  <c r="N29" i="7" s="1"/>
  <c r="O28" i="28" a="1"/>
  <c r="O28" i="28" s="1"/>
  <c r="P28" i="28" a="1"/>
  <c r="P28" i="28" s="1"/>
  <c r="M30" i="3" a="1"/>
  <c r="M30" i="3" s="1"/>
  <c r="N30" i="3" a="1"/>
  <c r="N30" i="3" s="1"/>
  <c r="J30" i="3" a="1"/>
  <c r="J30" i="3" s="1"/>
  <c r="M29" i="28" a="1"/>
  <c r="M29" i="28" s="1"/>
  <c r="N29" i="28" a="1"/>
  <c r="N29" i="28" s="1"/>
  <c r="J29" i="28" a="1"/>
  <c r="J29" i="28" s="1"/>
  <c r="C16" i="57"/>
  <c r="D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F16" i="57"/>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F17" i="57"/>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6" i="29" a="1"/>
  <c r="F22" i="29" a="1"/>
  <c r="F6" i="29" l="1"/>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F18" i="57"/>
  <c r="E18" i="57" a="1"/>
  <c r="E18" i="57" s="1"/>
  <c r="I38" i="3" a="1"/>
  <c r="I38" i="3" s="1"/>
  <c r="K38" i="3" a="1"/>
  <c r="K38" i="3" s="1"/>
  <c r="L38" i="3" a="1"/>
  <c r="L38" i="3" s="1"/>
  <c r="O36" i="3" a="1"/>
  <c r="O36" i="3" s="1"/>
  <c r="P36" i="3" a="1"/>
  <c r="P36" i="3" s="1"/>
  <c r="I28" i="57"/>
  <c r="H29" i="57" s="1"/>
  <c r="M37" i="3" a="1"/>
  <c r="M37" i="3" s="1"/>
  <c r="J37" i="3" a="1"/>
  <c r="J37" i="3" s="1"/>
  <c r="N37" i="3" a="1"/>
  <c r="N37" i="3" s="1"/>
  <c r="F6" i="28" a="1"/>
  <c r="F22" i="28" a="1"/>
  <c r="F22" i="7" a="1"/>
  <c r="F6" i="7" a="1"/>
  <c r="F6" i="7" l="1"/>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52" i="28" a="1"/>
  <c r="F52" i="28" s="1"/>
  <c r="F39" i="28"/>
  <c r="F36" i="28"/>
  <c r="F37" i="28"/>
  <c r="C36" i="3"/>
  <c r="D36" i="3"/>
  <c r="A19" i="57"/>
  <c r="B19" i="57"/>
  <c r="I29" i="57"/>
  <c r="H30" i="57" s="1"/>
  <c r="M38" i="3" a="1"/>
  <c r="M38" i="3" s="1"/>
  <c r="J38" i="3" a="1"/>
  <c r="J38" i="3" s="1"/>
  <c r="N38" i="3" a="1"/>
  <c r="N38" i="3" s="1"/>
  <c r="P37" i="3" a="1"/>
  <c r="P37" i="3" s="1"/>
  <c r="O37" i="3" a="1"/>
  <c r="O37" i="3" s="1"/>
  <c r="F53" i="7" l="1" a="1"/>
  <c r="F53" i="7" s="1"/>
  <c r="F52" i="7" a="1"/>
  <c r="F52" i="7" s="1"/>
  <c r="F51" i="28" a="1"/>
  <c r="F51" i="28" s="1"/>
  <c r="F42" i="29"/>
  <c r="F43" i="29" s="1"/>
  <c r="F44" i="29" s="1" a="1"/>
  <c r="F44" i="29" s="1"/>
  <c r="F50" i="29" s="1"/>
  <c r="D37" i="3"/>
  <c r="C37" i="3"/>
  <c r="I30" i="57"/>
  <c r="H31" i="57" s="1"/>
  <c r="O38" i="3" a="1"/>
  <c r="O38" i="3" s="1"/>
  <c r="P38" i="3" a="1"/>
  <c r="P38" i="3" s="1"/>
  <c r="C19" i="57"/>
  <c r="D19" i="57" s="1"/>
  <c r="C50" i="29" a="1"/>
  <c r="C50" i="29" l="1"/>
  <c r="F42" i="28"/>
  <c r="F43" i="28" s="1"/>
  <c r="F44" i="28" s="1" a="1"/>
  <c r="F44" i="28" s="1"/>
  <c r="F50" i="28" s="1"/>
  <c r="D38" i="3"/>
  <c r="F42" i="7"/>
  <c r="F43" i="7" s="1"/>
  <c r="F44" i="7" s="1" a="1"/>
  <c r="F44" i="7" s="1"/>
  <c r="F51" i="7" s="1"/>
  <c r="G51" i="7" s="1" a="1"/>
  <c r="G51" i="7" s="1"/>
  <c r="C38" i="3"/>
  <c r="I31" i="57"/>
  <c r="H32" i="57" s="1"/>
  <c r="F19" i="57"/>
  <c r="E19" i="57" a="1"/>
  <c r="E19" i="57" s="1"/>
  <c r="C50" i="28" a="1"/>
  <c r="D51" i="7" a="1"/>
  <c r="C50" i="28" l="1"/>
  <c r="D51" i="7"/>
  <c r="F3" i="3"/>
  <c r="I32" i="57"/>
  <c r="H33" i="57" s="1"/>
  <c r="B20" i="57"/>
  <c r="A20" i="57"/>
  <c r="F6" i="3" a="1"/>
  <c r="F23" i="3" a="1"/>
  <c r="F6" i="3" l="1"/>
  <c r="F7" i="3"/>
  <c r="F8" i="3"/>
  <c r="F9" i="3"/>
  <c r="F10" i="3"/>
  <c r="F11" i="3"/>
  <c r="F12" i="3"/>
  <c r="F13" i="3"/>
  <c r="F14" i="3"/>
  <c r="F15" i="3"/>
  <c r="F16" i="3"/>
  <c r="F17" i="3"/>
  <c r="F18" i="3"/>
  <c r="F19" i="3"/>
  <c r="F20" i="3"/>
  <c r="F21" i="3"/>
  <c r="F38" i="3"/>
  <c r="F33" i="3"/>
  <c r="F32" i="3"/>
  <c r="F31" i="3"/>
  <c r="F34" i="3"/>
  <c r="F29" i="3"/>
  <c r="F28" i="3"/>
  <c r="F27" i="3"/>
  <c r="F30" i="3"/>
  <c r="F25" i="3"/>
  <c r="F24" i="3"/>
  <c r="F23" i="3"/>
  <c r="F37" i="3"/>
  <c r="F36" i="3"/>
  <c r="F35" i="3"/>
  <c r="F26"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E21" i="57" s="1" a="1"/>
  <c r="E21" i="57" s="1"/>
  <c r="I35" i="57"/>
  <c r="H36" i="57" s="1"/>
  <c r="K53" i="3" l="1"/>
  <c r="F21" i="57"/>
  <c r="B22" i="57" s="1"/>
  <c r="I36" i="57"/>
  <c r="H37" i="57" s="1"/>
  <c r="P53" i="3" l="1"/>
  <c r="L53" i="3"/>
  <c r="O53" i="3"/>
  <c r="N53" i="3"/>
  <c r="M53" i="3"/>
  <c r="A22" i="57"/>
  <c r="C22" i="57" s="1"/>
  <c r="D22" i="57" s="1"/>
  <c r="I37" i="57"/>
  <c r="H38" i="57" s="1"/>
  <c r="E22" i="57" l="1" a="1"/>
  <c r="E22" i="57" s="1"/>
  <c r="F22" i="57"/>
  <c r="A23" i="57" s="1"/>
  <c r="I38" i="57"/>
  <c r="H39" i="57" s="1"/>
  <c r="B23" i="57" l="1"/>
  <c r="C23" i="57" s="1"/>
  <c r="D23" i="57" s="1"/>
  <c r="I39" i="57"/>
  <c r="H40" i="57" s="1"/>
  <c r="I40" i="57" l="1"/>
  <c r="H41" i="57" s="1"/>
  <c r="F23" i="57"/>
  <c r="E23" i="57" a="1"/>
  <c r="E23" i="57" s="1"/>
  <c r="I41" i="57" l="1"/>
  <c r="H42" i="57" s="1"/>
  <c r="B24" i="57"/>
  <c r="A24" i="57"/>
  <c r="C24" i="57" l="1"/>
  <c r="D24" i="57" s="1"/>
  <c r="F24" i="57" s="1"/>
  <c r="I42" i="57"/>
  <c r="H43" i="57" s="1"/>
  <c r="E24" i="57" l="1" a="1"/>
  <c r="E24" i="57" s="1"/>
  <c r="I43" i="57"/>
  <c r="H44" i="57" s="1"/>
  <c r="A25" i="57"/>
  <c r="B25" i="57"/>
  <c r="C25" i="57" l="1"/>
  <c r="D25" i="57" s="1"/>
  <c r="E25" i="57" s="1" a="1"/>
  <c r="E25" i="57" s="1"/>
  <c r="I44" i="57"/>
  <c r="H45" i="57" s="1"/>
  <c r="F25" i="57" l="1"/>
  <c r="A26" i="57" s="1"/>
  <c r="I45" i="57"/>
  <c r="H46" i="57" s="1"/>
  <c r="B26" i="57" l="1"/>
  <c r="C26" i="57" s="1"/>
  <c r="D26" i="57" s="1"/>
  <c r="E26" i="57" s="1" a="1"/>
  <c r="E26" i="57" s="1"/>
  <c r="I46" i="57"/>
  <c r="H47" i="57" s="1"/>
  <c r="F26" i="57" l="1"/>
  <c r="B27" i="57" s="1"/>
  <c r="I47" i="57"/>
  <c r="H48" i="57" s="1"/>
  <c r="I48" i="57" s="1"/>
  <c r="A27" i="57" l="1"/>
  <c r="C27" i="57" s="1"/>
  <c r="D27" i="57" s="1"/>
  <c r="F27" i="57" s="1"/>
  <c r="E27" i="57" l="1" a="1"/>
  <c r="E27" i="57" s="1"/>
  <c r="A28" i="57"/>
  <c r="B28" i="57"/>
  <c r="C28" i="57" l="1"/>
  <c r="D28" i="57" s="1"/>
  <c r="F28" i="57" l="1"/>
  <c r="E28" i="57" a="1"/>
  <c r="E28" i="57" s="1"/>
  <c r="B29" i="57" l="1"/>
  <c r="A29" i="57"/>
  <c r="C29" i="57" l="1"/>
  <c r="D29" i="57" s="1"/>
  <c r="F29" i="57" s="1"/>
  <c r="E29" i="57" l="1" a="1"/>
  <c r="E29" i="57" s="1"/>
  <c r="B30" i="57"/>
  <c r="A30" i="57"/>
  <c r="C30" i="57" l="1"/>
  <c r="D30" i="57" s="1"/>
  <c r="F30" i="57" s="1"/>
  <c r="E30" i="57" l="1" a="1"/>
  <c r="E30" i="57" s="1"/>
  <c r="B31" i="57"/>
  <c r="A31" i="57"/>
  <c r="C31" i="57" l="1"/>
  <c r="D31" i="57" s="1"/>
  <c r="F31" i="57" s="1"/>
  <c r="E31" i="57" l="1" a="1"/>
  <c r="E31" i="57" s="1"/>
  <c r="A32" i="57"/>
  <c r="B32" i="57"/>
  <c r="C32" i="57" l="1"/>
  <c r="D32" i="57" s="1"/>
  <c r="F32" i="57" l="1"/>
  <c r="E32" i="57" a="1"/>
  <c r="E32" i="57" s="1"/>
  <c r="A33" i="57" l="1"/>
  <c r="B33" i="57"/>
  <c r="C33" i="57" l="1"/>
  <c r="D33" i="57" s="1"/>
  <c r="F33" i="57" l="1"/>
  <c r="E33" i="57" a="1"/>
  <c r="E33" i="57" s="1"/>
  <c r="B34" i="57" l="1"/>
  <c r="A34" i="57"/>
  <c r="C34" i="57" l="1"/>
  <c r="D34" i="57" s="1"/>
  <c r="E34" i="57" s="1" a="1"/>
  <c r="E34" i="57" s="1"/>
  <c r="F34" i="57" l="1"/>
  <c r="B35" i="57" s="1"/>
  <c r="A35" i="57" l="1"/>
  <c r="C35" i="57" s="1"/>
  <c r="D35" i="57" s="1"/>
  <c r="F35" i="57" s="1"/>
  <c r="E35" i="57" l="1" a="1"/>
  <c r="E35" i="57" s="1"/>
  <c r="A36" i="57"/>
  <c r="B36" i="57"/>
  <c r="C36" i="57" l="1"/>
  <c r="D36" i="57" s="1"/>
  <c r="F36" i="57" l="1"/>
  <c r="E36" i="57" a="1"/>
  <c r="E36" i="57" s="1"/>
  <c r="B37" i="57" l="1"/>
  <c r="A37" i="57"/>
  <c r="C37" i="57" l="1"/>
  <c r="D37" i="57" s="1"/>
  <c r="F37" i="57" s="1"/>
  <c r="E37" i="57" l="1" a="1"/>
  <c r="E37" i="57" s="1"/>
  <c r="B38" i="57"/>
  <c r="A38" i="57"/>
  <c r="C38" i="57" l="1"/>
  <c r="D38" i="57" s="1"/>
  <c r="F38" i="57" s="1"/>
  <c r="E38" i="57" l="1" a="1"/>
  <c r="E38" i="57" s="1"/>
  <c r="A39" i="57"/>
  <c r="B39" i="57"/>
  <c r="C39" i="57" l="1"/>
  <c r="D39" i="57" s="1"/>
  <c r="F39" i="57" l="1"/>
  <c r="E39" i="57" a="1"/>
  <c r="E39" i="57" s="1"/>
  <c r="B40" i="57" l="1"/>
  <c r="A40" i="57"/>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l="1"/>
  <c r="E43" i="57" a="1"/>
  <c r="E43" i="57" s="1"/>
  <c r="B44" i="57" l="1"/>
  <c r="A44" i="57"/>
  <c r="C44" i="57" l="1"/>
  <c r="D44" i="57" s="1"/>
  <c r="F44" i="57" s="1"/>
  <c r="E44" i="57" l="1" a="1"/>
  <c r="E44" i="57" s="1"/>
  <c r="B45" i="57"/>
  <c r="A45" i="57"/>
  <c r="C45" i="57" l="1"/>
  <c r="D45" i="57" s="1"/>
  <c r="F45" i="57" s="1"/>
  <c r="E45" i="57" l="1" a="1"/>
  <c r="E45" i="57" s="1"/>
  <c r="A46" i="57"/>
  <c r="B46" i="57"/>
  <c r="C46" i="57" l="1"/>
  <c r="D46" i="57" s="1"/>
  <c r="F46" i="57" l="1"/>
  <c r="E46" i="57" a="1"/>
  <c r="E46" i="57" s="1"/>
  <c r="B47" i="57" l="1"/>
  <c r="A47" i="57"/>
  <c r="C47" i="57" l="1"/>
  <c r="D47" i="57" s="1"/>
  <c r="F47" i="57" s="1"/>
  <c r="E47" i="57" l="1" a="1"/>
  <c r="E47" i="57" s="1"/>
  <c r="A48" i="57"/>
  <c r="B48" i="57"/>
  <c r="C48" i="57" l="1"/>
  <c r="D48" i="57" s="1"/>
  <c r="G9" i="57"/>
  <c r="F48" i="57" l="1"/>
  <c r="E48" i="57"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T3" i="58" l="1"/>
  <c r="R3" i="58"/>
  <c r="D25" i="58" a="1"/>
  <c r="D25" i="58" s="1"/>
  <c r="D38" i="58" s="1" a="1"/>
  <c r="D38" i="58" s="1"/>
  <c r="D64" i="58" s="1"/>
  <c r="D5" i="58"/>
  <c r="D52" i="58" s="1"/>
  <c r="D16" i="58" a="1"/>
  <c r="D16" i="58" s="1"/>
  <c r="C27" i="58" a="1"/>
  <c r="C27" i="58" s="1"/>
  <c r="D31" i="58" a="1"/>
  <c r="D31" i="58" s="1"/>
  <c r="D44" i="58" s="1" a="1"/>
  <c r="D44" i="58" s="1"/>
  <c r="D70"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D35" i="58" a="1"/>
  <c r="D35" i="58" s="1"/>
  <c r="D48" i="58" s="1" a="1"/>
  <c r="D48" i="58" s="1"/>
  <c r="C24" i="58" a="1"/>
  <c r="C24" i="58" s="1"/>
  <c r="D15" i="58" a="1"/>
  <c r="D15" i="58" s="1"/>
  <c r="X95" i="58"/>
  <c r="P95" i="58"/>
  <c r="L95" i="58"/>
  <c r="V95" i="58"/>
  <c r="N95" i="58"/>
  <c r="R95" i="58"/>
  <c r="T95" i="58"/>
  <c r="J95" i="58"/>
  <c r="D74" i="58" l="1"/>
  <c r="C57" i="58"/>
  <c r="C51" i="58"/>
  <c r="D54" i="58"/>
  <c r="D60" i="58"/>
  <c r="D58" i="58"/>
  <c r="C52" i="58"/>
  <c r="D59" i="58"/>
  <c r="C61" i="58"/>
  <c r="C54" i="58"/>
  <c r="D57" i="58"/>
  <c r="C59" i="58"/>
  <c r="C53" i="58"/>
  <c r="D50" i="58"/>
  <c r="C60" i="58"/>
  <c r="D61" i="58"/>
  <c r="C56" i="58"/>
  <c r="D53" i="58"/>
  <c r="C58" i="58"/>
  <c r="D29" i="58" a="1"/>
  <c r="D29" i="58" s="1"/>
  <c r="D42" i="58" s="1" a="1"/>
  <c r="D42" i="58" s="1"/>
  <c r="D68" i="58" s="1"/>
  <c r="D55" i="58"/>
  <c r="D56" i="58"/>
  <c r="C55" i="58"/>
  <c r="D51" i="58"/>
  <c r="C50" i="58"/>
  <c r="C37" i="58" a="1"/>
  <c r="C37" i="58" s="1"/>
  <c r="C31" i="58" a="1"/>
  <c r="C31" i="58" s="1"/>
  <c r="D34" i="58" a="1"/>
  <c r="D34" i="58" s="1"/>
  <c r="C48" i="58" a="1"/>
  <c r="C48" i="58" s="1"/>
  <c r="C39" i="58" a="1"/>
  <c r="C39" i="58" s="1"/>
  <c r="C42" i="58" a="1"/>
  <c r="C42" i="58" s="1"/>
  <c r="C41" i="58" a="1"/>
  <c r="C41" i="58" s="1"/>
  <c r="C25" i="58" a="1"/>
  <c r="C25" i="58" s="1"/>
  <c r="C32" i="58" a="1"/>
  <c r="C32" i="58" s="1"/>
  <c r="C43" i="58" a="1"/>
  <c r="C43" i="58" s="1"/>
  <c r="C47" i="58" a="1"/>
  <c r="C47" i="58" s="1"/>
  <c r="C40" i="58" a="1"/>
  <c r="C40" i="58" s="1"/>
  <c r="D28" i="58" a="1"/>
  <c r="D28" i="58" s="1"/>
  <c r="D41" i="58" s="1" a="1"/>
  <c r="D41" i="58" s="1"/>
  <c r="D67" i="58" s="1"/>
  <c r="C46" i="58" a="1"/>
  <c r="C46" i="58" s="1"/>
  <c r="J97" i="58"/>
  <c r="L97" i="58"/>
  <c r="T96" i="58"/>
  <c r="R96" i="58"/>
  <c r="P97" i="58"/>
  <c r="N97" i="58"/>
  <c r="D47" i="58" l="1" a="1"/>
  <c r="D47" i="58" s="1"/>
  <c r="C67" i="58"/>
  <c r="C68" i="58"/>
  <c r="C74" i="58"/>
  <c r="C69" i="58"/>
  <c r="C63" i="58"/>
  <c r="C72" i="58"/>
  <c r="C73" i="58"/>
  <c r="C65" i="58"/>
  <c r="C66" i="58"/>
  <c r="C38" i="58" a="1"/>
  <c r="C38" i="58" s="1"/>
  <c r="C45" i="58" a="1"/>
  <c r="C45" i="58" s="1"/>
  <c r="C44" i="58" a="1"/>
  <c r="C44" i="58" s="1"/>
  <c r="T99" i="58"/>
  <c r="R99" i="58"/>
  <c r="D73" i="58" l="1"/>
  <c r="C70" i="58"/>
  <c r="C64"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J83" i="58"/>
  <c r="N7" i="58" a="1"/>
  <c r="T7" i="58" a="1"/>
  <c r="R7" i="58" a="1"/>
  <c r="V84" i="58" l="1"/>
  <c r="X83" i="58"/>
  <c r="J84" i="58"/>
  <c r="L84" i="58" s="1"/>
  <c r="L83" i="58"/>
  <c r="R7" i="58"/>
  <c r="T7" i="58"/>
  <c r="P83" i="58"/>
  <c r="P84" i="58" s="1"/>
  <c r="P85" i="58" s="1"/>
  <c r="P94" i="58" s="1"/>
  <c r="N7" i="58"/>
  <c r="J20" i="59" a="1"/>
  <c r="J20" i="59" s="1"/>
  <c r="M20" i="59" s="1" a="1"/>
  <c r="M20" i="59" s="1"/>
  <c r="J13" i="59" a="1"/>
  <c r="J13" i="59" s="1"/>
  <c r="J27" i="59" a="1"/>
  <c r="J27" i="59" s="1"/>
  <c r="P7" i="58" a="1"/>
  <c r="V85" i="58" l="1"/>
  <c r="X84" i="58"/>
  <c r="J85" i="58"/>
  <c r="L85" i="58" s="1"/>
  <c r="L94" i="58" s="1"/>
  <c r="P7" i="58"/>
  <c r="B8" i="59"/>
  <c r="B10" i="59"/>
  <c r="B11" i="59"/>
  <c r="B7" i="59"/>
  <c r="N20" i="59" a="1"/>
  <c r="N20" i="59" s="1"/>
  <c r="B9" i="59"/>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V94" i="58" l="1"/>
  <c r="X85" i="58"/>
  <c r="X94" i="58" s="1"/>
  <c r="J94" i="58"/>
  <c r="P27" i="59" a="1"/>
  <c r="P27" i="59" s="1"/>
  <c r="L27" i="59" a="1"/>
  <c r="L27" i="59" s="1"/>
  <c r="O27" i="59" a="1"/>
  <c r="O27" i="59" s="1"/>
  <c r="N28" i="59" a="1"/>
  <c r="N28" i="59" s="1"/>
  <c r="M28" i="59" a="1"/>
  <c r="M28" i="59" s="1"/>
  <c r="J29" i="59" a="1"/>
  <c r="J29" i="59" s="1"/>
  <c r="K28" i="59" a="1"/>
  <c r="K28"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X7" i="58" l="1"/>
  <c r="V7" i="58"/>
  <c r="J7" i="58"/>
  <c r="Q20" i="59" a="1"/>
  <c r="Q20" i="59" s="1"/>
  <c r="R20" i="59" a="1"/>
  <c r="R20" i="59" s="1"/>
  <c r="K15" i="59" a="1"/>
  <c r="K15" i="59" s="1"/>
  <c r="N15" i="59" a="1"/>
  <c r="N15" i="59" s="1"/>
  <c r="M15" i="59" a="1"/>
  <c r="M15" i="59" s="1"/>
  <c r="J16" i="59" a="1"/>
  <c r="J16" i="59" s="1"/>
  <c r="O28" i="59" a="1"/>
  <c r="O28" i="59" s="1"/>
  <c r="L28" i="59" a="1"/>
  <c r="L28" i="59" s="1"/>
  <c r="P28" i="59" a="1"/>
  <c r="P28"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D20" i="59" l="1"/>
  <c r="C20" i="59"/>
  <c r="C27" i="59"/>
  <c r="C13" i="59"/>
  <c r="D27" i="59"/>
  <c r="D13" i="59"/>
  <c r="Q28" i="59" a="1"/>
  <c r="Q28" i="59" s="1"/>
  <c r="R28" i="59" a="1"/>
  <c r="R28" i="59" s="1"/>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D29" i="59" l="1"/>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M18" i="59" a="1"/>
  <c r="M18" i="59" s="1"/>
  <c r="K18" i="59" a="1"/>
  <c r="K18" i="59" s="1"/>
  <c r="N18" i="59" a="1"/>
  <c r="N18" i="59" s="1"/>
  <c r="P17" i="59" a="1"/>
  <c r="P17" i="59" s="1"/>
  <c r="O17" i="59" a="1"/>
  <c r="O17" i="59" s="1"/>
  <c r="L17" i="59" a="1"/>
  <c r="L17" i="59" s="1"/>
  <c r="R23" i="59" a="1"/>
  <c r="R23" i="59" s="1"/>
  <c r="Q23" i="59" a="1"/>
  <c r="Q23" i="59" s="1"/>
  <c r="C23" i="59" l="1"/>
  <c r="D16" i="59"/>
  <c r="C30" i="59"/>
  <c r="D30" i="59"/>
  <c r="C16" i="59"/>
  <c r="D23" i="59"/>
  <c r="R31" i="59" a="1"/>
  <c r="R31" i="59" s="1"/>
  <c r="Q31" i="59" a="1"/>
  <c r="Q31" i="59" s="1"/>
  <c r="O18" i="59" a="1"/>
  <c r="O18" i="59" s="1"/>
  <c r="P18" i="59" a="1"/>
  <c r="P18" i="59" s="1"/>
  <c r="L18" i="59" a="1"/>
  <c r="L18"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C17" i="59" l="1"/>
  <c r="C31" i="59"/>
  <c r="D31" i="59"/>
  <c r="C24" i="59"/>
  <c r="D17" i="59"/>
  <c r="D24" i="59"/>
  <c r="Q32" i="59" a="1"/>
  <c r="Q32" i="59" s="1"/>
  <c r="R32" i="59" a="1"/>
  <c r="R32" i="59" s="1"/>
  <c r="R18" i="59" a="1"/>
  <c r="R18" i="59" s="1"/>
  <c r="Q18" i="59" a="1"/>
  <c r="Q18" i="59" s="1"/>
  <c r="Q25" i="59" a="1"/>
  <c r="Q25" i="59" s="1"/>
  <c r="R25" i="59" a="1"/>
  <c r="R25" i="59" s="1"/>
  <c r="C18" i="59" l="1"/>
  <c r="D32" i="59"/>
  <c r="C32" i="59"/>
  <c r="D25" i="59"/>
  <c r="D18" i="59"/>
  <c r="C25" i="59"/>
  <c r="F13" i="59" a="1"/>
  <c r="F27" i="59" a="1"/>
  <c r="F20" i="59" a="1"/>
  <c r="F31" i="59" l="1"/>
  <c r="F32" i="59"/>
  <c r="F27" i="59"/>
  <c r="F28" i="59"/>
  <c r="F30" i="59"/>
  <c r="F29" i="59"/>
  <c r="F21" i="59"/>
  <c r="F23" i="59"/>
  <c r="B23" i="59" s="1"/>
  <c r="F22" i="59"/>
  <c r="F24" i="59"/>
  <c r="F25" i="59"/>
  <c r="F20" i="59"/>
  <c r="F17" i="59"/>
  <c r="F18" i="59"/>
  <c r="F14" i="59"/>
  <c r="F16" i="59"/>
  <c r="F13" i="59"/>
  <c r="F15" i="59"/>
  <c r="F37" i="59"/>
  <c r="F36" i="59"/>
  <c r="F35" i="59"/>
  <c r="F34" i="59"/>
  <c r="B32" i="59" l="1"/>
  <c r="B18" i="59"/>
  <c r="B14" i="59"/>
  <c r="B16" i="59"/>
  <c r="B28" i="59"/>
  <c r="B25" i="59"/>
  <c r="B21" i="59"/>
  <c r="B15" i="59"/>
  <c r="B24" i="59"/>
  <c r="B29"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L70" i="24" s="1"/>
  <c r="I39" i="9"/>
  <c r="I28" i="9"/>
  <c r="I29" i="9" s="1"/>
  <c r="I30" i="9" s="1"/>
  <c r="I38" i="9" s="1"/>
  <c r="I35" i="9" a="1"/>
  <c r="I35" i="9" l="1"/>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G18" i="70" s="1"/>
  <c r="AG11" i="70" s="1"/>
  <c r="AH18" i="70"/>
  <c r="AJ18" i="70" s="1"/>
  <c r="F3" i="73" a="1"/>
  <c r="F3" i="73" s="1"/>
  <c r="F33" i="73" a="1"/>
  <c r="F33" i="73" s="1"/>
  <c r="F34" i="73" s="1" a="1"/>
  <c r="F34" i="73" s="1"/>
  <c r="F35" i="73" s="1" a="1"/>
  <c r="F35" i="73" s="1"/>
  <c r="F39" i="73" s="1"/>
  <c r="F6" i="73" a="1"/>
  <c r="F6" i="73" l="1"/>
  <c r="F42" i="73" s="1"/>
  <c r="D39" i="73" a="1"/>
  <c r="D39" i="7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<sst xmlns="http://schemas.openxmlformats.org/spreadsheetml/2006/main" count="4383" uniqueCount="2650">
  <si>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</si>
  <si>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</si>
  <si>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</si>
  <si>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</si>
  <si>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</si>
  <si>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</si>
  <si>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</si>
  <si>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</si>
  <si>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</si>
  <si>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</si>
  <si>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</si>
  <si>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</si>
  <si>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</si>
  <si>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</si>
  <si>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</si>
  <si>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</si>
  <si>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</si>
  <si>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</si>
  <si>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</si>
  <si>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</si>
  <si>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</si>
  <si>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</si>
  <si>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</si>
  <si>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</si>
  <si>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</si>
  <si>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</si>
  <si>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</si>
  <si>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</si>
  <si>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</si>
  <si>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</si>
  <si>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</si>
  <si>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</si>
  <si>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</si>
  <si>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</si>
  <si>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</si>
  <si>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</si>
  <si>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</si>
  <si>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</si>
  <si>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</si>
  <si>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</si>
  <si>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</si>
  <si>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</si>
  <si>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</si>
  <si>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</si>
  <si>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</si>
  <si>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</si>
  <si>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</si>
  <si>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</si>
  <si>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</si>
  <si>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</si>
  <si>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</si>
  <si>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</si>
  <si>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</si>
  <si>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</si>
  <si>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</si>
  <si>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</si>
  <si>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</si>
  <si>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</si>
  <si>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</si>
  <si>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</si>
  <si>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</si>
  <si>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</si>
  <si>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</si>
  <si>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</si>
  <si>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</si>
  <si>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</si>
  <si>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</si>
  <si>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</si>
  <si>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</si>
  <si>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</si>
  <si>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</si>
  <si>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</si>
  <si>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</si>
  <si>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</si>
  <si>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</si>
  <si>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</si>
  <si>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</si>
  <si>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</si>
  <si>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</si>
  <si>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</si>
  <si>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</si>
  <si>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</si>
  <si>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</si>
  <si>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</si>
  <si>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</si>
  <si>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</si>
  <si>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</si>
  <si>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</si>
  <si>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</si>
  <si>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</si>
  <si>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</si>
  <si>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</si>
  <si>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</si>
  <si>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</si>
  <si>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</si>
  <si>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</si>
  <si>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</si>
  <si>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</si>
  <si>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</si>
  <si>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</si>
  <si>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</si>
  <si>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</si>
  <si>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</si>
  <si>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</si>
  <si>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</si>
  <si>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</si>
  <si>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</si>
  <si>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</si>
  <si>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</si>
  <si>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</si>
  <si>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</si>
  <si>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</si>
  <si>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</si>
  <si>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</si>
  <si>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</si>
  <si>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</si>
  <si>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</si>
  <si>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</si>
  <si>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</si>
  <si>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</si>
  <si>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</si>
  <si>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</si>
  <si>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</si>
  <si>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</si>
  <si>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</si>
  <si>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</si>
  <si>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</si>
  <si>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</si>
  <si>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</si>
  <si>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</si>
  <si>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</si>
  <si>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</si>
  <si>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</si>
  <si>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</si>
  <si>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</si>
  <si>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</si>
  <si>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</si>
  <si>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</si>
  <si>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</si>
  <si>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</si>
  <si>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</si>
  <si>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</si>
  <si>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</si>
  <si>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</si>
  <si>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</si>
  <si>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</si>
  <si>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</si>
  <si>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</si>
  <si>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</si>
  <si>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</si>
  <si>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</si>
  <si>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</si>
  <si>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</si>
  <si>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</si>
  <si>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</si>
  <si>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</si>
  <si>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</si>
  <si>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</si>
  <si>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</si>
  <si>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</si>
  <si>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</si>
  <si>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</si>
  <si>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</si>
  <si>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</si>
  <si>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</si>
  <si>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</si>
  <si>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</si>
  <si>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</si>
  <si>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</si>
  <si>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</si>
  <si>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</si>
  <si>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</si>
  <si>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</si>
  <si>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</si>
  <si>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</si>
  <si>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</si>
  <si>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</si>
  <si>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</si>
  <si>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</si>
  <si>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</si>
  <si>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</si>
  <si>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</si>
  <si>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</si>
  <si>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</si>
  <si>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</si>
  <si>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</si>
  <si>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</si>
  <si>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</si>
  <si>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</si>
  <si>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</si>
  <si>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</si>
  <si>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</si>
  <si>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</si>
  <si>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</si>
  <si>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</si>
  <si>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</si>
  <si>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</si>
  <si>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</si>
  <si>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</si>
  <si>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</si>
  <si>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</si>
  <si>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</si>
  <si>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</si>
  <si>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</si>
  <si>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</si>
  <si>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</si>
  <si>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</si>
  <si>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</si>
  <si>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</si>
  <si>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</si>
  <si>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</si>
  <si>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</si>
  <si>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</si>
  <si>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</si>
  <si>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</si>
  <si>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</si>
  <si>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</si>
  <si>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</si>
  <si>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</si>
  <si>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</si>
  <si>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</si>
  <si>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</si>
  <si>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</si>
  <si>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</si>
  <si>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</si>
  <si>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</si>
  <si>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</si>
  <si>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</si>
  <si>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</si>
  <si>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</si>
  <si>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</si>
  <si>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</si>
  <si>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</si>
  <si>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</si>
  <si>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</si>
  <si>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</si>
  <si>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</si>
  <si>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</si>
  <si>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</si>
  <si>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</si>
  <si>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</si>
  <si>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</si>
  <si>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</si>
  <si>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</si>
  <si>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</si>
  <si>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</si>
  <si>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</si>
  <si>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</si>
  <si>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</si>
  <si>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</si>
  <si>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</si>
  <si>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</si>
  <si>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</si>
  <si>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</si>
  <si>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</si>
  <si>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</si>
  <si>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</si>
  <si>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</si>
  <si>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</si>
  <si>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</si>
  <si>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</si>
  <si>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</si>
  <si>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</si>
  <si>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</si>
  <si>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</si>
  <si>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</si>
  <si>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</si>
  <si>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</si>
  <si>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</si>
  <si>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</si>
  <si>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</si>
  <si>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</si>
  <si>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</si>
  <si>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</si>
  <si>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</si>
  <si>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</si>
  <si>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</si>
  <si>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</si>
  <si>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</si>
  <si>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</si>
  <si>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</si>
  <si>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</si>
  <si>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</si>
  <si>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</si>
  <si>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</si>
  <si>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</si>
  <si>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</si>
  <si>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</si>
  <si>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</si>
  <si>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</si>
  <si>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</si>
  <si>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</si>
  <si>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</si>
  <si>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</si>
  <si>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</si>
  <si>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</si>
  <si>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</si>
  <si>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</si>
  <si>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</si>
  <si>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</si>
  <si>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</si>
  <si>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</si>
  <si>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</si>
  <si>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</si>
  <si>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</si>
  <si>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</si>
  <si>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</si>
  <si>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</si>
  <si>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</si>
  <si>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</si>
  <si>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</si>
  <si>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</si>
  <si>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</si>
  <si>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</si>
  <si>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</si>
  <si>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</si>
  <si>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</si>
  <si>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</si>
  <si>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</si>
  <si>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</si>
  <si>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</si>
  <si>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</si>
  <si>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</si>
  <si>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</si>
  <si>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</si>
  <si>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</si>
  <si>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</si>
  <si>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</si>
  <si>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</si>
  <si>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</si>
  <si>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</si>
  <si>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</si>
  <si>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</si>
  <si>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</si>
  <si>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</si>
  <si>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</si>
  <si>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</si>
  <si>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</si>
  <si>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</si>
  <si>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</si>
  <si>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</si>
  <si>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</si>
  <si>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</si>
  <si>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</si>
  <si>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</si>
  <si>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</si>
  <si>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</si>
  <si>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</si>
  <si>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</si>
  <si>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</si>
  <si>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</si>
  <si>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</si>
  <si>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</si>
  <si>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</si>
  <si>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</si>
  <si>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</si>
  <si>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</si>
  <si>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</si>
  <si>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</si>
  <si>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</si>
  <si>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</si>
  <si>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</si>
  <si>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</si>
  <si>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</si>
  <si>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</si>
  <si>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</si>
  <si>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</si>
  <si>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</si>
  <si>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</si>
  <si>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</si>
  <si>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</si>
  <si>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</si>
  <si>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</si>
  <si>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</si>
  <si>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</si>
  <si>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</si>
  <si>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</si>
  <si>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</si>
  <si>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</si>
  <si>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</si>
  <si>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</si>
  <si>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</si>
  <si>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</si>
  <si>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</si>
  <si>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</si>
  <si>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</si>
  <si>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</si>
  <si>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</si>
  <si>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</si>
  <si>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</si>
  <si>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</si>
  <si>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</si>
  <si>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</si>
  <si>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</si>
  <si>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</si>
  <si>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</si>
  <si>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</si>
  <si>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</si>
  <si>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</si>
  <si>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</si>
  <si>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</si>
  <si>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</si>
  <si>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</si>
  <si>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</si>
  <si>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</si>
  <si>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</si>
  <si>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</si>
  <si>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</si>
  <si>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</si>
  <si>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</si>
  <si>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</si>
  <si>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</si>
  <si>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</si>
  <si>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</si>
  <si>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</si>
  <si>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</si>
  <si>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</si>
  <si>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</si>
  <si>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</si>
  <si>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</si>
  <si>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</si>
  <si>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</si>
  <si>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</si>
  <si>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</si>
  <si>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</si>
  <si>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</si>
  <si>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</si>
  <si>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</si>
  <si>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</si>
  <si>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</si>
  <si>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</si>
  <si>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</si>
  <si>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</si>
  <si>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</si>
  <si>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</si>
  <si>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</si>
  <si>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</si>
  <si>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</si>
  <si>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</si>
  <si>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</si>
  <si>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</si>
  <si>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</si>
  <si>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</si>
  <si>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</si>
  <si>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</si>
  <si>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</si>
  <si>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</si>
  <si>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</si>
  <si>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</si>
  <si>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</si>
  <si>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</si>
  <si>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</si>
  <si>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</si>
  <si>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</si>
  <si>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</si>
  <si>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</si>
  <si>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</si>
  <si>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</si>
  <si>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</si>
  <si>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</si>
  <si>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</si>
  <si>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</si>
  <si>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</si>
  <si>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</si>
  <si>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</si>
  <si>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</si>
  <si>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</si>
  <si>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</si>
  <si>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</si>
  <si>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</si>
  <si>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</si>
  <si>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</si>
  <si>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</si>
  <si>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</si>
  <si>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</si>
  <si>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</si>
  <si>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</si>
  <si>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</si>
  <si>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</si>
  <si>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</si>
  <si>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</si>
  <si>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</si>
  <si>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</si>
  <si>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</si>
  <si>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</si>
  <si>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</si>
  <si>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</si>
  <si>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</si>
  <si>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</si>
  <si>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</si>
  <si>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</si>
  <si>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</si>
  <si>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</si>
  <si>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</si>
  <si>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</si>
  <si>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</si>
  <si>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</si>
  <si>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</si>
  <si>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</si>
  <si>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</si>
  <si>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</si>
  <si>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</si>
  <si>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</si>
  <si>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</si>
  <si>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</si>
  <si>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</si>
  <si>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</si>
  <si>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</si>
  <si>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</si>
  <si>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</si>
  <si>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</si>
  <si>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</si>
  <si>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</si>
  <si>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</si>
  <si>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</si>
  <si>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</si>
  <si>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</si>
  <si>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</si>
  <si>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</si>
  <si>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</si>
  <si>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</si>
  <si>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</si>
  <si>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</si>
  <si>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</si>
  <si>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</si>
  <si>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</si>
  <si>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</si>
  <si>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</si>
  <si>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</si>
  <si>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</si>
  <si>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</si>
  <si>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</si>
  <si>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</si>
  <si>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</si>
  <si>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</si>
  <si>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</si>
  <si>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</si>
  <si>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</si>
  <si>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</si>
  <si>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</si>
  <si>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</si>
  <si>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</si>
  <si>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</si>
  <si>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</si>
  <si>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</si>
  <si>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</si>
  <si>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</si>
  <si>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</si>
  <si>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</si>
  <si>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</si>
  <si>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</si>
  <si>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</si>
  <si>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</si>
  <si>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</si>
  <si>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</si>
  <si>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</si>
  <si>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</si>
  <si>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</si>
  <si>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</si>
  <si>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</si>
  <si>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</si>
  <si>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</si>
  <si>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</si>
  <si>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</si>
  <si>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</si>
  <si>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</si>
  <si>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</si>
  <si>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</si>
  <si>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</si>
  <si>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</si>
  <si>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</si>
  <si>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</si>
  <si>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</si>
  <si>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</si>
  <si>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</si>
  <si>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</si>
  <si>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</si>
  <si>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</si>
  <si>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</si>
  <si>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</si>
  <si>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</si>
  <si>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</si>
  <si>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</si>
  <si>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</si>
  <si>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</si>
  <si>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</si>
  <si>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</si>
  <si>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</si>
  <si>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</si>
  <si>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</si>
  <si>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</si>
  <si>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</si>
  <si>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</si>
  <si>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</si>
  <si>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</si>
  <si>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</si>
  <si>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</si>
  <si>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</si>
  <si>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</si>
  <si>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</si>
  <si>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</si>
  <si>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</si>
  <si>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</si>
  <si>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</si>
  <si>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</si>
  <si>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</si>
  <si>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</si>
  <si>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</si>
  <si>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</si>
  <si>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</si>
  <si>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</si>
  <si>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</si>
  <si>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</si>
  <si>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</si>
  <si>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</si>
  <si>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</si>
  <si>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</si>
  <si>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</si>
  <si>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</si>
  <si>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</si>
  <si>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</si>
  <si>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</si>
  <si>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</si>
  <si>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</si>
  <si>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</si>
  <si>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</si>
  <si>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</si>
  <si>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</si>
  <si>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</si>
  <si>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</si>
  <si>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</si>
  <si>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</si>
  <si>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</si>
  <si>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</si>
  <si>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</si>
  <si>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</si>
  <si>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</si>
  <si>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</si>
  <si>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</si>
  <si>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</si>
  <si>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</si>
  <si>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</si>
  <si>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</si>
  <si>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</si>
  <si>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</si>
  <si>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</si>
  <si>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</si>
  <si>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</si>
  <si>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</si>
  <si>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</si>
  <si>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</si>
  <si>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</si>
  <si>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</si>
  <si>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</si>
  <si>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</si>
  <si>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</si>
  <si>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</si>
  <si>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</si>
  <si>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</si>
  <si>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</si>
  <si>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</si>
  <si>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</si>
  <si>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</si>
  <si>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</si>
  <si>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</si>
  <si>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</si>
  <si>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</si>
  <si>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</si>
  <si>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</si>
  <si>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</si>
  <si>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</si>
  <si>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</si>
  <si>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</si>
  <si>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</si>
  <si>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</si>
  <si>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</si>
  <si>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</si>
  <si>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</si>
  <si>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</si>
  <si>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</si>
  <si>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</si>
  <si>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</si>
  <si>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</si>
  <si>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</si>
  <si>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</si>
  <si>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</si>
  <si>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</si>
  <si>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</si>
  <si>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</si>
  <si>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</si>
  <si>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</si>
  <si>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</si>
  <si>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</si>
  <si>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</si>
  <si>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</si>
  <si>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</si>
  <si>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</si>
  <si>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</si>
  <si>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</si>
  <si>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</si>
  <si>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</si>
  <si>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</si>
  <si>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</si>
  <si>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</si>
  <si>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</si>
  <si>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</si>
  <si>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</si>
  <si>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</si>
  <si>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</si>
  <si>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</si>
  <si>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</si>
  <si>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</si>
  <si>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</si>
  <si>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</si>
  <si>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</si>
  <si>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</si>
  <si>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</si>
  <si>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</si>
  <si>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</si>
  <si>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</si>
  <si>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</si>
  <si>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</si>
  <si>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</si>
  <si>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</si>
  <si>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</si>
  <si>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</si>
  <si>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</si>
  <si>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</si>
  <si>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</si>
  <si>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</si>
  <si>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</si>
  <si>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</si>
  <si>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</si>
  <si>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</si>
  <si>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</si>
  <si>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</si>
  <si>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</si>
  <si>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</si>
  <si>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</si>
  <si>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</si>
  <si>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</si>
  <si>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</si>
  <si>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</si>
  <si>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</si>
  <si>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</si>
  <si>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</si>
  <si>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</si>
  <si>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</si>
  <si>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</si>
  <si>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</si>
  <si>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</si>
  <si>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</si>
  <si>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</si>
  <si>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</si>
  <si>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</si>
  <si>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</si>
  <si>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</si>
  <si>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</si>
  <si>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</si>
  <si>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</si>
  <si>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</si>
  <si>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</si>
  <si>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</si>
  <si>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</si>
  <si>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</si>
  <si>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</si>
  <si>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</si>
  <si>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</si>
  <si>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</si>
  <si>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</si>
  <si>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</si>
  <si>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</si>
  <si>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</si>
  <si>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</si>
  <si>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</si>
  <si>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</si>
  <si>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</si>
  <si>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</si>
  <si>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</si>
  <si>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</si>
  <si>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</si>
  <si>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</si>
  <si>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</si>
  <si>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</si>
  <si>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</si>
  <si>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</si>
  <si>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</si>
  <si>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</si>
  <si>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</si>
  <si>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</si>
  <si>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</si>
  <si>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</si>
  <si>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</si>
  <si>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</si>
  <si>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</si>
  <si>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</si>
  <si>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</si>
  <si>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</si>
  <si>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</si>
  <si>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</si>
  <si>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</si>
  <si>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</si>
  <si>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</si>
  <si>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</si>
  <si>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</si>
  <si>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</si>
  <si>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</si>
  <si>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</si>
  <si>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</si>
  <si>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</si>
  <si>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</si>
  <si>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</si>
  <si>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</si>
  <si>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</si>
  <si>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</si>
  <si>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</si>
  <si>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</si>
  <si>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</si>
  <si>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</si>
  <si>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</si>
  <si>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</si>
  <si>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</si>
  <si>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</si>
  <si>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</si>
  <si>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</si>
  <si>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</si>
  <si>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</si>
  <si>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</si>
  <si>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</si>
  <si>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</si>
  <si>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</si>
  <si>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</si>
  <si>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</si>
  <si>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</si>
  <si>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</si>
  <si>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</si>
  <si>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</si>
  <si>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</si>
  <si>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</si>
  <si>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</si>
  <si>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</si>
  <si>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</si>
  <si>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</si>
  <si>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</si>
  <si>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</si>
  <si>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</si>
  <si>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</si>
  <si>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</si>
  <si>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</si>
  <si>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</si>
  <si>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</si>
  <si>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</si>
  <si>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</si>
  <si>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</si>
  <si>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</si>
  <si>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</si>
  <si>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</si>
  <si>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</si>
  <si>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</si>
  <si>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</si>
  <si>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</si>
  <si>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</si>
  <si>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</si>
  <si>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</si>
  <si>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</si>
  <si>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</si>
  <si>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</si>
  <si>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</si>
  <si>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</si>
  <si>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</si>
  <si>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</si>
  <si>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</si>
  <si>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</si>
  <si>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</si>
  <si>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</si>
  <si>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</si>
  <si>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</si>
  <si>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</si>
  <si>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</si>
  <si>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</si>
  <si>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</si>
  <si>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</si>
  <si>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</si>
  <si>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</si>
  <si>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</si>
  <si>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</si>
  <si>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</si>
  <si>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</si>
  <si>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</si>
  <si>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</si>
  <si>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</si>
  <si>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</si>
  <si>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</si>
  <si>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</si>
  <si>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</si>
  <si>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</si>
  <si>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</si>
  <si>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</si>
  <si>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</si>
  <si>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</si>
  <si>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</si>
  <si>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</si>
  <si>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</si>
  <si>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</si>
  <si>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</si>
  <si>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</si>
  <si>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</si>
  <si>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</si>
  <si>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</si>
  <si>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</si>
  <si>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</si>
  <si>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</si>
  <si>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</si>
  <si>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</si>
  <si>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</si>
  <si>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</si>
  <si>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</si>
  <si>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</si>
  <si>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</si>
  <si>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</si>
  <si>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</si>
  <si>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</si>
  <si>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</si>
  <si>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</si>
  <si>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</si>
  <si>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</si>
  <si>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</si>
  <si>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</si>
  <si>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</si>
  <si>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</si>
  <si>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</si>
  <si>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</si>
  <si>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</si>
  <si>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</si>
  <si>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</si>
  <si>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</si>
  <si>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</si>
  <si>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</si>
  <si>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</si>
  <si>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</si>
  <si>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</si>
  <si>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</si>
  <si>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</si>
  <si>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</si>
  <si>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</si>
  <si>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</si>
  <si>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</si>
  <si>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</si>
  <si>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</si>
  <si>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</si>
  <si>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</si>
  <si>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</si>
  <si>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</si>
  <si>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</si>
  <si>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</si>
  <si>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</si>
  <si>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</si>
  <si>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</si>
  <si>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</si>
  <si>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</si>
  <si>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</si>
  <si>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</si>
  <si>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</si>
  <si>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</si>
  <si>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</si>
  <si>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</si>
  <si>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</si>
  <si>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</si>
  <si>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</si>
  <si>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</si>
  <si>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</si>
  <si>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</si>
  <si>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</si>
  <si>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</si>
  <si>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</si>
  <si>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</si>
  <si>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</si>
  <si>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</si>
  <si>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</si>
  <si>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</si>
  <si>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</si>
  <si>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</si>
  <si>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</si>
  <si>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</si>
  <si>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</si>
  <si>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</si>
  <si>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</si>
  <si>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</si>
  <si>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</si>
  <si>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</si>
  <si>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</si>
  <si>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</si>
  <si>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</si>
  <si>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</si>
  <si>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</si>
  <si>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</si>
  <si>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</si>
  <si>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</si>
  <si>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</si>
  <si>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</si>
  <si>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</si>
  <si>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</si>
  <si>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</si>
  <si>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</si>
  <si>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</si>
  <si>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</si>
  <si>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</si>
  <si>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</si>
  <si>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</si>
  <si>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</si>
  <si>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</si>
  <si>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</si>
  <si>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</si>
  <si>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</si>
  <si>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</si>
  <si>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</si>
  <si>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</si>
  <si>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</si>
  <si>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</si>
  <si>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</si>
  <si>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</si>
  <si>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</si>
  <si>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</si>
  <si>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</si>
  <si>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</si>
  <si>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</si>
  <si>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</si>
  <si>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</si>
  <si>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</si>
  <si>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</si>
  <si>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</si>
  <si>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</si>
  <si>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</si>
  <si>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</si>
  <si>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</si>
  <si>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</si>
  <si>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</si>
  <si>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</si>
  <si>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</si>
  <si>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</si>
  <si>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</si>
  <si>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</si>
  <si>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</si>
  <si>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</si>
  <si>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</si>
  <si>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</si>
  <si>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</si>
  <si>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</si>
  <si>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</si>
  <si>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</si>
  <si>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</si>
  <si>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</si>
  <si>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</si>
  <si>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</si>
  <si>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</si>
  <si>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</si>
  <si>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</si>
  <si>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</si>
  <si>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</si>
  <si>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</si>
  <si>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</si>
  <si>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</si>
  <si>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</si>
  <si>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</si>
  <si>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</si>
  <si>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</si>
  <si>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</si>
  <si>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</si>
  <si>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</si>
  <si>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</si>
  <si>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</si>
  <si>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</si>
  <si>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</si>
  <si>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</si>
  <si>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</si>
  <si>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</si>
  <si>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</si>
  <si>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</si>
  <si>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</si>
  <si>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</si>
  <si>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</si>
  <si>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</si>
  <si>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</si>
  <si>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</si>
  <si>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</si>
  <si>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</si>
  <si>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</si>
  <si>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</si>
  <si>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</si>
  <si>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</si>
  <si>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</si>
  <si>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</si>
  <si>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</si>
  <si>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</si>
  <si>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</si>
  <si>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</si>
  <si>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</si>
  <si>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</si>
  <si>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</si>
  <si>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</si>
  <si>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</si>
  <si>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</si>
  <si>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</si>
  <si>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</si>
  <si>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</si>
  <si>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</si>
  <si>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</si>
  <si>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</si>
  <si>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</si>
  <si>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</si>
  <si>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</si>
  <si>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</si>
  <si>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</si>
  <si>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</si>
  <si>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</si>
  <si>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</si>
  <si>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</si>
  <si>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</si>
  <si>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</si>
  <si>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</si>
  <si>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</si>
  <si>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</si>
  <si>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</si>
  <si>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</si>
  <si>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</si>
  <si>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</si>
  <si>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</si>
  <si>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</si>
  <si>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</si>
  <si>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</si>
  <si>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</si>
  <si>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</si>
  <si>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</si>
  <si>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</si>
  <si>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</si>
  <si>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</si>
  <si>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</si>
  <si>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</si>
  <si>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</si>
  <si>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</si>
  <si>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</si>
  <si>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</si>
  <si>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</si>
  <si>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</si>
  <si>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</si>
  <si>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</si>
  <si>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</si>
  <si>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</si>
  <si>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</si>
  <si>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</si>
  <si>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</si>
  <si>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</si>
  <si>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</si>
  <si>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</si>
  <si>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</si>
  <si>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</si>
  <si>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</si>
  <si>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</si>
  <si>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</si>
  <si>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</si>
  <si>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</si>
  <si>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</si>
  <si>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</si>
  <si>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</si>
  <si>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</si>
  <si>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</si>
  <si>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</si>
  <si>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</si>
  <si>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</si>
  <si>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</si>
  <si>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</si>
  <si>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</si>
  <si>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</si>
  <si>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</si>
  <si>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</si>
  <si>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</si>
  <si>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</si>
  <si>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</si>
  <si>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</si>
  <si>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</si>
  <si>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</si>
  <si>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</si>
  <si>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</si>
  <si>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</si>
  <si>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</si>
  <si>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</si>
  <si>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</si>
  <si>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</si>
  <si>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</si>
  <si>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</si>
  <si>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</si>
  <si>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</si>
  <si>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</si>
  <si>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</si>
  <si>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</si>
  <si>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</si>
  <si>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</si>
  <si>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</si>
  <si>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</si>
  <si>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</si>
  <si>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</si>
  <si>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</si>
  <si>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</si>
  <si>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</si>
  <si>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</si>
  <si>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</si>
  <si>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</si>
  <si>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</si>
  <si>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</si>
  <si>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</si>
  <si>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</si>
  <si>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</si>
  <si>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</si>
  <si>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</si>
  <si>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</si>
  <si>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</si>
  <si>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</si>
  <si>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</si>
  <si>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</si>
  <si>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</si>
  <si>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</si>
  <si>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</si>
  <si>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</si>
  <si>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</si>
  <si>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</si>
  <si>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</si>
  <si>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</si>
  <si>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</si>
  <si>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</si>
  <si>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</si>
  <si>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</si>
  <si>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</si>
  <si>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</si>
  <si>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</si>
  <si>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</si>
  <si>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</si>
  <si>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</si>
  <si>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</si>
  <si>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</si>
  <si>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</si>
  <si>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</si>
  <si>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</si>
  <si>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</si>
  <si>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</si>
  <si>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</si>
  <si>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</si>
  <si>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</si>
  <si>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</si>
  <si>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</si>
  <si>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</si>
  <si>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</si>
  <si>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</si>
  <si>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</si>
  <si>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</si>
  <si>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</si>
  <si>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</si>
  <si>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</si>
  <si>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</si>
  <si>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</si>
  <si>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</si>
  <si>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</si>
  <si>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</si>
  <si>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</si>
  <si>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</si>
  <si>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</si>
  <si>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</si>
  <si>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</si>
  <si>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</si>
  <si>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</si>
  <si>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</si>
  <si>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</si>
  <si>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</si>
  <si>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</si>
  <si>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</si>
  <si>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</si>
  <si>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</si>
  <si>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</si>
  <si>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</si>
  <si>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</si>
  <si>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</si>
  <si>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</si>
  <si>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</si>
  <si>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</si>
  <si>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</si>
  <si>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</si>
  <si>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</si>
  <si>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</si>
  <si>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</si>
  <si>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</si>
  <si>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</si>
  <si>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</si>
  <si>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</si>
  <si>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</si>
  <si>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</si>
  <si>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</si>
  <si>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</si>
  <si>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</si>
  <si>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</si>
  <si>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</si>
  <si>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</si>
  <si>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</si>
  <si>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</si>
  <si>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</si>
  <si>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</si>
  <si>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</si>
  <si>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</si>
  <si>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</si>
  <si>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</si>
  <si>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</si>
  <si>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</si>
  <si>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</si>
  <si>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</si>
  <si>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</si>
  <si>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</si>
  <si>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</si>
  <si>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</si>
  <si>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</si>
  <si>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</si>
  <si>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</si>
  <si>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</si>
  <si>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</si>
  <si>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</si>
  <si>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</si>
  <si>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</si>
  <si>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</si>
  <si>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</si>
  <si>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</si>
  <si>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</si>
  <si>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</si>
  <si>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</si>
  <si>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</si>
  <si>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</si>
  <si>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</si>
  <si>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</si>
  <si>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</si>
  <si>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</si>
  <si>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</si>
  <si>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</si>
  <si>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</si>
  <si>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</si>
  <si>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</si>
  <si>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</si>
  <si>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</si>
  <si>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</si>
  <si>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</si>
  <si>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</si>
  <si>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</si>
  <si>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</si>
  <si>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</si>
  <si>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</si>
  <si>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</si>
  <si>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</si>
  <si>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</si>
  <si>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</si>
  <si>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</si>
  <si>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</si>
  <si>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</si>
  <si>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</si>
  <si>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</si>
  <si>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</si>
  <si>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</si>
  <si>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</si>
  <si>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</si>
  <si>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</si>
  <si>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</si>
  <si>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</si>
  <si>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</si>
  <si>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</si>
  <si>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</si>
  <si>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</si>
  <si>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</si>
  <si>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</si>
  <si>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</si>
  <si>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</si>
  <si>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</si>
  <si>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</si>
  <si>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</si>
  <si>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</si>
  <si>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</si>
  <si>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</si>
  <si>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</si>
  <si>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</si>
  <si>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</si>
  <si>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</si>
  <si>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</si>
  <si>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</si>
  <si>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</si>
  <si>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</si>
  <si>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</si>
  <si>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</si>
  <si>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</si>
  <si>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</si>
  <si>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</si>
  <si>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</si>
  <si>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</si>
  <si>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</si>
  <si>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</si>
  <si>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</si>
  <si>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</si>
  <si>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</si>
  <si>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</si>
  <si>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</si>
  <si>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</si>
  <si>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</si>
  <si>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</si>
  <si>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</si>
  <si>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</si>
  <si>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</si>
  <si>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</si>
  <si>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</si>
  <si>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</si>
  <si>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</si>
  <si>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</si>
  <si>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</si>
  <si>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</si>
  <si>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</si>
  <si>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</si>
  <si>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</si>
  <si>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</si>
  <si>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</si>
  <si>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</si>
  <si>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</si>
  <si>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</si>
  <si>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</si>
  <si>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</si>
  <si>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</si>
  <si>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</si>
  <si>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</si>
  <si>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</si>
  <si>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</si>
  <si>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</si>
  <si>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</si>
  <si>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</si>
  <si>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</si>
  <si>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</si>
  <si>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</si>
  <si>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</si>
  <si>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</si>
  <si>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</si>
  <si>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</si>
  <si>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</si>
  <si>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</si>
  <si>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</si>
  <si>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</si>
  <si>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</si>
  <si>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</si>
  <si>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</si>
  <si>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</si>
  <si>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</si>
  <si>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</si>
  <si>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</si>
  <si>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</si>
  <si>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</si>
  <si>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</si>
  <si>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</si>
  <si>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</si>
  <si>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</si>
  <si>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</si>
  <si>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</si>
  <si>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</si>
  <si>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</si>
  <si>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</si>
  <si>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</si>
  <si>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</si>
  <si>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</si>
  <si>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</si>
  <si>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</si>
  <si>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</si>
  <si>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</si>
  <si>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</si>
  <si>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</si>
  <si>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</si>
  <si>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</si>
  <si>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</si>
  <si>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</si>
  <si>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</si>
  <si>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</si>
  <si>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</si>
  <si>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</si>
  <si>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</si>
  <si>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</si>
  <si>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</si>
  <si>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</si>
  <si>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</si>
  <si>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</si>
  <si>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</si>
  <si>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</si>
  <si>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</si>
  <si>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</si>
  <si>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</si>
  <si>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</si>
  <si>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</si>
  <si>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</si>
  <si>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</si>
  <si>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</si>
  <si>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</si>
  <si>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</si>
  <si>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</si>
  <si>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</si>
  <si>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</si>
  <si>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</si>
  <si>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</si>
  <si>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</si>
  <si>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</si>
  <si>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</si>
  <si>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</si>
  <si>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</si>
  <si>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</si>
  <si>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</si>
  <si>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</si>
  <si>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</si>
  <si>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</si>
  <si>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</si>
  <si>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</si>
  <si>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</si>
  <si>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</si>
  <si>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</si>
  <si>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</si>
  <si>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</si>
  <si>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</si>
  <si>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</si>
  <si>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</si>
  <si>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</si>
  <si>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</si>
  <si>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</si>
  <si>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</si>
  <si>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</si>
  <si>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</si>
  <si>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</si>
  <si>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</si>
  <si>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</si>
  <si>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</si>
  <si>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</si>
  <si>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</si>
  <si>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</si>
  <si>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</si>
  <si>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</si>
  <si>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</si>
  <si>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</si>
  <si>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</si>
  <si>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</si>
  <si>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</si>
  <si>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</si>
  <si>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</si>
  <si>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</si>
  <si>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</si>
  <si>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</si>
  <si>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</si>
  <si>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</si>
  <si>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</si>
  <si>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</si>
  <si>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</si>
  <si>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</si>
  <si>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</si>
  <si>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</si>
  <si>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</si>
  <si>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</si>
  <si>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</si>
  <si>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</si>
  <si>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</si>
  <si>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</si>
  <si>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</si>
  <si>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</si>
  <si>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</si>
  <si>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</si>
  <si>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</si>
  <si>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</si>
  <si>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</si>
  <si>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</si>
  <si>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</si>
  <si>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</si>
  <si>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</si>
  <si>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</si>
  <si>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</si>
  <si>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</si>
  <si>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</si>
  <si>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</si>
  <si>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</si>
  <si>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</si>
  <si>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</si>
  <si>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</si>
  <si>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</si>
  <si>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</si>
  <si>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</si>
  <si>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</si>
  <si>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</si>
  <si>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</si>
  <si>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</si>
  <si>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</si>
  <si>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</si>
  <si>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</si>
  <si>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</si>
  <si>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</si>
  <si>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</si>
  <si>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</si>
  <si>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</si>
  <si>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</si>
  <si>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</si>
  <si>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</si>
  <si>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</si>
  <si>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</si>
  <si>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</si>
  <si>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</si>
  <si>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</si>
  <si>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</si>
  <si>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</si>
  <si>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</si>
  <si>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</si>
  <si>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</si>
  <si>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</si>
  <si>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</si>
  <si>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</si>
  <si>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</si>
  <si>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</si>
  <si>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</si>
  <si>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</si>
  <si>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</si>
  <si>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</si>
  <si>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</si>
  <si>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</si>
  <si>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</si>
  <si>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</si>
  <si>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</si>
  <si>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</si>
  <si>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</si>
  <si>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</si>
  <si>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</si>
  <si>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</si>
  <si>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</si>
  <si>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</si>
  <si>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</si>
  <si>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</si>
  <si>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</si>
  <si>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</si>
  <si>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</si>
  <si>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</si>
  <si>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</si>
  <si>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</si>
  <si>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</si>
  <si>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</si>
  <si>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</si>
  <si>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</si>
  <si>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</si>
  <si>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</si>
  <si>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</si>
  <si>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</si>
  <si>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</si>
  <si>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</si>
  <si>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</si>
  <si>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</si>
  <si>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</si>
  <si>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</si>
  <si>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</si>
  <si>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</si>
  <si>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</si>
  <si>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</si>
  <si>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</si>
  <si>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</si>
  <si>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</si>
  <si>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</si>
  <si>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</si>
  <si>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</si>
  <si>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</si>
  <si>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</si>
  <si>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</si>
  <si>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</si>
  <si>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</si>
  <si>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</si>
  <si>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</si>
  <si>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</si>
  <si>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</si>
  <si>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</si>
  <si>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</si>
  <si>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</si>
  <si>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</si>
  <si>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</si>
  <si>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</si>
  <si>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</si>
  <si>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</si>
  <si>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</si>
  <si>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</si>
  <si>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</si>
  <si>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</si>
  <si>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</si>
  <si>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</si>
  <si>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</si>
  <si>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</si>
  <si>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</si>
  <si>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</si>
  <si>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</si>
  <si>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</si>
  <si>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</si>
  <si>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</si>
  <si>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</si>
  <si>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</si>
  <si>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</si>
  <si>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</si>
  <si>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</si>
  <si>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</si>
  <si>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</si>
  <si>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</si>
  <si>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</si>
  <si>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</si>
  <si>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 xml:space="preserve">fill='#FF33FF'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</si>
  <si>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</si>
  <si>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</si>
  <si>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</si>
  <si>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</si>
  <si>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</si>
  <si>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</si>
  <si>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</si>
  <si>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</si>
  <si>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</si>
  <si>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</si>
  <si>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</si>
  <si>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</si>
  <si>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</si>
  <si>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</si>
  <si>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</si>
  <si>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</si>
  <si>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</si>
  <si>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</si>
  <si>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</si>
  <si>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</si>
  <si>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</si>
  <si>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</si>
  <si>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</si>
  <si>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</si>
  <si>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</si>
  <si>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</si>
  <si>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</si>
  <si>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</si>
  <si>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</si>
  <si>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</si>
  <si>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</si>
  <si>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</si>
  <si>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</si>
  <si>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</si>
  <si>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</si>
  <si>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</si>
  <si>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</si>
  <si>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</si>
  <si>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</si>
  <si>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</si>
  <si>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</si>
  <si>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</si>
  <si>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</si>
  <si>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</si>
  <si>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</si>
  <si>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</si>
  <si>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</si>
  <si>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</si>
  <si>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</si>
  <si>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</si>
  <si>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</si>
  <si>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</si>
  <si>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</si>
  <si>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</si>
  <si>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</si>
  <si>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</si>
  <si>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</si>
  <si>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</si>
  <si>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</si>
  <si>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</si>
  <si>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</si>
  <si>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</si>
  <si>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</si>
  <si>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</si>
  <si>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</si>
  <si>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</si>
  <si>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</si>
  <si>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</si>
  <si>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</si>
  <si>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</si>
  <si>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</si>
  <si>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</si>
  <si>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</si>
  <si>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</si>
  <si>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</si>
  <si>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</si>
  <si>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</si>
  <si>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</si>
  <si>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</si>
  <si>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</si>
  <si>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</si>
  <si>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</si>
  <si>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</si>
  <si>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</si>
  <si>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</si>
  <si>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</si>
  <si>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</si>
  <si>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</si>
  <si>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</si>
  <si>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</si>
  <si>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</si>
  <si>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</si>
  <si>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</si>
  <si>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</si>
  <si>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</si>
  <si>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</si>
  <si>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</si>
  <si>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</si>
  <si>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</si>
  <si>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</si>
  <si>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</si>
  <si>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</si>
  <si>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</si>
  <si>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</si>
  <si>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</si>
  <si>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</si>
  <si>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</si>
  <si>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</si>
  <si>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</si>
  <si>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</si>
  <si>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</si>
  <si>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</si>
  <si>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</si>
  <si>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</si>
  <si>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</si>
  <si>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</si>
  <si>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</si>
  <si>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</si>
  <si>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</si>
  <si>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</si>
  <si>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</si>
  <si>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</si>
  <si>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</si>
  <si>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</si>
  <si>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</si>
  <si>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</si>
  <si>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</si>
  <si>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</si>
  <si>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</si>
  <si>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</si>
  <si>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</si>
  <si>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</si>
  <si>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</si>
  <si>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</si>
  <si>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</si>
  <si>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</si>
  <si>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</si>
  <si>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</si>
  <si>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</si>
  <si>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</si>
  <si>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</si>
  <si>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</si>
  <si>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</si>
  <si>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</si>
  <si>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</si>
  <si>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</si>
  <si>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</si>
  <si>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</si>
  <si>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</si>
  <si>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</si>
  <si>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</si>
  <si>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</si>
  <si>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</si>
  <si>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</si>
  <si>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</si>
  <si>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</si>
  <si>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</si>
  <si>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</si>
  <si>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</si>
  <si>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</si>
  <si>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</si>
  <si>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</si>
  <si>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</si>
  <si>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</si>
  <si>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</si>
  <si>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</si>
  <si>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</si>
  <si>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</si>
  <si>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</si>
  <si>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</si>
  <si>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</si>
  <si>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</si>
  <si>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</si>
  <si>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</si>
  <si>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</si>
  <si>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</si>
  <si>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</si>
  <si>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</si>
  <si>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</si>
  <si>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</si>
  <si>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</si>
  <si>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</si>
  <si>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</si>
  <si>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</si>
  <si>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</si>
  <si>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</si>
  <si>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</si>
  <si>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</si>
  <si>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</si>
  <si>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</si>
  <si>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</si>
  <si>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</si>
  <si>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</si>
  <si>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</si>
  <si>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</si>
  <si>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</si>
  <si>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</si>
  <si>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</si>
  <si>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</si>
  <si>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</si>
  <si>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</si>
  <si>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</si>
  <si>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</si>
  <si>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</si>
  <si>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</si>
  <si>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</si>
  <si>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</si>
  <si>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</si>
  <si>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</si>
  <si>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</si>
  <si>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</si>
  <si>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</si>
  <si>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</si>
  <si>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</si>
  <si>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</si>
  <si>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</si>
  <si>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</si>
  <si>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</si>
  <si>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</si>
  <si>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</si>
  <si>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</si>
  <si>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</si>
  <si>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</si>
  <si>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</si>
  <si>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</si>
  <si>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</si>
  <si>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</si>
  <si>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</si>
  <si>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</si>
  <si>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</si>
  <si>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</si>
  <si>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</si>
  <si>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</si>
  <si>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</si>
  <si>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</si>
  <si>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</si>
  <si>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</si>
  <si>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</si>
  <si>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</si>
  <si>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</si>
  <si>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</si>
  <si>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</si>
  <si>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</si>
  <si>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</si>
  <si>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</si>
  <si>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</si>
  <si>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</si>
  <si>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</si>
  <si>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</si>
  <si>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</si>
  <si>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</si>
  <si>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</si>
  <si>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</si>
  <si>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</si>
  <si>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</si>
  <si>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</si>
  <si>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</si>
  <si>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</si>
  <si>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</si>
  <si>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</si>
  <si>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</si>
  <si>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</si>
  <si>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</si>
  <si>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</si>
  <si>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</si>
  <si>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</si>
  <si>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</si>
  <si>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</si>
  <si>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</si>
  <si>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</si>
  <si>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</si>
  <si>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</si>
  <si>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</si>
  <si>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</si>
  <si>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</si>
  <si>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</si>
  <si>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</si>
  <si>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</si>
  <si>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</si>
  <si>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</si>
  <si>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</si>
  <si>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</si>
  <si>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</si>
  <si>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</si>
  <si>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</si>
  <si>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</si>
  <si>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</si>
  <si>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</si>
  <si>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</si>
  <si>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</si>
  <si>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</si>
  <si>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</si>
  <si>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</si>
  <si>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</si>
  <si>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</si>
  <si>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</si>
  <si>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</si>
  <si>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</si>
  <si>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</si>
  <si>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</si>
  <si>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</si>
  <si>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</si>
  <si>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</si>
  <si>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</si>
  <si>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</si>
  <si>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</si>
  <si>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</si>
  <si>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</si>
  <si>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</si>
  <si>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</si>
  <si>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</si>
  <si>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</si>
  <si>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</si>
  <si>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</si>
  <si>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</si>
  <si>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</si>
  <si>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</si>
  <si>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</si>
  <si>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</si>
  <si>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</si>
  <si>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</si>
  <si>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</si>
  <si>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</si>
  <si>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</si>
  <si>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</si>
  <si>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</si>
  <si>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</si>
  <si>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</si>
  <si>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</si>
  <si>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</si>
  <si>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</si>
  <si>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</si>
  <si>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</si>
  <si>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</si>
  <si>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</si>
  <si>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</si>
  <si>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</si>
  <si>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</si>
  <si>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</si>
  <si>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</si>
  <si>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</si>
  <si>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</si>
  <si>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</si>
  <si>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</si>
  <si>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</si>
  <si>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</si>
  <si>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</si>
  <si>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</si>
  <si>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</si>
  <si>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</si>
  <si>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</si>
  <si>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</si>
  <si>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</si>
  <si>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</si>
  <si>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</si>
  <si>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</si>
  <si>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</si>
  <si>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</si>
  <si>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</si>
  <si>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</si>
  <si>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</si>
  <si>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</si>
  <si>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</si>
  <si>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</si>
  <si>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</si>
  <si>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</si>
  <si>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</si>
  <si>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</si>
  <si>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</si>
  <si>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</si>
  <si>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</si>
  <si>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</si>
  <si>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</si>
  <si>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</si>
  <si>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</si>
  <si>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</si>
  <si>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</si>
  <si>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</si>
  <si>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</si>
  <si>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</si>
  <si>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</si>
  <si>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</si>
  <si>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</si>
  <si>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</si>
  <si>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</si>
  <si>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</si>
  <si>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</si>
  <si>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</si>
  <si>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</si>
  <si>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</si>
  <si>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</si>
  <si>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</si>
  <si>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</si>
  <si>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</si>
  <si>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</si>
  <si>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</si>
  <si>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</si>
  <si>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</si>
  <si>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</si>
  <si>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</si>
  <si>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</si>
  <si>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</si>
  <si>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</si>
  <si>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</si>
  <si>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</si>
  <si>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</si>
  <si>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</si>
  <si>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</si>
  <si>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</si>
  <si>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</si>
  <si>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</si>
  <si>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</si>
  <si>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</si>
  <si>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</si>
  <si>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</si>
  <si>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</si>
  <si>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</si>
  <si>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</si>
  <si>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</si>
  <si>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</si>
  <si>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</si>
  <si>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</si>
  <si>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</si>
  <si>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</si>
  <si>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</si>
  <si>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</si>
  <si>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</si>
  <si>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</si>
  <si>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</si>
  <si>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</si>
  <si>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</si>
  <si>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</si>
  <si>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</si>
  <si>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</si>
  <si>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</si>
  <si>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</si>
  <si>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</si>
  <si>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</si>
  <si>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</si>
  <si>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</si>
  <si>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</si>
  <si>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</si>
  <si>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</si>
  <si>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</si>
  <si>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</si>
  <si>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</si>
  <si>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</si>
  <si>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</si>
  <si>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</si>
  <si>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</si>
  <si>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</si>
  <si>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</si>
  <si>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</si>
  <si>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</si>
  <si>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</si>
  <si>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</si>
  <si>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</si>
  <si>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</si>
  <si>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</si>
  <si>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</si>
  <si>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</si>
  <si>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</si>
  <si>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</si>
  <si>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</si>
  <si>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</si>
  <si>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</si>
  <si>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</si>
  <si>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</si>
  <si>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</si>
  <si>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</si>
  <si>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</si>
  <si>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</si>
  <si>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</si>
  <si>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</si>
  <si>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</si>
  <si>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</si>
  <si>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</si>
  <si>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</si>
  <si>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</si>
  <si>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</si>
  <si>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</si>
  <si>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</si>
  <si>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</si>
  <si>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</si>
  <si>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</si>
  <si>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</si>
  <si>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</si>
  <si>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</si>
  <si>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</si>
  <si>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</si>
  <si>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</si>
  <si>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</si>
  <si>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</si>
  <si>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</si>
  <si>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</si>
  <si>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</si>
  <si>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</si>
  <si>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</si>
  <si>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</si>
  <si>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</si>
  <si>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</si>
  <si>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</si>
  <si>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</si>
  <si>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</si>
  <si>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</si>
  <si>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</si>
  <si>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</si>
  <si>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</si>
  <si>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</si>
  <si>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</si>
  <si>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</si>
  <si>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</si>
  <si>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</si>
  <si>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</si>
  <si>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</si>
  <si>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</si>
  <si>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</si>
  <si>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</si>
  <si>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</si>
  <si>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</si>
  <si>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</si>
  <si>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</si>
  <si>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</si>
  <si>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</si>
  <si>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</si>
  <si>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</si>
  <si>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</si>
  <si>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</si>
  <si>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</si>
  <si>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</si>
  <si>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</si>
  <si>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</si>
  <si>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</si>
  <si>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</si>
  <si>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</si>
  <si>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</si>
  <si>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</si>
  <si>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</si>
  <si>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</si>
  <si>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</si>
  <si>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</si>
  <si>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</si>
  <si>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</si>
  <si>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</si>
  <si>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</si>
  <si>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</si>
  <si>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</si>
  <si>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</si>
  <si>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</si>
  <si>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</si>
  <si>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</si>
  <si>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</si>
  <si>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</si>
  <si>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</si>
  <si>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</si>
  <si>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</si>
  <si>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</si>
  <si>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</si>
  <si>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</si>
  <si>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</si>
  <si>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</si>
  <si>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</si>
  <si>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</si>
  <si>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</si>
  <si>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</si>
  <si>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</si>
  <si>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</si>
  <si>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</si>
  <si>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</si>
  <si>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</si>
  <si>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</si>
  <si>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</si>
  <si>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</si>
  <si>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</si>
  <si>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</si>
  <si>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</si>
  <si>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</si>
  <si>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</si>
  <si>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</si>
  <si>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</si>
  <si>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</si>
  <si>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</si>
  <si>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</si>
  <si>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</si>
  <si>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</si>
  <si>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</si>
  <si>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</si>
  <si>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</si>
  <si>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</si>
  <si>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</si>
  <si>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</si>
  <si>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</si>
  <si>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</si>
  <si>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</si>
  <si>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</si>
  <si>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</si>
  <si>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</si>
  <si>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</si>
  <si>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</si>
  <si>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</si>
  <si>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</si>
  <si>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</si>
  <si>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</si>
  <si>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</si>
  <si>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</si>
  <si>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</si>
  <si>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</si>
  <si>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</si>
  <si>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</si>
  <si>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</si>
  <si>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</si>
  <si>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</si>
  <si>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</si>
  <si>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</si>
  <si>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</si>
  <si>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</si>
  <si>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</si>
  <si>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</si>
  <si>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</si>
  <si>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</si>
  <si>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</si>
  <si>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</si>
  <si>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</si>
  <si>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</si>
  <si>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</si>
  <si>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</si>
  <si>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</si>
  <si>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</si>
  <si>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</si>
  <si>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</si>
  <si>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</si>
  <si>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</si>
  <si>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</si>
  <si>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</si>
  <si>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</si>
  <si>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</si>
  <si>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</si>
  <si>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</si>
  <si>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</si>
  <si>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</si>
  <si>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</si>
  <si>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</si>
  <si>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</si>
  <si>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</si>
  <si>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</si>
  <si>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</si>
  <si>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</si>
  <si>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</si>
  <si>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</si>
  <si>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</si>
  <si>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</si>
  <si>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</si>
  <si>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</si>
  <si>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</si>
  <si>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</si>
  <si>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</si>
  <si>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</si>
  <si>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</si>
  <si>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</si>
  <si>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</si>
  <si>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</si>
  <si>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</si>
  <si>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</si>
  <si>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</si>
  <si>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</si>
  <si>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</si>
  <si>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</si>
  <si>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</si>
  <si>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</si>
  <si>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</si>
  <si>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</si>
  <si>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</si>
  <si>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</si>
  <si>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</si>
  <si>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</si>
  <si>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</si>
  <si>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</si>
  <si>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</si>
  <si>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</si>
  <si>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</si>
  <si>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</si>
  <si>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</si>
  <si>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</si>
  <si>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</si>
  <si>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</si>
  <si>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</si>
  <si>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</si>
  <si>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</si>
  <si>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</si>
  <si>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</si>
  <si>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</si>
  <si>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</si>
  <si>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</si>
  <si>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</si>
  <si>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</si>
  <si>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</si>
  <si>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</si>
  <si>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</si>
  <si>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</si>
  <si>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</si>
  <si>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</si>
  <si>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</si>
  <si>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</si>
  <si>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</si>
  <si>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</si>
  <si>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</si>
  <si>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</si>
  <si>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</si>
  <si>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</si>
  <si>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</si>
  <si>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</si>
  <si>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</si>
  <si>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</si>
  <si>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</si>
  <si>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</si>
  <si>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</si>
  <si>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</si>
  <si>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</si>
  <si>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</si>
  <si>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</si>
  <si>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</si>
  <si>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</si>
  <si>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</si>
  <si>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</si>
  <si>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</si>
  <si>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</si>
  <si>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</si>
  <si>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</si>
  <si>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</si>
  <si>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</si>
  <si>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</si>
  <si>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</si>
  <si>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</si>
  <si>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</si>
  <si>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</si>
  <si>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</si>
  <si>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</si>
  <si>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</si>
  <si>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</si>
  <si>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EU NZD CNY SGD PKR TRY ETB TND MAD DZD GHS SN CLP PAB VED KPW SYP UZS TMT UYU VND XAG XAU XDR YER ZAR </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</si>
  <si>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</si>
  <si>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</si>
  <si>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</si>
  <si>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</si>
  <si>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</si>
  <si>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</si>
  <si>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</si>
  <si>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</si>
  <si>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</si>
  <si>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</si>
  <si>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</si>
  <si>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</si>
  <si>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</si>
  <si>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</si>
  <si>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</si>
  <si>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</si>
  <si>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</si>
  <si>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</si>
  <si>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</si>
  <si>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</si>
  <si>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</si>
  <si>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</si>
  <si>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</si>
  <si>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</si>
  <si>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</si>
  <si>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</si>
  <si>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</si>
  <si>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</si>
  <si>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</si>
  <si>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</si>
  <si>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The five-leaf pattern of the [flag of Hong Kong](http://en.wikipedia.org/wiki/Flag_of_Hong_Kong), simplified to a pentagon, double-edged like the logo of the [HKMA](http://www.hkma.gov.hk/eng/) = Hong Kong Monetary Authority.</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</si>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</sst>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6">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CI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sheetData>
    <row r="2" spans="2:87">
      <c r="C2" s="4" t="s">
        <v>3</v>
      </c>
      <c r="D2" s="1" cm="1">
        <f t="array" ref="D2" xml:space="preserve"> SQRT(50 - 22*Sqrt5) * 5/4</f>
        <v>1.1225699414489618</v>
      </c>
      <c r="F2" s="4" t="s">
        <v>4</v>
      </c>
      <c r="H2" t="s">
        <v>2</v>
      </c>
      <c r="I2" t="str">
        <f xml:space="preserve"> H2</f>
        <v>USD</v>
      </c>
      <c r="J2" t="str">
        <f xml:space="preserve"> I2</f>
        <v>USD</v>
      </c>
      <c r="L2" t="s">
        <v>794</v>
      </c>
      <c r="M2" t="str">
        <f xml:space="preserve"> L2</f>
        <v>EU</v>
      </c>
      <c r="N2" t="str">
        <f xml:space="preserve"> M2</f>
        <v>EU</v>
      </c>
      <c r="P2" t="s">
        <v>122</v>
      </c>
      <c r="Q2" t="str">
        <f xml:space="preserve"> P2</f>
        <v>NZD</v>
      </c>
      <c r="R2" t="str">
        <f xml:space="preserve"> Q2</f>
        <v>NZD</v>
      </c>
      <c r="T2" t="s">
        <v>133</v>
      </c>
      <c r="U2" t="str">
        <f xml:space="preserve"> T2</f>
        <v>CNY</v>
      </c>
      <c r="V2" t="str">
        <f xml:space="preserve"> U2</f>
        <v>CNY</v>
      </c>
      <c r="X2" t="s">
        <v>136</v>
      </c>
      <c r="Y2" t="str">
        <f xml:space="preserve"> X2</f>
        <v>SGD</v>
      </c>
      <c r="Z2" t="str">
        <f xml:space="preserve"> Y2</f>
        <v>SGD</v>
      </c>
      <c r="AB2" t="s">
        <v>135</v>
      </c>
      <c r="AC2" t="str">
        <f xml:space="preserve"> AB2</f>
        <v>PKR</v>
      </c>
      <c r="AD2" t="str">
        <f xml:space="preserve"> AC2</f>
        <v>PKR</v>
      </c>
      <c r="AF2" t="s">
        <v>134</v>
      </c>
      <c r="AG2" t="str">
        <f xml:space="preserve"> AF2</f>
        <v>TRY</v>
      </c>
      <c r="AH2" t="str">
        <f xml:space="preserve"> AG2</f>
        <v>TRY</v>
      </c>
      <c r="AJ2" t="s">
        <v>1617</v>
      </c>
      <c r="AK2" t="str">
        <f xml:space="preserve"> AJ2</f>
        <v>ETB</v>
      </c>
      <c r="AL2" t="str">
        <f xml:space="preserve"> AK2</f>
        <v>ETB</v>
      </c>
      <c r="AN2" t="s">
        <v>137</v>
      </c>
      <c r="AO2" t="str">
        <f xml:space="preserve"> AN2</f>
        <v>TND</v>
      </c>
      <c r="AP2" t="str">
        <f xml:space="preserve"> AO2</f>
        <v>TND</v>
      </c>
      <c r="AR2" t="s">
        <v>138</v>
      </c>
      <c r="AS2" t="str">
        <f xml:space="preserve"> AR2</f>
        <v>MAD</v>
      </c>
      <c r="AT2" t="str">
        <f xml:space="preserve"> AS2</f>
        <v>MAD</v>
      </c>
      <c r="AV2" t="s">
        <v>1624</v>
      </c>
      <c r="AW2" t="str">
        <f xml:space="preserve"> AV2</f>
        <v>DZD</v>
      </c>
      <c r="AX2" t="str">
        <f xml:space="preserve"> AW2</f>
        <v>DZD</v>
      </c>
      <c r="AZ2" t="s">
        <v>1960</v>
      </c>
      <c r="BA2" t="str">
        <f xml:space="preserve"> AZ2</f>
        <v>GHS</v>
      </c>
      <c r="BB2" t="str">
        <f xml:space="preserve"> BA2</f>
        <v>GHS</v>
      </c>
      <c r="BD2" t="s">
        <v>139</v>
      </c>
      <c r="BE2" t="str">
        <f xml:space="preserve"> BD2</f>
        <v>SN</v>
      </c>
      <c r="BF2" t="str">
        <f xml:space="preserve"> BE2</f>
        <v>SN</v>
      </c>
      <c r="BH2" t="s">
        <v>140</v>
      </c>
      <c r="BI2" t="str">
        <f xml:space="preserve"> BH2</f>
        <v>CLP</v>
      </c>
      <c r="BJ2" t="str">
        <f xml:space="preserve"> BI2</f>
        <v>CLP</v>
      </c>
      <c r="BL2" t="s">
        <v>1708</v>
      </c>
      <c r="BM2" t="str">
        <f xml:space="preserve"> BL2</f>
        <v>PAB</v>
      </c>
      <c r="BN2" t="str">
        <f xml:space="preserve"> BM2</f>
        <v>PAB</v>
      </c>
      <c r="BP2" t="s">
        <v>2310</v>
      </c>
      <c r="BQ2" t="str">
        <f xml:space="preserve"> BP2</f>
        <v>VED</v>
      </c>
      <c r="BR2" t="str">
        <f xml:space="preserve"> BQ2</f>
        <v>VED</v>
      </c>
      <c r="BT2" t="s">
        <v>2269</v>
      </c>
      <c r="BU2" t="str">
        <f xml:space="preserve"> BT2</f>
        <v>KPW</v>
      </c>
      <c r="BV2" t="str">
        <f xml:space="preserve"> BU2</f>
        <v>KPW</v>
      </c>
      <c r="BX2" t="s">
        <v>2311</v>
      </c>
      <c r="BY2" t="str">
        <f xml:space="preserve"> BX2</f>
        <v>SYP</v>
      </c>
      <c r="BZ2" t="str">
        <f xml:space="preserve"> BY2</f>
        <v>SYP</v>
      </c>
      <c r="CB2" t="s">
        <v>2312</v>
      </c>
      <c r="CC2" t="str">
        <f xml:space="preserve"> CB2</f>
        <v>UZS</v>
      </c>
      <c r="CD2" t="str">
        <f xml:space="preserve"> CC2</f>
        <v>UZS</v>
      </c>
      <c r="CI2" t="e">
        <f xml:space="preserve"> NA()</f>
        <v>#N/A</v>
      </c>
    </row>
    <row r="3" spans="2:87">
      <c r="C3" s="4" t="s">
        <v>2086</v>
      </c>
      <c r="D3">
        <f xml:space="preserve"> GoldenRatio</f>
        <v>1.6180339887498949</v>
      </c>
      <c r="F3" s="4" t="s">
        <v>118</v>
      </c>
      <c r="J3" s="26">
        <v>2.25</v>
      </c>
      <c r="K3" s="26"/>
      <c r="N3" s="26">
        <v>1</v>
      </c>
      <c r="O3" s="26"/>
      <c r="P3" s="26"/>
      <c r="R3" s="26">
        <f xml:space="preserve"> $N3</f>
        <v>1</v>
      </c>
      <c r="S3" s="26"/>
      <c r="T3" s="26"/>
      <c r="V3" s="26">
        <f xml:space="preserve"> Star_5_2.AreaMultiplier_Default</f>
        <v>1.6180339887498949</v>
      </c>
      <c r="W3" s="26"/>
      <c r="X3" s="26"/>
      <c r="Z3" s="26">
        <f xml:space="preserve"> $N3</f>
        <v>1</v>
      </c>
      <c r="AA3" s="26"/>
      <c r="AB3" s="26"/>
      <c r="AD3" s="26">
        <f xml:space="preserve"> Star_5_2.AreaMultiplier_Default</f>
        <v>1.6180339887498949</v>
      </c>
      <c r="AE3" s="26"/>
      <c r="AF3" s="26"/>
      <c r="AH3" s="26">
        <f xml:space="preserve"> Star_5_2.AreaMultiplier_Default</f>
        <v>1.6180339887498949</v>
      </c>
      <c r="AI3" s="26"/>
      <c r="AJ3" s="26"/>
      <c r="AL3" s="26">
        <f xml:space="preserve"> $N3</f>
        <v>1</v>
      </c>
      <c r="AM3" s="26"/>
      <c r="AN3" s="26"/>
      <c r="AP3" s="26">
        <f xml:space="preserve"> $N3</f>
        <v>1</v>
      </c>
      <c r="AQ3" s="26"/>
      <c r="AR3" s="26"/>
      <c r="AT3" s="26">
        <f xml:space="preserve"> Star_5_2.AreaMultiplier_Default</f>
        <v>1.6180339887498949</v>
      </c>
      <c r="AU3" s="26"/>
      <c r="AV3" s="26"/>
      <c r="AX3" s="26">
        <f xml:space="preserve"> MODE(Squares.AreaMultiplier)</f>
        <v>0.85</v>
      </c>
      <c r="AY3" s="26"/>
      <c r="AZ3" s="26"/>
      <c r="BB3" s="26">
        <f xml:space="preserve"> Star_5_2.AreaMultiplier_Default</f>
        <v>1.6180339887498949</v>
      </c>
      <c r="BC3" s="26"/>
      <c r="BD3" s="26"/>
      <c r="BF3" s="26">
        <f xml:space="preserve"> Star_5_2.AreaMultiplier_Default</f>
        <v>1.6180339887498949</v>
      </c>
      <c r="BG3" s="26"/>
      <c r="BH3" s="26"/>
      <c r="BJ3" s="26">
        <f xml:space="preserve"> MODE(Squares.AreaMultiplier)</f>
        <v>0.85</v>
      </c>
      <c r="BK3" s="26"/>
      <c r="BL3" s="26"/>
      <c r="BN3" s="26">
        <f xml:space="preserve"> MODE(Squares.AreaMultiplier)</f>
        <v>0.85</v>
      </c>
      <c r="BO3" s="26"/>
      <c r="BP3" s="26"/>
      <c r="BR3" s="26">
        <f xml:space="preserve"> Star_5_2.AreaMultiplier_Default</f>
        <v>1.6180339887498949</v>
      </c>
      <c r="BS3" s="26"/>
      <c r="BT3" s="26"/>
      <c r="BV3" s="26">
        <f xml:space="preserve"> $R3</f>
        <v>1</v>
      </c>
      <c r="BW3" s="26"/>
      <c r="BX3" s="26"/>
      <c r="BZ3" s="26">
        <f xml:space="preserve"> Star_5_2.AreaMultiplier_Default</f>
        <v>1.6180339887498949</v>
      </c>
      <c r="CA3" s="26"/>
      <c r="CB3" s="26"/>
      <c r="CD3" s="26">
        <f xml:space="preserve"> $R3</f>
        <v>1</v>
      </c>
      <c r="CE3" s="26"/>
      <c r="CF3" s="26"/>
      <c r="CG3" s="26"/>
      <c r="CH3" s="26"/>
    </row>
    <row r="4" spans="2:87">
      <c r="C4" s="4" t="s">
        <v>2087</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 + ATAN2(-1, -7)</f>
        <v>1.4288992721907328</v>
      </c>
      <c r="U4">
        <f xml:space="preserve"> T4</f>
        <v>1.4288992721907328</v>
      </c>
      <c r="V4">
        <f xml:space="preserve"> U4</f>
        <v>1.4288992721907328</v>
      </c>
      <c r="X4">
        <f xml:space="preserve"> PI()</f>
        <v>3.1415926535897931</v>
      </c>
      <c r="Y4">
        <f xml:space="preserve"> X4</f>
        <v>3.1415926535897931</v>
      </c>
      <c r="Z4">
        <f xml:space="preserve"> Y4</f>
        <v>3.1415926535897931</v>
      </c>
      <c r="AB4">
        <f xml:space="preserve"> PI() + ATAN2(8, 9)</f>
        <v>3.9857466397029642</v>
      </c>
      <c r="AC4">
        <f xml:space="preserve"> AB4</f>
        <v>3.9857466397029642</v>
      </c>
      <c r="AD4">
        <f xml:space="preserve"> AC4</f>
        <v>3.9857466397029642</v>
      </c>
      <c r="AF4">
        <f xml:space="preserve"> PI() / 2</f>
        <v>1.5707963267948966</v>
      </c>
      <c r="AG4">
        <f xml:space="preserve"> AF4</f>
        <v>1.5707963267948966</v>
      </c>
      <c r="AH4">
        <f xml:space="preserve"> AG4</f>
        <v>1.5707963267948966</v>
      </c>
      <c r="AJ4">
        <f xml:space="preserve"> PI()</f>
        <v>3.1415926535897931</v>
      </c>
      <c r="AK4">
        <f xml:space="preserve"> AJ4</f>
        <v>3.1415926535897931</v>
      </c>
      <c r="AL4">
        <f xml:space="preserve"> AK4</f>
        <v>3.1415926535897931</v>
      </c>
      <c r="AN4">
        <f xml:space="preserve"> PI() / 2</f>
        <v>1.5707963267948966</v>
      </c>
      <c r="AO4">
        <f xml:space="preserve"> AN4</f>
        <v>1.5707963267948966</v>
      </c>
      <c r="AP4">
        <f xml:space="preserve"> AO4</f>
        <v>1.5707963267948966</v>
      </c>
      <c r="AR4">
        <f xml:space="preserve"> PI()</f>
        <v>3.1415926535897931</v>
      </c>
      <c r="AS4">
        <f xml:space="preserve"> AR4</f>
        <v>3.1415926535897931</v>
      </c>
      <c r="AT4">
        <f xml:space="preserve"> AS4</f>
        <v>3.1415926535897931</v>
      </c>
      <c r="AV4">
        <f xml:space="preserve"> - PI() / 2</f>
        <v>-1.5707963267948966</v>
      </c>
      <c r="AW4">
        <f xml:space="preserve"> AV4</f>
        <v>-1.5707963267948966</v>
      </c>
      <c r="AX4">
        <f xml:space="preserve"> AW4</f>
        <v>-1.5707963267948966</v>
      </c>
      <c r="AZ4">
        <f xml:space="preserve"> PI()</f>
        <v>3.1415926535897931</v>
      </c>
      <c r="BA4">
        <f xml:space="preserve"> AZ4</f>
        <v>3.1415926535897931</v>
      </c>
      <c r="BB4">
        <f xml:space="preserve"> BA4</f>
        <v>3.1415926535897931</v>
      </c>
      <c r="BD4">
        <f xml:space="preserve"> PI()</f>
        <v>3.1415926535897931</v>
      </c>
      <c r="BE4">
        <f xml:space="preserve"> BD4</f>
        <v>3.1415926535897931</v>
      </c>
      <c r="BF4">
        <f xml:space="preserve"> BE4</f>
        <v>3.1415926535897931</v>
      </c>
      <c r="BH4">
        <f xml:space="preserve"> PI()</f>
        <v>3.1415926535897931</v>
      </c>
      <c r="BI4">
        <f xml:space="preserve"> BH4</f>
        <v>3.1415926535897931</v>
      </c>
      <c r="BJ4">
        <f xml:space="preserve"> BI4</f>
        <v>3.1415926535897931</v>
      </c>
      <c r="BL4">
        <f xml:space="preserve"> PI()</f>
        <v>3.1415926535897931</v>
      </c>
      <c r="BM4">
        <f xml:space="preserve"> BL4</f>
        <v>3.1415926535897931</v>
      </c>
      <c r="BN4">
        <f xml:space="preserve"> BM4</f>
        <v>3.1415926535897931</v>
      </c>
      <c r="BP4">
        <f xml:space="preserve"> PI()</f>
        <v>3.1415926535897931</v>
      </c>
      <c r="BQ4">
        <f xml:space="preserve"> BP4</f>
        <v>3.1415926535897931</v>
      </c>
      <c r="BR4">
        <f xml:space="preserve"> BQ4</f>
        <v>3.1415926535897931</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row>
    <row r="5" spans="2:87">
      <c r="C5" s="1"/>
      <c r="D5" s="1"/>
      <c r="F5" s="4" t="s">
        <v>142</v>
      </c>
      <c r="H5">
        <v>10</v>
      </c>
      <c r="I5">
        <f xml:space="preserve"> IF(ISNUMBER(H5), H5, "·")</f>
        <v>10</v>
      </c>
      <c r="J5">
        <f xml:space="preserve"> IF(ISNUMBER(I5), I5, "·")</f>
        <v>10</v>
      </c>
      <c r="L5">
        <v>10</v>
      </c>
      <c r="M5">
        <f xml:space="preserve"> IF(ISNUMBER(L5), L5, "·")</f>
        <v>10</v>
      </c>
      <c r="N5">
        <f xml:space="preserve"> IF(ISNUMBER(M5), M5, "·")</f>
        <v>10</v>
      </c>
      <c r="P5">
        <v>5</v>
      </c>
      <c r="Q5">
        <f xml:space="preserve"> IF(ISNUMBER(P5), P5, "·")</f>
        <v>5</v>
      </c>
      <c r="R5">
        <f xml:space="preserve"> IF(ISNUMBER(Q5), Q5, "·")</f>
        <v>5</v>
      </c>
      <c r="T5">
        <v>10</v>
      </c>
      <c r="U5">
        <f xml:space="preserve"> IF(ISNUMBER(T5), T5, "·")</f>
        <v>10</v>
      </c>
      <c r="V5">
        <f xml:space="preserve"> IF(ISNUMBER(U5), U5, "·")</f>
        <v>10</v>
      </c>
      <c r="X5">
        <v>1</v>
      </c>
      <c r="Y5">
        <f xml:space="preserve"> IF(ISNUMBER(X5), X5, "·")</f>
        <v>1</v>
      </c>
      <c r="Z5">
        <f xml:space="preserve"> IF(ISNUMBER(Y5), Y5, "·")</f>
        <v>1</v>
      </c>
      <c r="AB5">
        <v>10</v>
      </c>
      <c r="AC5">
        <f xml:space="preserve"> IF(ISNUMBER(AB5), AB5, "·")</f>
        <v>10</v>
      </c>
      <c r="AD5">
        <f xml:space="preserve"> IF(ISNUMBER(AC5), AC5, "·")</f>
        <v>10</v>
      </c>
      <c r="AF5">
        <v>10</v>
      </c>
      <c r="AG5">
        <f xml:space="preserve"> IF(ISNUMBER(AF5), AF5, "·")</f>
        <v>10</v>
      </c>
      <c r="AH5">
        <f xml:space="preserve"> IF(ISNUMBER(AG5), AG5, "·")</f>
        <v>10</v>
      </c>
      <c r="AJ5">
        <v>4</v>
      </c>
      <c r="AK5">
        <f xml:space="preserve"> IF(ISNUMBER(AJ5), AJ5, "·")</f>
        <v>4</v>
      </c>
      <c r="AL5">
        <f xml:space="preserve"> IF(ISNUMBER(AK5), AK5, "·")</f>
        <v>4</v>
      </c>
      <c r="AN5">
        <v>16</v>
      </c>
      <c r="AO5">
        <f xml:space="preserve"> IF(ISNUMBER(AN5), AN5, "·")</f>
        <v>16</v>
      </c>
      <c r="AP5">
        <f xml:space="preserve"> IF(ISNUMBER(AO5), AO5, "·")</f>
        <v>16</v>
      </c>
      <c r="AR5">
        <v>1</v>
      </c>
      <c r="AS5">
        <f xml:space="preserve"> IF(ISNUMBER(AR5), AR5, "·")</f>
        <v>1</v>
      </c>
      <c r="AT5">
        <f xml:space="preserve"> IF(ISNUMBER(AS5), AS5, "·")</f>
        <v>1</v>
      </c>
      <c r="AV5">
        <v>6</v>
      </c>
      <c r="AW5">
        <f xml:space="preserve"> IF(ISNUMBER(AV5), AV5, "·")</f>
        <v>6</v>
      </c>
      <c r="AX5">
        <f xml:space="preserve"> IF(ISNUMBER(AW5), AW5, "·")</f>
        <v>6</v>
      </c>
      <c r="AZ5">
        <f xml:space="preserve"> Thirds_O</f>
        <v>27</v>
      </c>
      <c r="BA5">
        <f xml:space="preserve"> IF(ISNUMBER(AZ5), AZ5, "·")</f>
        <v>27</v>
      </c>
      <c r="BB5">
        <f xml:space="preserve"> IF(ISNUMBER(BA5), BA5, "·")</f>
        <v>27</v>
      </c>
      <c r="BD5">
        <v>10</v>
      </c>
      <c r="BE5">
        <f xml:space="preserve"> IF(ISNUMBER(BD5), BD5, "·")</f>
        <v>10</v>
      </c>
      <c r="BF5">
        <f xml:space="preserve"> IF(ISNUMBER(BE5), BE5, "·")</f>
        <v>10</v>
      </c>
      <c r="BH5">
        <v>8</v>
      </c>
      <c r="BI5">
        <f xml:space="preserve"> IF(ISNUMBER(BH5), BH5, "·")</f>
        <v>8</v>
      </c>
      <c r="BJ5">
        <f xml:space="preserve"> IF(ISNUMBER(BI5), BI5, "·")</f>
        <v>8</v>
      </c>
      <c r="BL5">
        <v>1</v>
      </c>
      <c r="BM5">
        <f xml:space="preserve"> IF(ISNUMBER(BL5), BL5, "·")</f>
        <v>1</v>
      </c>
      <c r="BN5">
        <f xml:space="preserve"> IF(ISNUMBER(BM5), BM5, "·")</f>
        <v>1</v>
      </c>
      <c r="BP5">
        <f xml:space="preserve"> Thirds_O</f>
        <v>27</v>
      </c>
      <c r="BQ5">
        <f xml:space="preserve"> IF(ISNUMBER(BP5), BP5, "·")</f>
        <v>27</v>
      </c>
      <c r="BR5">
        <f xml:space="preserve"> IF(ISNUMBER(BQ5), BQ5, "·")</f>
        <v>27</v>
      </c>
      <c r="BU5" t="str">
        <f xml:space="preserve"> IF(ISNUMBER(BT5), BT5, "·")</f>
        <v>·</v>
      </c>
      <c r="BV5" t="str">
        <f xml:space="preserve"> IF(ISNUMBER(BU5), BU5, "·")</f>
        <v>·</v>
      </c>
      <c r="BX5">
        <f xml:space="preserve"> Thirds_O</f>
        <v>27</v>
      </c>
      <c r="BY5">
        <f xml:space="preserve"> IF(ISNUMBER(BX5), BX5, "·")</f>
        <v>27</v>
      </c>
      <c r="BZ5">
        <f xml:space="preserve"> IF(ISNUMBER(BY5), BY5, "·")</f>
        <v>27</v>
      </c>
      <c r="CB5">
        <v>3</v>
      </c>
      <c r="CC5">
        <f xml:space="preserve"> IF(ISNUMBER(CB5), CB5, "·")</f>
        <v>3</v>
      </c>
      <c r="CD5">
        <f xml:space="preserve"> IF(ISNUMBER(CC5), CC5, "·")</f>
        <v>3</v>
      </c>
    </row>
    <row r="6" spans="2:87">
      <c r="C6" s="1"/>
      <c r="D6" s="1"/>
      <c r="F6" s="4" t="s">
        <v>149</v>
      </c>
      <c r="H6">
        <v>6</v>
      </c>
      <c r="I6">
        <f t="shared" ref="I6:J7" si="0" xml:space="preserve"> IF(ISNUMBER(H6), H6, "·")</f>
        <v>6</v>
      </c>
      <c r="J6">
        <f t="shared" si="0"/>
        <v>6</v>
      </c>
      <c r="L6">
        <f xml:space="preserve"> _xlfn.SINGLE(Star_5_2.SizeOuter) * 4 / 5</f>
        <v>8</v>
      </c>
      <c r="M6">
        <f t="shared" ref="M6:N7" si="1" xml:space="preserve"> IF(ISNUMBER(L6), L6, "·")</f>
        <v>8</v>
      </c>
      <c r="N6">
        <f t="shared" si="1"/>
        <v>8</v>
      </c>
      <c r="P6">
        <f xml:space="preserve"> _xlfn.SINGLE(Star_5_2.SizeOuter)</f>
        <v>5</v>
      </c>
      <c r="Q6">
        <f t="shared" ref="Q6:R7" si="2" xml:space="preserve"> IF(ISNUMBER(P6), P6, "·")</f>
        <v>5</v>
      </c>
      <c r="R6">
        <f t="shared" si="2"/>
        <v>5</v>
      </c>
      <c r="T6">
        <v>7</v>
      </c>
      <c r="U6">
        <f t="shared" ref="U6:V7" si="3" xml:space="preserve"> IF(ISNUMBER(T6), T6, "·")</f>
        <v>7</v>
      </c>
      <c r="V6">
        <f t="shared" si="3"/>
        <v>7</v>
      </c>
      <c r="X6">
        <f xml:space="preserve"> _xlfn.SINGLE(Star_5_2.SizeOuter)</f>
        <v>1</v>
      </c>
      <c r="Y6">
        <f t="shared" ref="Y6" si="4" xml:space="preserve"> IF(ISNUMBER(X6), X6, "·")</f>
        <v>1</v>
      </c>
      <c r="Z6">
        <f t="shared" ref="Z6" si="5" xml:space="preserve"> IF(ISNUMBER(Y6), Y6, "·")</f>
        <v>1</v>
      </c>
      <c r="AB6">
        <v>7</v>
      </c>
      <c r="AC6">
        <f t="shared" ref="AC6:AD7" si="6" xml:space="preserve"> IF(ISNUMBER(AB6), AB6, "·")</f>
        <v>7</v>
      </c>
      <c r="AD6">
        <f t="shared" si="6"/>
        <v>7</v>
      </c>
      <c r="AF6">
        <v>7</v>
      </c>
      <c r="AG6">
        <f t="shared" ref="AG6:AH7" si="7" xml:space="preserve"> IF(ISNUMBER(AF6), AF6, "·")</f>
        <v>7</v>
      </c>
      <c r="AH6">
        <f t="shared" si="7"/>
        <v>7</v>
      </c>
      <c r="AJ6">
        <f xml:space="preserve"> _xlfn.SINGLE(Star_5_2.SizeOuter)</f>
        <v>4</v>
      </c>
      <c r="AK6">
        <f t="shared" ref="AK6:AL7" si="8" xml:space="preserve"> IF(ISNUMBER(AJ6), AJ6, "·")</f>
        <v>4</v>
      </c>
      <c r="AL6">
        <f t="shared" si="8"/>
        <v>4</v>
      </c>
      <c r="AN6">
        <f xml:space="preserve"> _xlfn.SINGLE(Star_5_2.SizeOuter) * 7 / 8</f>
        <v>14</v>
      </c>
      <c r="AO6">
        <f t="shared" ref="AO6:AP7" si="9" xml:space="preserve"> IF(ISNUMBER(AN6), AN6, "·")</f>
        <v>14</v>
      </c>
      <c r="AP6">
        <f t="shared" si="9"/>
        <v>14</v>
      </c>
      <c r="AS6" t="str">
        <f t="shared" ref="AS6:AT7" si="10" xml:space="preserve"> IF(ISNUMBER(AR6), AR6, "·")</f>
        <v>·</v>
      </c>
      <c r="AT6" t="str">
        <f t="shared" si="10"/>
        <v>·</v>
      </c>
      <c r="AV6">
        <f xml:space="preserve"> _xlfn.SINGLE(Star_5_2.SizeOuter) * CHOOSE(2, (3 + 2*Sqrt5) / 11, (1 + Sqrt5) / 4)</f>
        <v>4.8541019662496847</v>
      </c>
      <c r="AW6">
        <f t="shared" ref="AW6:AX7" si="11" xml:space="preserve"> IF(ISNUMBER(AV6), AV6, "·")</f>
        <v>4.8541019662496847</v>
      </c>
      <c r="AX6">
        <f t="shared" si="11"/>
        <v>4.8541019662496847</v>
      </c>
      <c r="AZ6">
        <f xml:space="preserve"> Thirds_M</f>
        <v>19</v>
      </c>
      <c r="BA6">
        <f t="shared" ref="BA6:BB7" si="12" xml:space="preserve"> IF(ISNUMBER(AZ6), AZ6, "·")</f>
        <v>19</v>
      </c>
      <c r="BB6">
        <f t="shared" si="12"/>
        <v>19</v>
      </c>
      <c r="BD6">
        <v>7</v>
      </c>
      <c r="BE6">
        <f t="shared" ref="BE6:BF7" si="13" xml:space="preserve"> IF(ISNUMBER(BD6), BD6, "·")</f>
        <v>7</v>
      </c>
      <c r="BF6">
        <f t="shared" si="13"/>
        <v>7</v>
      </c>
      <c r="BH6">
        <f xml:space="preserve"> _xlfn.SINGLE(Star_5_2.SizeOuter) * 7 / 8</f>
        <v>7</v>
      </c>
      <c r="BI6">
        <f t="shared" ref="BI6:BJ7" si="14" xml:space="preserve"> IF(ISNUMBER(BH6), BH6, "·")</f>
        <v>7</v>
      </c>
      <c r="BJ6">
        <f t="shared" si="14"/>
        <v>7</v>
      </c>
      <c r="BM6" t="str">
        <f t="shared" ref="BM6:BN7" si="15" xml:space="preserve"> IF(ISNUMBER(BL6), BL6, "·")</f>
        <v>·</v>
      </c>
      <c r="BN6" t="str">
        <f t="shared" si="15"/>
        <v>·</v>
      </c>
      <c r="BP6">
        <f xml:space="preserve"> Thirds_M</f>
        <v>19</v>
      </c>
      <c r="BQ6">
        <f t="shared" ref="BQ6:BR7" si="16" xml:space="preserve"> IF(ISNUMBER(BP6), BP6, "·")</f>
        <v>19</v>
      </c>
      <c r="BR6">
        <f t="shared" si="16"/>
        <v>19</v>
      </c>
      <c r="BU6" t="str">
        <f t="shared" ref="BU6:BU7" si="17" xml:space="preserve"> IF(ISNUMBER(BT6), BT6, "·")</f>
        <v>·</v>
      </c>
      <c r="BV6" t="str">
        <f t="shared" ref="BV6:BV7" si="18" xml:space="preserve"> IF(ISNUMBER(BU6), BU6, "·")</f>
        <v>·</v>
      </c>
      <c r="BX6">
        <f xml:space="preserve"> Thirds_M</f>
        <v>19</v>
      </c>
      <c r="BY6">
        <f t="shared" ref="BY6:BY7" si="19" xml:space="preserve"> IF(ISNUMBER(BX6), BX6, "·")</f>
        <v>19</v>
      </c>
      <c r="BZ6">
        <f t="shared" ref="BZ6:BZ7" si="20" xml:space="preserve"> IF(ISNUMBER(BY6), BY6, "·")</f>
        <v>19</v>
      </c>
      <c r="CB6">
        <v>2</v>
      </c>
      <c r="CC6">
        <f t="shared" ref="CC6:CC7" si="21" xml:space="preserve"> IF(ISNUMBER(CB6), CB6, "·")</f>
        <v>2</v>
      </c>
      <c r="CD6">
        <f t="shared" ref="CD6:CD7" si="22" xml:space="preserve"> IF(ISNUMBER(CC6), CC6, "·")</f>
        <v>2</v>
      </c>
    </row>
    <row r="7" spans="2:87">
      <c r="C7" s="1"/>
      <c r="D7" s="1"/>
      <c r="F7" s="4" t="s">
        <v>141</v>
      </c>
      <c r="I7" t="str">
        <f t="shared" si="0"/>
        <v>·</v>
      </c>
      <c r="J7" t="str">
        <f t="shared" si="0"/>
        <v>·</v>
      </c>
      <c r="L7">
        <f xml:space="preserve"> _xlfn.SINGLE(Star_5_2.SizeMiddle) * 7 / 8</f>
        <v>7</v>
      </c>
      <c r="M7">
        <f t="shared" si="1"/>
        <v>7</v>
      </c>
      <c r="N7">
        <f t="shared" si="1"/>
        <v>7</v>
      </c>
      <c r="P7">
        <f xml:space="preserve"> _xlfn.SINGLE(Star_5_2.SizeMiddle) - 2</f>
        <v>3</v>
      </c>
      <c r="Q7">
        <f t="shared" si="2"/>
        <v>3</v>
      </c>
      <c r="R7">
        <f t="shared" si="2"/>
        <v>3</v>
      </c>
      <c r="U7" t="str">
        <f t="shared" si="3"/>
        <v>·</v>
      </c>
      <c r="V7" t="str">
        <f t="shared" si="3"/>
        <v>·</v>
      </c>
      <c r="Y7" t="str">
        <f t="shared" ref="Y7:Z7" si="23" xml:space="preserve"> IF(ISNUMBER(X7), X7, "·")</f>
        <v>·</v>
      </c>
      <c r="Z7" t="str">
        <f t="shared" si="23"/>
        <v>·</v>
      </c>
      <c r="AC7" t="str">
        <f t="shared" si="6"/>
        <v>·</v>
      </c>
      <c r="AD7" t="str">
        <f t="shared" si="6"/>
        <v>·</v>
      </c>
      <c r="AG7" t="str">
        <f t="shared" si="7"/>
        <v>·</v>
      </c>
      <c r="AH7" t="str">
        <f t="shared" si="7"/>
        <v>·</v>
      </c>
      <c r="AJ7">
        <f xml:space="preserve"> _xlfn.SINGLE(Star_5_2.SizeMiddle) / 2</f>
        <v>2</v>
      </c>
      <c r="AK7">
        <f t="shared" si="8"/>
        <v>2</v>
      </c>
      <c r="AL7">
        <f t="shared" si="8"/>
        <v>2</v>
      </c>
      <c r="AN7">
        <f xml:space="preserve"> _xlfn.SINGLE(Star_5_2.SizeMiddle) * 1.5 - _xlfn.SINGLE(Star_5_2.SizeOuter) * 0.5</f>
        <v>13</v>
      </c>
      <c r="AO7">
        <f t="shared" si="9"/>
        <v>13</v>
      </c>
      <c r="AP7">
        <f t="shared" si="9"/>
        <v>13</v>
      </c>
      <c r="AS7" t="str">
        <f t="shared" si="10"/>
        <v>·</v>
      </c>
      <c r="AT7" t="str">
        <f t="shared" si="10"/>
        <v>·</v>
      </c>
      <c r="AV7">
        <f xml:space="preserve"> _xlfn.SINGLE(Star_5_2.SizeOuter) * CHOOSE(2, (7 + Sqrt5) / 11, 1)</f>
        <v>6</v>
      </c>
      <c r="AW7">
        <f t="shared" si="11"/>
        <v>6</v>
      </c>
      <c r="AX7">
        <f t="shared" si="11"/>
        <v>6</v>
      </c>
      <c r="AZ7">
        <f xml:space="preserve"> Thirds_I</f>
        <v>10</v>
      </c>
      <c r="BA7">
        <f t="shared" si="12"/>
        <v>10</v>
      </c>
      <c r="BB7">
        <f t="shared" si="12"/>
        <v>10</v>
      </c>
      <c r="BE7" t="str">
        <f t="shared" si="13"/>
        <v>·</v>
      </c>
      <c r="BF7" t="str">
        <f t="shared" si="13"/>
        <v>·</v>
      </c>
      <c r="BH7">
        <f xml:space="preserve"> _xlfn.SINGLE(Star_5_2.SizeMiddle)</f>
        <v>7</v>
      </c>
      <c r="BI7">
        <f t="shared" si="14"/>
        <v>7</v>
      </c>
      <c r="BJ7">
        <f t="shared" si="14"/>
        <v>7</v>
      </c>
      <c r="BL7">
        <f xml:space="preserve"> _xlfn.SINGLE(Star_5_2.SizeOuter)</f>
        <v>1</v>
      </c>
      <c r="BM7">
        <f t="shared" si="15"/>
        <v>1</v>
      </c>
      <c r="BN7">
        <f t="shared" si="15"/>
        <v>1</v>
      </c>
      <c r="BP7">
        <f xml:space="preserve"> Thirds_I</f>
        <v>10</v>
      </c>
      <c r="BQ7">
        <f t="shared" si="16"/>
        <v>10</v>
      </c>
      <c r="BR7">
        <f t="shared" si="16"/>
        <v>10</v>
      </c>
      <c r="BT7">
        <f xml:space="preserve"> 31</f>
        <v>31</v>
      </c>
      <c r="BU7">
        <f t="shared" si="17"/>
        <v>31</v>
      </c>
      <c r="BV7">
        <f t="shared" si="18"/>
        <v>31</v>
      </c>
      <c r="BX7">
        <f xml:space="preserve"> Thirds_I</f>
        <v>10</v>
      </c>
      <c r="BY7">
        <f t="shared" si="19"/>
        <v>10</v>
      </c>
      <c r="BZ7">
        <f t="shared" si="20"/>
        <v>10</v>
      </c>
      <c r="CB7">
        <f xml:space="preserve"> 6 * SQRT( 2 * (57 - 5*SQRT(5)) / 781)</f>
        <v>2.0552594934157065</v>
      </c>
      <c r="CC7">
        <f t="shared" si="21"/>
        <v>2.0552594934157065</v>
      </c>
      <c r="CD7">
        <f t="shared" si="22"/>
        <v>2.0552594934157065</v>
      </c>
    </row>
    <row r="8" spans="2:87">
      <c r="C8" s="1"/>
      <c r="D8" s="1"/>
      <c r="F8" s="4" t="s">
        <v>1774</v>
      </c>
      <c r="H8">
        <f xml:space="preserve"> _xlfn.SINGLE(Star_5_2.SizeOuter)</f>
        <v>10</v>
      </c>
      <c r="I8">
        <f xml:space="preserve"> H8</f>
        <v>10</v>
      </c>
      <c r="J8">
        <f xml:space="preserve"> H8</f>
        <v>10</v>
      </c>
      <c r="L8">
        <f xml:space="preserve"> _xlfn.SINGLE(Star_5_2.SizeInner)</f>
        <v>7</v>
      </c>
      <c r="M8">
        <f xml:space="preserve"> L8</f>
        <v>7</v>
      </c>
      <c r="N8">
        <f xml:space="preserve"> L8</f>
        <v>7</v>
      </c>
      <c r="P8">
        <f xml:space="preserve"> _xlfn.SINGLE(Star_5_2.SizeMiddle)</f>
        <v>5</v>
      </c>
      <c r="Q8">
        <f xml:space="preserve"> P8</f>
        <v>5</v>
      </c>
      <c r="R8">
        <f xml:space="preserve"> P8</f>
        <v>5</v>
      </c>
      <c r="T8">
        <f xml:space="preserve"> _xlfn.SINGLE(Star_5_2.SizeOuter)</f>
        <v>10</v>
      </c>
      <c r="U8">
        <f xml:space="preserve"> T8</f>
        <v>10</v>
      </c>
      <c r="V8">
        <f xml:space="preserve"> T8</f>
        <v>10</v>
      </c>
      <c r="X8">
        <f xml:space="preserve"> _xlfn.SINGLE(Star_5_2.SizeOuter)</f>
        <v>1</v>
      </c>
      <c r="Y8">
        <f xml:space="preserve"> X8</f>
        <v>1</v>
      </c>
      <c r="Z8">
        <f xml:space="preserve"> X8</f>
        <v>1</v>
      </c>
      <c r="AB8">
        <f xml:space="preserve"> _xlfn.SINGLE(Star_5_2.SizeOuter)</f>
        <v>10</v>
      </c>
      <c r="AC8">
        <f xml:space="preserve"> AB8</f>
        <v>10</v>
      </c>
      <c r="AD8">
        <f xml:space="preserve"> AB8</f>
        <v>10</v>
      </c>
      <c r="AF8">
        <f xml:space="preserve"> _xlfn.SINGLE(Star_5_2.SizeOuter)</f>
        <v>10</v>
      </c>
      <c r="AG8">
        <f xml:space="preserve"> AF8</f>
        <v>10</v>
      </c>
      <c r="AH8">
        <f xml:space="preserve"> AF8</f>
        <v>10</v>
      </c>
      <c r="AJ8">
        <f xml:space="preserve"> _xlfn.SINGLE(Star_5_2.SizeMiddle)</f>
        <v>4</v>
      </c>
      <c r="AK8">
        <f xml:space="preserve"> AJ8</f>
        <v>4</v>
      </c>
      <c r="AL8">
        <f xml:space="preserve"> AJ8</f>
        <v>4</v>
      </c>
      <c r="AN8">
        <f xml:space="preserve"> _xlfn.SINGLE(Star_5_2.SizeInner)</f>
        <v>13</v>
      </c>
      <c r="AO8">
        <f xml:space="preserve"> AN8</f>
        <v>13</v>
      </c>
      <c r="AP8">
        <f xml:space="preserve"> AN8</f>
        <v>13</v>
      </c>
      <c r="AR8">
        <f xml:space="preserve"> _xlfn.SINGLE(Star_5_2.SizeOuter)</f>
        <v>1</v>
      </c>
      <c r="AS8">
        <f xml:space="preserve"> AR8</f>
        <v>1</v>
      </c>
      <c r="AT8">
        <f xml:space="preserve"> AR8</f>
        <v>1</v>
      </c>
      <c r="AV8">
        <f xml:space="preserve"> _xlfn.SINGLE(Star_5_2.SizeOuter)</f>
        <v>6</v>
      </c>
      <c r="AW8">
        <f xml:space="preserve"> AV8</f>
        <v>6</v>
      </c>
      <c r="AX8">
        <f xml:space="preserve"> AV8</f>
        <v>6</v>
      </c>
      <c r="AZ8">
        <f xml:space="preserve"> _xlfn.SINGLE(Star_5_2.SizeOuter)</f>
        <v>27</v>
      </c>
      <c r="BA8">
        <f xml:space="preserve"> AZ8</f>
        <v>27</v>
      </c>
      <c r="BB8">
        <f xml:space="preserve"> AZ8</f>
        <v>27</v>
      </c>
      <c r="BD8">
        <f xml:space="preserve"> _xlfn.SINGLE(Star_5_2.SizeOuter)</f>
        <v>10</v>
      </c>
      <c r="BE8">
        <f xml:space="preserve"> BD8</f>
        <v>10</v>
      </c>
      <c r="BF8">
        <f xml:space="preserve"> BD8</f>
        <v>10</v>
      </c>
      <c r="BH8">
        <f xml:space="preserve"> _xlfn.SINGLE(Star_5_2.SizeInner)</f>
        <v>7</v>
      </c>
      <c r="BI8">
        <f xml:space="preserve"> BH8</f>
        <v>7</v>
      </c>
      <c r="BJ8">
        <f xml:space="preserve"> BH8</f>
        <v>7</v>
      </c>
      <c r="BL8">
        <f xml:space="preserve"> _xlfn.SINGLE(Star_5_2.SizeOuter)</f>
        <v>1</v>
      </c>
      <c r="BM8">
        <f xml:space="preserve"> BL8</f>
        <v>1</v>
      </c>
      <c r="BN8">
        <f xml:space="preserve"> BL8</f>
        <v>1</v>
      </c>
      <c r="BP8">
        <f xml:space="preserve"> _xlfn.SINGLE(Star_5_2.SizeOuter)</f>
        <v>27</v>
      </c>
      <c r="BQ8">
        <f xml:space="preserve"> BP8</f>
        <v>27</v>
      </c>
      <c r="BR8">
        <f xml:space="preserve"> BP8</f>
        <v>27</v>
      </c>
      <c r="BT8">
        <f xml:space="preserve"> _xlfn.SINGLE(Star_5_2.SizeInner)</f>
        <v>31</v>
      </c>
      <c r="BU8">
        <f xml:space="preserve"> BT8</f>
        <v>31</v>
      </c>
      <c r="BV8">
        <f xml:space="preserve"> BT8</f>
        <v>31</v>
      </c>
      <c r="BX8">
        <f xml:space="preserve"> _xlfn.SINGLE(Star_5_2.SizeOuter)</f>
        <v>27</v>
      </c>
      <c r="BY8">
        <f xml:space="preserve"> BX8</f>
        <v>27</v>
      </c>
      <c r="BZ8">
        <f xml:space="preserve"> BX8</f>
        <v>27</v>
      </c>
      <c r="CB8">
        <f xml:space="preserve"> _xlfn.SINGLE(Star_5_2.SizeInner)</f>
        <v>2.0552594934157065</v>
      </c>
      <c r="CC8">
        <f xml:space="preserve"> CB8</f>
        <v>2.0552594934157065</v>
      </c>
      <c r="CD8">
        <f xml:space="preserve"> CB8</f>
        <v>2.0552594934157065</v>
      </c>
    </row>
    <row r="9" spans="2:87">
      <c r="F9" s="4" t="s">
        <v>124</v>
      </c>
      <c r="I9" s="5"/>
      <c r="J9" s="5" t="s">
        <v>726</v>
      </c>
      <c r="M9" s="5"/>
      <c r="N9" s="5" t="s">
        <v>1703</v>
      </c>
      <c r="Q9" s="5"/>
      <c r="R9" s="5" t="s">
        <v>1472</v>
      </c>
      <c r="U9" s="5"/>
      <c r="V9" s="5" t="s">
        <v>782</v>
      </c>
      <c r="Y9" s="5"/>
      <c r="Z9" s="5" t="s">
        <v>783</v>
      </c>
      <c r="AC9" s="5"/>
      <c r="AD9" s="5" t="s">
        <v>784</v>
      </c>
      <c r="AG9" s="5"/>
      <c r="AH9" s="5" t="s">
        <v>785</v>
      </c>
      <c r="AK9" s="5"/>
      <c r="AL9" s="5" t="s">
        <v>1618</v>
      </c>
      <c r="AO9" s="5"/>
      <c r="AP9" s="5" t="s">
        <v>787</v>
      </c>
      <c r="AS9" s="5"/>
      <c r="AT9" s="5" t="s">
        <v>788</v>
      </c>
      <c r="AW9" s="5"/>
      <c r="AX9" s="5" t="s">
        <v>1625</v>
      </c>
      <c r="BA9" s="5"/>
      <c r="BB9" s="5" t="s">
        <v>726</v>
      </c>
      <c r="BE9" s="21"/>
      <c r="BF9" s="21" t="s">
        <v>1062</v>
      </c>
      <c r="BI9" s="5"/>
      <c r="BJ9" s="5" t="s">
        <v>1827</v>
      </c>
      <c r="BM9" s="5"/>
      <c r="BN9" s="5" t="s">
        <v>1698</v>
      </c>
      <c r="BQ9" s="5"/>
      <c r="BR9" s="5" t="s">
        <v>717</v>
      </c>
      <c r="BS9" s="5"/>
      <c r="BU9" s="5"/>
      <c r="BV9" s="5" t="s">
        <v>2267</v>
      </c>
      <c r="BW9" s="5"/>
      <c r="BY9" s="5"/>
      <c r="BZ9" s="5" t="s">
        <v>1667</v>
      </c>
      <c r="CA9" s="5"/>
      <c r="CC9" s="5"/>
      <c r="CD9" s="5" t="s">
        <v>2313</v>
      </c>
      <c r="CE9" s="5"/>
      <c r="CF9" s="5"/>
      <c r="CG9" s="5"/>
      <c r="CH9" s="5"/>
    </row>
    <row r="10" spans="2:87">
      <c r="F10" s="4" t="s">
        <v>150</v>
      </c>
      <c r="I10" s="5"/>
      <c r="J10" s="5" t="s">
        <v>2088</v>
      </c>
      <c r="M10" s="5"/>
      <c r="N10" s="5" t="s">
        <v>2088</v>
      </c>
      <c r="Q10" s="5"/>
      <c r="R10" s="5" t="s">
        <v>2088</v>
      </c>
      <c r="U10" s="5"/>
      <c r="V10" s="5" t="s">
        <v>786</v>
      </c>
      <c r="Y10" s="5"/>
      <c r="Z10" s="5" t="s">
        <v>2088</v>
      </c>
      <c r="AC10" s="5"/>
      <c r="AD10" s="5" t="s">
        <v>2088</v>
      </c>
      <c r="AG10" s="5"/>
      <c r="AH10" s="5" t="s">
        <v>2088</v>
      </c>
      <c r="AK10" s="5"/>
      <c r="AL10" s="5" t="s">
        <v>1619</v>
      </c>
      <c r="AO10" s="5"/>
      <c r="AP10" s="5" t="s">
        <v>2088</v>
      </c>
      <c r="AS10" s="5"/>
      <c r="AT10" s="5"/>
      <c r="AW10" s="5"/>
      <c r="AX10" s="5" t="s">
        <v>2088</v>
      </c>
      <c r="BA10" s="5"/>
      <c r="BB10" s="5" t="s">
        <v>722</v>
      </c>
      <c r="BE10" s="21"/>
      <c r="BF10" s="21" t="s">
        <v>1063</v>
      </c>
      <c r="BI10" s="5"/>
      <c r="BJ10" s="5" t="s">
        <v>2088</v>
      </c>
      <c r="BM10" s="5"/>
      <c r="BN10" s="5"/>
      <c r="BQ10" s="5"/>
      <c r="BR10" s="5" t="s">
        <v>721</v>
      </c>
      <c r="BS10" s="5"/>
      <c r="BU10" s="5"/>
      <c r="BV10" s="5" t="s">
        <v>2268</v>
      </c>
      <c r="BW10" s="5"/>
      <c r="BY10" s="5"/>
      <c r="BZ10" s="5" t="s">
        <v>2088</v>
      </c>
      <c r="CA10" s="5"/>
      <c r="CC10" s="5"/>
      <c r="CD10" s="5" t="s">
        <v>2088</v>
      </c>
      <c r="CE10" s="5"/>
      <c r="CF10" s="5"/>
      <c r="CG10" s="5"/>
      <c r="CH10" s="5"/>
    </row>
    <row r="11" spans="2:87">
      <c r="F11" s="4" t="s">
        <v>125</v>
      </c>
      <c r="I11" s="5"/>
      <c r="J11" s="5"/>
      <c r="M11" s="5"/>
      <c r="N11" s="5" t="str">
        <f xml:space="preserve"> _xlfn.SINGLE(Star_5_2.SVG_painting_Outer)</f>
        <v xml:space="preserve">fill='#FF33FF' </v>
      </c>
      <c r="Q11" s="5"/>
      <c r="R11" s="5" t="s">
        <v>728</v>
      </c>
      <c r="U11" s="5"/>
      <c r="V11" s="5"/>
      <c r="Y11" s="5"/>
      <c r="Z11" s="5"/>
      <c r="AC11" s="5"/>
      <c r="AD11" s="5"/>
      <c r="AG11" s="5"/>
      <c r="AH11" s="5"/>
      <c r="AK11" s="5"/>
      <c r="AL11" s="5" t="str">
        <f xml:space="preserve"> _xlfn.SINGLE(Star_5_2.SVG_painting_Outer)</f>
        <v>fill='#0F47AF'</v>
      </c>
      <c r="AO11" s="5"/>
      <c r="AP11" s="5" t="str">
        <f xml:space="preserve"> _xlfn.SINGLE(Star_5_2.SVG_painting_Outer)</f>
        <v>fill='#E70013'</v>
      </c>
      <c r="AS11" s="5"/>
      <c r="AT11" s="5" t="s">
        <v>1535</v>
      </c>
      <c r="AW11" s="5"/>
      <c r="AX11" s="5" t="s">
        <v>1626</v>
      </c>
      <c r="BA11" s="5"/>
      <c r="BB11" s="5" t="s">
        <v>726</v>
      </c>
      <c r="BI11" s="5"/>
      <c r="BJ11" s="5" t="s">
        <v>781</v>
      </c>
      <c r="BM11" s="5"/>
      <c r="BN11" s="5" t="s">
        <v>1699</v>
      </c>
      <c r="BQ11" s="5"/>
      <c r="BR11" s="5" t="s">
        <v>789</v>
      </c>
      <c r="BS11" s="5"/>
      <c r="BU11" s="5"/>
      <c r="BV11" s="5" t="s">
        <v>2088</v>
      </c>
      <c r="BW11" s="5"/>
      <c r="BY11" s="5"/>
      <c r="BZ11" s="5" t="s">
        <v>754</v>
      </c>
      <c r="CA11" s="5"/>
      <c r="CC11" s="5"/>
      <c r="CD11" s="5" t="s">
        <v>2314</v>
      </c>
      <c r="CE11" s="5"/>
      <c r="CF11" s="5"/>
      <c r="CG11" s="5"/>
      <c r="CH11" s="5"/>
    </row>
    <row r="12" spans="2:87">
      <c r="B12" t="b">
        <v>1</v>
      </c>
      <c r="F12" s="4" t="s">
        <v>1685</v>
      </c>
      <c r="H12" s="27" t="b">
        <v>1</v>
      </c>
      <c r="I12" t="b">
        <f xml:space="preserve"> H12</f>
        <v>1</v>
      </c>
      <c r="J12" t="b">
        <f xml:space="preserve"> I12</f>
        <v>1</v>
      </c>
      <c r="L12" s="27" t="b">
        <v>0</v>
      </c>
      <c r="M12" t="b">
        <f xml:space="preserve"> L12</f>
        <v>0</v>
      </c>
      <c r="N12" t="b">
        <f xml:space="preserve"> M12</f>
        <v>0</v>
      </c>
      <c r="P12" s="27" t="b">
        <v>1</v>
      </c>
      <c r="Q12" t="b">
        <f xml:space="preserve"> P12</f>
        <v>1</v>
      </c>
      <c r="R12" t="b">
        <f xml:space="preserve"> Q12</f>
        <v>1</v>
      </c>
      <c r="T12" s="27" t="b">
        <v>1</v>
      </c>
      <c r="U12" t="b">
        <f xml:space="preserve"> T12</f>
        <v>1</v>
      </c>
      <c r="V12" t="b">
        <f xml:space="preserve"> U12</f>
        <v>1</v>
      </c>
      <c r="X12" s="27" t="b">
        <v>0</v>
      </c>
      <c r="Y12" t="b">
        <f xml:space="preserve"> X12</f>
        <v>0</v>
      </c>
      <c r="Z12" t="b">
        <f xml:space="preserve"> Y12</f>
        <v>0</v>
      </c>
      <c r="AB12" s="27" t="b">
        <v>1</v>
      </c>
      <c r="AC12" t="b">
        <f xml:space="preserve"> AB12</f>
        <v>1</v>
      </c>
      <c r="AD12" t="b">
        <f xml:space="preserve"> AC12</f>
        <v>1</v>
      </c>
      <c r="AF12" s="27" t="b">
        <v>1</v>
      </c>
      <c r="AG12" t="b">
        <f xml:space="preserve"> AF12</f>
        <v>1</v>
      </c>
      <c r="AH12" t="b">
        <f xml:space="preserve"> AG12</f>
        <v>1</v>
      </c>
      <c r="AJ12" s="27" t="b">
        <v>1</v>
      </c>
      <c r="AK12" t="b">
        <f xml:space="preserve"> AJ12</f>
        <v>1</v>
      </c>
      <c r="AL12" t="b">
        <f xml:space="preserve"> AK12</f>
        <v>1</v>
      </c>
      <c r="AN12" s="27" t="b">
        <v>0</v>
      </c>
      <c r="AO12" t="b">
        <f xml:space="preserve"> AN12</f>
        <v>0</v>
      </c>
      <c r="AP12" t="b">
        <f xml:space="preserve"> AO12</f>
        <v>0</v>
      </c>
      <c r="AR12" s="27" t="b">
        <v>0</v>
      </c>
      <c r="AS12" t="b">
        <f xml:space="preserve"> AR12</f>
        <v>0</v>
      </c>
      <c r="AT12" t="b">
        <f xml:space="preserve"> AS12</f>
        <v>0</v>
      </c>
      <c r="AV12" s="27" t="b">
        <v>0</v>
      </c>
      <c r="AW12" t="b">
        <f xml:space="preserve"> AV12</f>
        <v>0</v>
      </c>
      <c r="AX12" t="b">
        <f xml:space="preserve"> AW12</f>
        <v>0</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1</v>
      </c>
      <c r="BQ12" t="b">
        <f xml:space="preserve"> BP12</f>
        <v>1</v>
      </c>
      <c r="BR12" t="b">
        <f xml:space="preserve"> BQ12</f>
        <v>1</v>
      </c>
      <c r="BT12" s="27" t="b">
        <v>0</v>
      </c>
      <c r="BU12" t="b">
        <f xml:space="preserve"> BT12</f>
        <v>0</v>
      </c>
      <c r="BV12" t="b">
        <f xml:space="preserve"> BU12</f>
        <v>0</v>
      </c>
      <c r="BX12" s="27" t="b">
        <v>1</v>
      </c>
      <c r="BY12" t="b">
        <f xml:space="preserve"> BX12</f>
        <v>1</v>
      </c>
      <c r="BZ12" t="b">
        <f xml:space="preserve"> BY12</f>
        <v>1</v>
      </c>
      <c r="CB12" s="27" t="b">
        <v>0</v>
      </c>
      <c r="CC12" t="b">
        <f xml:space="preserve"> CB12</f>
        <v>0</v>
      </c>
      <c r="CD12" t="b">
        <f xml:space="preserve"> CC12</f>
        <v>0</v>
      </c>
    </row>
    <row r="13" spans="2:87" s="21" customFormat="1">
      <c r="F13" s="4" t="s">
        <v>1538</v>
      </c>
      <c r="H13" s="21">
        <f xml:space="preserve"> DecimalPlaces - INT(LOG(MAX(IFERROR(0+Star_5_2.SizeOuter,0), IFERROR(0+Star_5_2.SizeMiddle,0), IFERROR(0+Star_5_2.SizeInner,0)), 10) + 0.2)</f>
        <v>4</v>
      </c>
      <c r="I13">
        <f t="shared" ref="I13:J13" si="24" xml:space="preserve"> IF(ISNUMBER(H13), H13, "·")</f>
        <v>4</v>
      </c>
      <c r="J13">
        <f t="shared" si="24"/>
        <v>4</v>
      </c>
      <c r="L13" s="21">
        <f xml:space="preserve"> DecimalPlaces - INT(LOG(MAX(IFERROR(0+Star_5_2.SizeOuter,0), IFERROR(0+Star_5_2.SizeMiddle,0), IFERROR(0+Star_5_2.SizeInner,0)), 10) + 0.2)</f>
        <v>4</v>
      </c>
      <c r="M13">
        <f t="shared" ref="M13:N13" si="25" xml:space="preserve"> IF(ISNUMBER(L13), L13, "·")</f>
        <v>4</v>
      </c>
      <c r="N13">
        <f t="shared" si="25"/>
        <v>4</v>
      </c>
      <c r="P13" s="21">
        <f xml:space="preserve"> DecimalPlaces - INT(LOG(MAX(IFERROR(0+Star_5_2.SizeOuter,0), IFERROR(0+Star_5_2.SizeMiddle,0), IFERROR(0+Star_5_2.SizeInner,0)), 10) + 0.2)</f>
        <v>5</v>
      </c>
      <c r="Q13">
        <f t="shared" ref="Q13:R13" si="26" xml:space="preserve"> IF(ISNUMBER(P13), P13, "·")</f>
        <v>5</v>
      </c>
      <c r="R13">
        <f t="shared" si="26"/>
        <v>5</v>
      </c>
      <c r="T13" s="21">
        <f xml:space="preserve"> DecimalPlaces - INT(LOG(MAX(IFERROR(0+Star_5_2.SizeOuter,0), IFERROR(0+Star_5_2.SizeMiddle,0), IFERROR(0+Star_5_2.SizeInner,0)), 10) + 0.2)</f>
        <v>4</v>
      </c>
      <c r="U13">
        <f t="shared" ref="U13:V13" si="27" xml:space="preserve"> IF(ISNUMBER(T13), T13, "·")</f>
        <v>4</v>
      </c>
      <c r="V13">
        <f t="shared" si="27"/>
        <v>4</v>
      </c>
      <c r="X13" s="21">
        <f xml:space="preserve"> DecimalPlaces - INT(LOG(MAX(IFERROR(0+Star_5_2.SizeOuter,0), IFERROR(0+Star_5_2.SizeMiddle,0), IFERROR(0+Star_5_2.SizeInner,0)), 10) + 0.2)</f>
        <v>5</v>
      </c>
      <c r="Y13">
        <f t="shared" ref="Y13:Z13" si="28" xml:space="preserve"> IF(ISNUMBER(X13), X13, "·")</f>
        <v>5</v>
      </c>
      <c r="Z13">
        <f t="shared" si="28"/>
        <v>5</v>
      </c>
      <c r="AB13" s="21">
        <f xml:space="preserve"> DecimalPlaces - INT(LOG(MAX(IFERROR(0+Star_5_2.SizeOuter,0), IFERROR(0+Star_5_2.SizeMiddle,0), IFERROR(0+Star_5_2.SizeInner,0)), 10) + 0.2)</f>
        <v>4</v>
      </c>
      <c r="AC13">
        <f t="shared" ref="AC13:AD13" si="29" xml:space="preserve"> IF(ISNUMBER(AB13), AB13, "·")</f>
        <v>4</v>
      </c>
      <c r="AD13">
        <f t="shared" si="29"/>
        <v>4</v>
      </c>
      <c r="AF13" s="21">
        <f xml:space="preserve"> DecimalPlaces - INT(LOG(MAX(IFERROR(0+Star_5_2.SizeOuter,0), IFERROR(0+Star_5_2.SizeMiddle,0), IFERROR(0+Star_5_2.SizeInner,0)), 10) + 0.2)</f>
        <v>4</v>
      </c>
      <c r="AG13">
        <f t="shared" ref="AG13:AH13" si="30" xml:space="preserve"> IF(ISNUMBER(AF13), AF13, "·")</f>
        <v>4</v>
      </c>
      <c r="AH13">
        <f t="shared" si="30"/>
        <v>4</v>
      </c>
      <c r="AJ13" s="21">
        <f xml:space="preserve"> DecimalPlaces - INT(LOG(MAX(IFERROR(0+Star_5_2.SizeOuter,0), IFERROR(0+Star_5_2.SizeMiddle,0), IFERROR(0+Star_5_2.SizeInner,0)), 10) + 0.2)</f>
        <v>5</v>
      </c>
      <c r="AK13">
        <f t="shared" ref="AK13:AL13" si="31" xml:space="preserve"> IF(ISNUMBER(AJ13), AJ13, "·")</f>
        <v>5</v>
      </c>
      <c r="AL13">
        <f t="shared" si="31"/>
        <v>5</v>
      </c>
      <c r="AN13" s="21">
        <f xml:space="preserve"> DecimalPlaces - INT(LOG(MAX(IFERROR(0+Star_5_2.SizeOuter,0), IFERROR(0+Star_5_2.SizeMiddle,0), IFERROR(0+Star_5_2.SizeInner,0)), 10) + 0.2)</f>
        <v>4</v>
      </c>
      <c r="AO13">
        <f t="shared" ref="AO13:AP13" si="32" xml:space="preserve"> IF(ISNUMBER(AN13), AN13, "·")</f>
        <v>4</v>
      </c>
      <c r="AP13">
        <f t="shared" si="32"/>
        <v>4</v>
      </c>
      <c r="AR13" s="21">
        <f xml:space="preserve"> DecimalPlaces - INT(LOG(MAX(IFERROR(0+Star_5_2.SizeOuter,0), IFERROR(0+Star_5_2.SizeMiddle,0), IFERROR(0+Star_5_2.SizeInner,0)), 10) + 0.2)</f>
        <v>5</v>
      </c>
      <c r="AS13">
        <f t="shared" ref="AS13:AT13" si="33" xml:space="preserve"> IF(ISNUMBER(AR13), AR13, "·")</f>
        <v>5</v>
      </c>
      <c r="AT13">
        <f t="shared" si="33"/>
        <v>5</v>
      </c>
      <c r="AV13" s="21">
        <f xml:space="preserve"> DecimalPlaces - INT(LOG(MAX(IFERROR(0+Star_5_2.SizeOuter,0), IFERROR(0+Star_5_2.SizeMiddle,0), IFERROR(0+Star_5_2.SizeInner,0)), 10) + 0.2)</f>
        <v>5</v>
      </c>
      <c r="AW13">
        <f t="shared" ref="AW13:AX13" si="34" xml:space="preserve"> IF(ISNUMBER(AV13), AV13, "·")</f>
        <v>5</v>
      </c>
      <c r="AX13">
        <f t="shared" si="34"/>
        <v>5</v>
      </c>
      <c r="AZ13" s="21">
        <f xml:space="preserve"> DecimalPlaces - INT(LOG(MAX(IFERROR(0+Star_5_2.SizeOuter,0), IFERROR(0+Star_5_2.SizeMiddle,0), IFERROR(0+Star_5_2.SizeInner,0)), 10) + 0.2)</f>
        <v>4</v>
      </c>
      <c r="BA13">
        <f t="shared" ref="BA13:BB13" si="35" xml:space="preserve"> IF(ISNUMBER(AZ13), AZ13, "·")</f>
        <v>4</v>
      </c>
      <c r="BB13">
        <f t="shared" si="35"/>
        <v>4</v>
      </c>
      <c r="BD13" s="21">
        <f xml:space="preserve"> DecimalPlaces - INT(LOG(MAX(IFERROR(0+Star_5_2.SizeOuter,0), IFERROR(0+Star_5_2.SizeMiddle,0), IFERROR(0+Star_5_2.SizeInner,0)), 10) + 0.2)</f>
        <v>4</v>
      </c>
      <c r="BE13">
        <f t="shared" ref="BE13:BF13" si="36" xml:space="preserve"> IF(ISNUMBER(BD13), BD13, "·")</f>
        <v>4</v>
      </c>
      <c r="BF13">
        <f t="shared" si="36"/>
        <v>4</v>
      </c>
      <c r="BH13" s="21">
        <f xml:space="preserve"> DecimalPlaces - INT(LOG(MAX(IFERROR(0+Star_5_2.SizeOuter,0), IFERROR(0+Star_5_2.SizeMiddle,0), IFERROR(0+Star_5_2.SizeInner,0)), 10) + 0.2)</f>
        <v>4</v>
      </c>
      <c r="BI13">
        <f t="shared" ref="BI13:BJ13" si="37" xml:space="preserve"> IF(ISNUMBER(BH13), BH13, "·")</f>
        <v>4</v>
      </c>
      <c r="BJ13">
        <f t="shared" si="37"/>
        <v>4</v>
      </c>
      <c r="BL13" s="21">
        <f xml:space="preserve"> DecimalPlaces - INT(LOG(MAX(IFERROR(0+Star_5_2.SizeOuter,0), IFERROR(0+Star_5_2.SizeMiddle,0), IFERROR(0+Star_5_2.SizeInner,0)), 10) + 0.2)</f>
        <v>5</v>
      </c>
      <c r="BM13">
        <f t="shared" ref="BM13:BN13" si="38" xml:space="preserve"> IF(ISNUMBER(BL13), BL13, "·")</f>
        <v>5</v>
      </c>
      <c r="BN13">
        <f t="shared" si="38"/>
        <v>5</v>
      </c>
      <c r="BP13" s="21">
        <f xml:space="preserve"> DecimalPlaces - INT(LOG(MAX(IFERROR(0+Star_5_2.SizeOuter,0), IFERROR(0+Star_5_2.SizeMiddle,0), IFERROR(0+Star_5_2.SizeInner,0)), 10) + 0.2)</f>
        <v>4</v>
      </c>
      <c r="BQ13">
        <f t="shared" ref="BQ13:BR13" si="39" xml:space="preserve"> IF(ISNUMBER(BP13), BP13, "·")</f>
        <v>4</v>
      </c>
      <c r="BR13">
        <f t="shared" si="39"/>
        <v>4</v>
      </c>
      <c r="BT13" s="21">
        <f xml:space="preserve"> DecimalPlaces - INT(LOG(MAX(IFERROR(0+Star_5_2.SizeOuter,0), IFERROR(0+Star_5_2.SizeMiddle,0), IFERROR(0+Star_5_2.SizeInner,0)), 10) + 0.2)</f>
        <v>4</v>
      </c>
      <c r="BU13">
        <f t="shared" ref="BU13" si="40" xml:space="preserve"> IF(ISNUMBER(BT13), BT13, "·")</f>
        <v>4</v>
      </c>
      <c r="BV13">
        <f t="shared" ref="BV13" si="41" xml:space="preserve"> IF(ISNUMBER(BU13), BU13, "·")</f>
        <v>4</v>
      </c>
      <c r="BX13" s="21">
        <f xml:space="preserve"> DecimalPlaces - INT(LOG(MAX(IFERROR(0+Star_5_2.SizeOuter,0), IFERROR(0+Star_5_2.SizeMiddle,0), IFERROR(0+Star_5_2.SizeInner,0)), 10) + 0.2)</f>
        <v>4</v>
      </c>
      <c r="BY13">
        <f t="shared" ref="BY13" si="42" xml:space="preserve"> IF(ISNUMBER(BX13), BX13, "·")</f>
        <v>4</v>
      </c>
      <c r="BZ13">
        <f t="shared" ref="BZ13" si="43" xml:space="preserve"> IF(ISNUMBER(BY13), BY13, "·")</f>
        <v>4</v>
      </c>
      <c r="CB13" s="21">
        <f xml:space="preserve"> DecimalPlaces - INT(LOG(MAX(IFERROR(0+Star_5_2.SizeOuter,0), IFERROR(0+Star_5_2.SizeMiddle,0), IFERROR(0+Star_5_2.SizeInner,0)), 10) + 0.2)</f>
        <v>5</v>
      </c>
      <c r="CC13">
        <f t="shared" ref="CC13" si="44" xml:space="preserve"> IF(ISNUMBER(CB13), CB13, "·")</f>
        <v>5</v>
      </c>
      <c r="CD13">
        <f t="shared" ref="CD13" si="45" xml:space="preserve"> IF(ISNUMBER(CC13), CC13, "·")</f>
        <v>5</v>
      </c>
    </row>
    <row r="14" spans="2:87">
      <c r="D14" s="1"/>
    </row>
    <row r="15" spans="2:87">
      <c r="J15" cm="1">
        <f t="array" ref="J15" xml:space="preserve"> SVG_length(J$73:J$84)</f>
        <v>345</v>
      </c>
      <c r="N15" cm="1">
        <f t="array" ref="N15" xml:space="preserve"> SVG_length(N$73:N$84)</f>
        <v>303</v>
      </c>
      <c r="R15" cm="1">
        <f t="array" ref="R15" xml:space="preserve"> SVG_length(R$73:R$84)</f>
        <v>381</v>
      </c>
      <c r="V15" cm="1">
        <f t="array" ref="V15" xml:space="preserve"> SVG_length(V$73:V$84)</f>
        <v>400</v>
      </c>
      <c r="Z15" cm="1">
        <f t="array" ref="Z15" xml:space="preserve"> SVG_length(Z$73:Z$84)</f>
        <v>257</v>
      </c>
      <c r="AD15" cm="1">
        <f t="array" ref="AD15" xml:space="preserve"> SVG_length(AD$73:AD$84)</f>
        <v>391</v>
      </c>
      <c r="AH15" cm="1">
        <f t="array" ref="AH15" xml:space="preserve"> SVG_length(AH$73:AH$84)</f>
        <v>371</v>
      </c>
      <c r="AL15" cm="1">
        <f t="array" ref="AL15" xml:space="preserve"> SVG_length(AL$73:AL$84)</f>
        <v>375</v>
      </c>
      <c r="AP15" cm="1">
        <f t="array" ref="AP15" xml:space="preserve"> SVG_length(AP$73:AP$84)</f>
        <v>310</v>
      </c>
      <c r="AT15" cm="1">
        <f t="array" ref="AT15" xml:space="preserve"> SVG_length(AT$73:AT$84)</f>
        <v>505</v>
      </c>
      <c r="AX15" cm="1">
        <f t="array" ref="AX15" xml:space="preserve"> SVG_length(AX$73:AX$84)</f>
        <v>389</v>
      </c>
      <c r="BB15" cm="1">
        <f t="array" ref="BB15" xml:space="preserve"> SVG_length(BB$73:BB$84)</f>
        <v>410</v>
      </c>
      <c r="BF15" cm="1">
        <f t="array" ref="BF15" xml:space="preserve"> SVG_length(BF$73:BF$84)</f>
        <v>371</v>
      </c>
      <c r="BJ15" cm="1">
        <f t="array" ref="BJ15" xml:space="preserve"> SVG_length(BJ$73:BJ$84)</f>
        <v>348</v>
      </c>
      <c r="BN15" cm="1">
        <f t="array" ref="BN15" xml:space="preserve"> SVG_length(BN$73:BN$84)</f>
        <v>290</v>
      </c>
      <c r="BR15" cm="1">
        <f t="array" ref="BR15" xml:space="preserve"> SVG_length(BR$73:BR$84)</f>
        <v>440</v>
      </c>
      <c r="BV15" cm="1">
        <f t="array" ref="BV15" xml:space="preserve"> SVG_length(BV$73:BV$84)</f>
        <v>324</v>
      </c>
      <c r="BZ15" cm="1">
        <f t="array" ref="BZ15" xml:space="preserve"> SVG_length(BZ$73:BZ$84)</f>
        <v>437</v>
      </c>
      <c r="CD15" cm="1">
        <f t="array" ref="CD15" xml:space="preserve"> SVG_length(CD$73:CD$84)</f>
        <v>312</v>
      </c>
    </row>
    <row r="16" spans="2:87" ht="17" thickBot="1">
      <c r="B16" s="2" t="s">
        <v>123</v>
      </c>
      <c r="C16" s="2" t="s">
        <v>16</v>
      </c>
      <c r="D16" s="2" t="s">
        <v>17</v>
      </c>
    </row>
    <row r="17" spans="2:82">
      <c r="B17" s="1"/>
      <c r="C17" s="1"/>
      <c r="D17" s="1"/>
    </row>
    <row r="18" spans="2:82">
      <c r="B18" t="s">
        <v>1775</v>
      </c>
      <c r="C18" s="1">
        <f xml:space="preserve"> 0</f>
        <v>0</v>
      </c>
      <c r="D18" s="1">
        <f xml:space="preserve"> 1</f>
        <v>1</v>
      </c>
      <c r="H18">
        <f t="shared" ref="H18:H27" si="46" xml:space="preserve"> ROUND(_xlfn.SINGLE(Star_5_2.SizePath) * ( _xlfn.SINGLE(Star_5_2.RawX)*COS(_xlfn.SINGLE(Star_5_2.Rotation)) - _xlfn.SINGLE(Star_5_2.RawY)*SIN(_xlfn.SINGLE(Star_5_2.Rotation)) ), _xlfn.SINGLE(Star_5_2.DecimalPlaces))</f>
        <v>0</v>
      </c>
      <c r="I18">
        <f t="shared" ref="I18:I27" si="4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48" xml:space="preserve"> ROUND(_xlfn.SINGLE(Star_5_2.SizePath) * ( _xlfn.SINGLE(Star_5_2.RawX)*COS(_xlfn.SINGLE(Star_5_2.Rotation)) - _xlfn.SINGLE(Star_5_2.RawY)*SIN(_xlfn.SINGLE(Star_5_2.Rotation)) ), _xlfn.SINGLE(Star_5_2.DecimalPlaces))</f>
        <v>0</v>
      </c>
      <c r="M18">
        <f t="shared" ref="M18:M27" si="49" xml:space="preserve"> ROUND(_xlfn.SINGLE(Star_5_2.SizePath) * ( _xlfn.SINGLE(Star_5_2.RawY)*COS(_xlfn.SINGLE(Star_5_2.Rotation)) + _xlfn.SINGLE(Star_5_2.RawX)*SIN(_xlfn.SINGLE(Star_5_2.Rotation)) ), _xlfn.SINGLE(Star_5_2.DecimalPlaces))</f>
        <v>-7</v>
      </c>
      <c r="N18" t="str">
        <f t="array" ref="N18:N27" xml:space="preserve"> svgpath(L$18:L$27, M$18:M$27, 4)</f>
        <v>M0 -7</v>
      </c>
      <c r="P18">
        <f t="shared" ref="P18:P27" si="50" xml:space="preserve"> ROUND(_xlfn.SINGLE(Star_5_2.SizePath) * ( _xlfn.SINGLE(Star_5_2.RawX)*COS(_xlfn.SINGLE(Star_5_2.Rotation)) - _xlfn.SINGLE(Star_5_2.RawY)*SIN(_xlfn.SINGLE(Star_5_2.Rotation)) ), _xlfn.SINGLE(Star_5_2.DecimalPlaces))</f>
        <v>0</v>
      </c>
      <c r="Q18">
        <f t="shared" ref="Q18:Q27" si="51" xml:space="preserve"> ROUND(_xlfn.SINGLE(Star_5_2.SizePath) * ( _xlfn.SINGLE(Star_5_2.RawY)*COS(_xlfn.SINGLE(Star_5_2.Rotation)) + _xlfn.SINGLE(Star_5_2.RawX)*SIN(_xlfn.SINGLE(Star_5_2.Rotation)) ), _xlfn.SINGLE(Star_5_2.DecimalPlaces))</f>
        <v>-5</v>
      </c>
      <c r="R18" t="str">
        <f t="array" ref="R18:R27" xml:space="preserve"> svgpath(P$18:P$27, Q$18:Q$27, 4)</f>
        <v>M0 -5</v>
      </c>
      <c r="T18">
        <f t="shared" ref="T18:T27" si="52" xml:space="preserve"> ROUND(_xlfn.SINGLE(Star_5_2.SizePath) * ( _xlfn.SINGLE(Star_5_2.RawX)*COS(_xlfn.SINGLE(Star_5_2.Rotation)) - _xlfn.SINGLE(Star_5_2.RawY)*SIN(_xlfn.SINGLE(Star_5_2.Rotation)) ), _xlfn.SINGLE(Star_5_2.DecimalPlaces))</f>
        <v>-9.8994999999999997</v>
      </c>
      <c r="U18">
        <f t="shared" ref="U18:U27" si="53" xml:space="preserve"> ROUND(_xlfn.SINGLE(Star_5_2.SizePath) * ( _xlfn.SINGLE(Star_5_2.RawY)*COS(_xlfn.SINGLE(Star_5_2.Rotation)) + _xlfn.SINGLE(Star_5_2.RawX)*SIN(_xlfn.SINGLE(Star_5_2.Rotation)) ), _xlfn.SINGLE(Star_5_2.DecimalPlaces))</f>
        <v>1.4141999999999999</v>
      </c>
      <c r="V18" t="str">
        <f t="array" ref="V18:V27" xml:space="preserve"> svgpath(T$18:T$27, U$18:U$27, 4)</f>
        <v>M-9.8995 1.4142</v>
      </c>
      <c r="X18">
        <f t="shared" ref="X18:X27" si="54" xml:space="preserve"> ROUND(_xlfn.SINGLE(Star_5_2.SizePath) * ( _xlfn.SINGLE(Star_5_2.RawX)*COS(_xlfn.SINGLE(Star_5_2.Rotation)) - _xlfn.SINGLE(Star_5_2.RawY)*SIN(_xlfn.SINGLE(Star_5_2.Rotation)) ), _xlfn.SINGLE(Star_5_2.DecimalPlaces))</f>
        <v>0</v>
      </c>
      <c r="Y18">
        <f t="shared" ref="Y18:Y27" si="55" xml:space="preserve"> ROUND(_xlfn.SINGLE(Star_5_2.SizePath) * ( _xlfn.SINGLE(Star_5_2.RawY)*COS(_xlfn.SINGLE(Star_5_2.Rotation)) + _xlfn.SINGLE(Star_5_2.RawX)*SIN(_xlfn.SINGLE(Star_5_2.Rotation)) ), _xlfn.SINGLE(Star_5_2.DecimalPlaces))</f>
        <v>-1</v>
      </c>
      <c r="Z18" t="str">
        <f t="array" ref="Z18:Z27" xml:space="preserve"> svgpath(X$18:X$27, Y$18:Y$27, 4)</f>
        <v>M0 -1</v>
      </c>
      <c r="AB18">
        <f t="shared" ref="AB18:AB27" si="56" xml:space="preserve"> ROUND(_xlfn.SINGLE(Star_5_2.SizePath) * ( _xlfn.SINGLE(Star_5_2.RawX)*COS(_xlfn.SINGLE(Star_5_2.Rotation)) - _xlfn.SINGLE(Star_5_2.RawY)*SIN(_xlfn.SINGLE(Star_5_2.Rotation)) ), _xlfn.SINGLE(Star_5_2.DecimalPlaces))</f>
        <v>7.4741</v>
      </c>
      <c r="AC18">
        <f t="shared" ref="AC18:AC27" si="57" xml:space="preserve"> ROUND(_xlfn.SINGLE(Star_5_2.SizePath) * ( _xlfn.SINGLE(Star_5_2.RawY)*COS(_xlfn.SINGLE(Star_5_2.Rotation)) + _xlfn.SINGLE(Star_5_2.RawX)*SIN(_xlfn.SINGLE(Star_5_2.Rotation)) ), _xlfn.SINGLE(Star_5_2.DecimalPlaces))</f>
        <v>-6.6436000000000002</v>
      </c>
      <c r="AD18" t="str">
        <f t="array" ref="AD18:AD27" xml:space="preserve"> svgpath(AB$18:AB$27, AC$18:AC$27, 4)</f>
        <v>M7.4741 -6.6436</v>
      </c>
      <c r="AF18">
        <f t="shared" ref="AF18:AF27" si="58" xml:space="preserve"> ROUND(_xlfn.SINGLE(Star_5_2.SizePath) * ( _xlfn.SINGLE(Star_5_2.RawX)*COS(_xlfn.SINGLE(Star_5_2.Rotation)) - _xlfn.SINGLE(Star_5_2.RawY)*SIN(_xlfn.SINGLE(Star_5_2.Rotation)) ), _xlfn.SINGLE(Star_5_2.DecimalPlaces))</f>
        <v>-10</v>
      </c>
      <c r="AG18">
        <f t="shared" ref="AG18:AG27" si="59" xml:space="preserve"> ROUND(_xlfn.SINGLE(Star_5_2.SizePath) * ( _xlfn.SINGLE(Star_5_2.RawY)*COS(_xlfn.SINGLE(Star_5_2.Rotation)) + _xlfn.SINGLE(Star_5_2.RawX)*SIN(_xlfn.SINGLE(Star_5_2.Rotation)) ), _xlfn.SINGLE(Star_5_2.DecimalPlaces))</f>
        <v>0</v>
      </c>
      <c r="AH18" t="str">
        <f t="array" ref="AH18:AH27" xml:space="preserve"> svgpath(AF$18:AF$27, AG$18:AG$27, 4)</f>
        <v>M-10 0</v>
      </c>
      <c r="AJ18">
        <f t="shared" ref="AJ18:AJ27" si="60" xml:space="preserve"> ROUND(_xlfn.SINGLE(Star_5_2.SizePath) * ( _xlfn.SINGLE(Star_5_2.RawX)*COS(_xlfn.SINGLE(Star_5_2.Rotation)) - _xlfn.SINGLE(Star_5_2.RawY)*SIN(_xlfn.SINGLE(Star_5_2.Rotation)) ), _xlfn.SINGLE(Star_5_2.DecimalPlaces))</f>
        <v>0</v>
      </c>
      <c r="AK18">
        <f t="shared" ref="AK18:AK27" si="61" xml:space="preserve"> ROUND(_xlfn.SINGLE(Star_5_2.SizePath) * ( _xlfn.SINGLE(Star_5_2.RawY)*COS(_xlfn.SINGLE(Star_5_2.Rotation)) + _xlfn.SINGLE(Star_5_2.RawX)*SIN(_xlfn.SINGLE(Star_5_2.Rotation)) ), _xlfn.SINGLE(Star_5_2.DecimalPlaces))</f>
        <v>-4</v>
      </c>
      <c r="AL18" t="str">
        <f t="array" ref="AL18:AL27" xml:space="preserve"> svgpath(AJ$18:AJ$27, AK$18:AK$27, 4)</f>
        <v>M0 -4</v>
      </c>
      <c r="AN18">
        <f t="shared" ref="AN18:AN27" si="62" xml:space="preserve"> ROUND(_xlfn.SINGLE(Star_5_2.SizePath) * ( _xlfn.SINGLE(Star_5_2.RawX)*COS(_xlfn.SINGLE(Star_5_2.Rotation)) - _xlfn.SINGLE(Star_5_2.RawY)*SIN(_xlfn.SINGLE(Star_5_2.Rotation)) ), _xlfn.SINGLE(Star_5_2.DecimalPlaces))</f>
        <v>-13</v>
      </c>
      <c r="AO18">
        <f t="shared" ref="AO18:AO27" si="63" xml:space="preserve"> ROUND(_xlfn.SINGLE(Star_5_2.SizePath) * ( _xlfn.SINGLE(Star_5_2.RawY)*COS(_xlfn.SINGLE(Star_5_2.Rotation)) + _xlfn.SINGLE(Star_5_2.RawX)*SIN(_xlfn.SINGLE(Star_5_2.Rotation)) ), _xlfn.SINGLE(Star_5_2.DecimalPlaces))</f>
        <v>0</v>
      </c>
      <c r="AP18" t="str">
        <f t="array" ref="AP18:AP27" xml:space="preserve"> svgpath(AN$18:AN$27, AO$18:AO$27, 4)</f>
        <v>M-13 0</v>
      </c>
      <c r="AR18">
        <f t="shared" ref="AR18:AR27" si="64" xml:space="preserve"> ROUND(_xlfn.SINGLE(Star_5_2.SizePath) * ( _xlfn.SINGLE(Star_5_2.RawX)*COS(_xlfn.SINGLE(Star_5_2.Rotation)) - _xlfn.SINGLE(Star_5_2.RawY)*SIN(_xlfn.SINGLE(Star_5_2.Rotation)) ), _xlfn.SINGLE(Star_5_2.DecimalPlaces))</f>
        <v>0</v>
      </c>
      <c r="AS18">
        <f t="shared" ref="AS18:AS27" si="6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66" xml:space="preserve"> ROUND(_xlfn.SINGLE(Star_5_2.SizePath) * ( _xlfn.SINGLE(Star_5_2.RawX)*COS(_xlfn.SINGLE(Star_5_2.Rotation)) - _xlfn.SINGLE(Star_5_2.RawY)*SIN(_xlfn.SINGLE(Star_5_2.Rotation)) ), _xlfn.SINGLE(Star_5_2.DecimalPlaces))</f>
        <v>6</v>
      </c>
      <c r="AW18">
        <f t="shared" ref="AW18:AW27" si="67" xml:space="preserve"> ROUND(_xlfn.SINGLE(Star_5_2.SizePath) * ( _xlfn.SINGLE(Star_5_2.RawY)*COS(_xlfn.SINGLE(Star_5_2.Rotation)) + _xlfn.SINGLE(Star_5_2.RawX)*SIN(_xlfn.SINGLE(Star_5_2.Rotation)) ), _xlfn.SINGLE(Star_5_2.DecimalPlaces))</f>
        <v>0</v>
      </c>
      <c r="AX18" t="str">
        <f t="array" ref="AX18:AX27" xml:space="preserve"> svgpath(AV$18:AV$27, AW$18:AW$27, 4)</f>
        <v>M6 0</v>
      </c>
      <c r="AZ18">
        <f t="shared" ref="AZ18:AZ27" si="68" xml:space="preserve"> ROUND(_xlfn.SINGLE(Star_5_2.SizePath) * ( _xlfn.SINGLE(Star_5_2.RawX)*COS(_xlfn.SINGLE(Star_5_2.Rotation)) - _xlfn.SINGLE(Star_5_2.RawY)*SIN(_xlfn.SINGLE(Star_5_2.Rotation)) ), _xlfn.SINGLE(Star_5_2.DecimalPlaces))</f>
        <v>0</v>
      </c>
      <c r="BA18">
        <f t="shared" ref="BA18:BA27" si="69" xml:space="preserve"> ROUND(_xlfn.SINGLE(Star_5_2.SizePath) * ( _xlfn.SINGLE(Star_5_2.RawY)*COS(_xlfn.SINGLE(Star_5_2.Rotation)) + _xlfn.SINGLE(Star_5_2.RawX)*SIN(_xlfn.SINGLE(Star_5_2.Rotation)) ), _xlfn.SINGLE(Star_5_2.DecimalPlaces))</f>
        <v>-27</v>
      </c>
      <c r="BB18" t="str">
        <f t="array" ref="BB18:BB27" xml:space="preserve"> svgpath(AZ$18:AZ$27, BA$18:BA$27, 4)</f>
        <v>M0 -27</v>
      </c>
      <c r="BD18">
        <f t="shared" ref="BD18:BD27" si="70" xml:space="preserve"> ROUND(_xlfn.SINGLE(Star_5_2.SizePath) * ( _xlfn.SINGLE(Star_5_2.RawX)*COS(_xlfn.SINGLE(Star_5_2.Rotation)) - _xlfn.SINGLE(Star_5_2.RawY)*SIN(_xlfn.SINGLE(Star_5_2.Rotation)) ), _xlfn.SINGLE(Star_5_2.DecimalPlaces))</f>
        <v>0</v>
      </c>
      <c r="BE18">
        <f t="shared" ref="BE18:BE27" si="71" xml:space="preserve"> ROUND(_xlfn.SINGLE(Star_5_2.SizePath) * ( _xlfn.SINGLE(Star_5_2.RawY)*COS(_xlfn.SINGLE(Star_5_2.Rotation)) + _xlfn.SINGLE(Star_5_2.RawX)*SIN(_xlfn.SINGLE(Star_5_2.Rotation)) ), _xlfn.SINGLE(Star_5_2.DecimalPlaces))</f>
        <v>-10</v>
      </c>
      <c r="BF18" t="str">
        <f t="array" ref="BF18:BF27" xml:space="preserve"> svgpath(BD$18:BD$27, BE$18:BE$27, 4)</f>
        <v>M0 -10</v>
      </c>
      <c r="BH18">
        <f t="shared" ref="BH18:BH27" si="72" xml:space="preserve"> ROUND(_xlfn.SINGLE(Star_5_2.SizePath) * ( _xlfn.SINGLE(Star_5_2.RawX)*COS(_xlfn.SINGLE(Star_5_2.Rotation)) - _xlfn.SINGLE(Star_5_2.RawY)*SIN(_xlfn.SINGLE(Star_5_2.Rotation)) ), _xlfn.SINGLE(Star_5_2.DecimalPlaces))</f>
        <v>0</v>
      </c>
      <c r="BI18">
        <f t="shared" ref="BI18:BI27" si="73" xml:space="preserve"> ROUND(_xlfn.SINGLE(Star_5_2.SizePath) * ( _xlfn.SINGLE(Star_5_2.RawY)*COS(_xlfn.SINGLE(Star_5_2.Rotation)) + _xlfn.SINGLE(Star_5_2.RawX)*SIN(_xlfn.SINGLE(Star_5_2.Rotation)) ), _xlfn.SINGLE(Star_5_2.DecimalPlaces))</f>
        <v>-7</v>
      </c>
      <c r="BJ18" t="str">
        <f t="array" ref="BJ18:BJ27" xml:space="preserve"> svgpath(BH$18:BH$27, BI$18:BI$27, 4)</f>
        <v>M0 -7</v>
      </c>
      <c r="BL18">
        <f t="shared" ref="BL18:BL27" si="74" xml:space="preserve"> ROUND(_xlfn.SINGLE(Star_5_2.SizePath) * ( _xlfn.SINGLE(Star_5_2.RawX)*COS(_xlfn.SINGLE(Star_5_2.Rotation)) - _xlfn.SINGLE(Star_5_2.RawY)*SIN(_xlfn.SINGLE(Star_5_2.Rotation)) ), _xlfn.SINGLE(Star_5_2.DecimalPlaces))</f>
        <v>0</v>
      </c>
      <c r="BM18">
        <f t="shared" ref="BM18:BM27" si="7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76" xml:space="preserve"> ROUND(_xlfn.SINGLE(Star_5_2.SizePath) * ( _xlfn.SINGLE(Star_5_2.RawX)*COS(_xlfn.SINGLE(Star_5_2.Rotation)) - _xlfn.SINGLE(Star_5_2.RawY)*SIN(_xlfn.SINGLE(Star_5_2.Rotation)) ), _xlfn.SINGLE(Star_5_2.DecimalPlaces))</f>
        <v>0</v>
      </c>
      <c r="BQ18">
        <f t="shared" ref="BQ18:BQ27" si="77" xml:space="preserve"> ROUND(_xlfn.SINGLE(Star_5_2.SizePath) * ( _xlfn.SINGLE(Star_5_2.RawY)*COS(_xlfn.SINGLE(Star_5_2.Rotation)) + _xlfn.SINGLE(Star_5_2.RawX)*SIN(_xlfn.SINGLE(Star_5_2.Rotation)) ), _xlfn.SINGLE(Star_5_2.DecimalPlaces))</f>
        <v>-27</v>
      </c>
      <c r="BR18" t="str">
        <f t="array" ref="BR18:BR27" xml:space="preserve"> svgpath(BP$18:BP$27, BQ$18:BQ$27, 4)</f>
        <v>M0 -27</v>
      </c>
      <c r="BT18">
        <f t="shared" ref="BT18:BT27" si="78" xml:space="preserve"> ROUND(_xlfn.SINGLE(Star_5_2.SizePath) * ( _xlfn.SINGLE(Star_5_2.RawX)*COS(_xlfn.SINGLE(Star_5_2.Rotation)) - _xlfn.SINGLE(Star_5_2.RawY)*SIN(_xlfn.SINGLE(Star_5_2.Rotation)) ), _xlfn.SINGLE(Star_5_2.DecimalPlaces))</f>
        <v>0</v>
      </c>
      <c r="BU18">
        <f t="shared" ref="BU18:BU27" si="79" xml:space="preserve"> ROUND(_xlfn.SINGLE(Star_5_2.SizePath) * ( _xlfn.SINGLE(Star_5_2.RawY)*COS(_xlfn.SINGLE(Star_5_2.Rotation)) + _xlfn.SINGLE(Star_5_2.RawX)*SIN(_xlfn.SINGLE(Star_5_2.Rotation)) ), _xlfn.SINGLE(Star_5_2.DecimalPlaces))</f>
        <v>-31</v>
      </c>
      <c r="BV18" t="str">
        <f t="array" ref="BV18:BV27" xml:space="preserve"> svgpath(BT$18:BT$27, BU$18:BU$27, 4)</f>
        <v>M0 -31</v>
      </c>
      <c r="BX18">
        <f t="shared" ref="BX18:BX27" si="80" xml:space="preserve"> ROUND(_xlfn.SINGLE(Star_5_2.SizePath) * ( _xlfn.SINGLE(Star_5_2.RawX)*COS(_xlfn.SINGLE(Star_5_2.Rotation)) - _xlfn.SINGLE(Star_5_2.RawY)*SIN(_xlfn.SINGLE(Star_5_2.Rotation)) ), _xlfn.SINGLE(Star_5_2.DecimalPlaces))</f>
        <v>0</v>
      </c>
      <c r="BY18">
        <f t="shared" ref="BY18:BY27" si="81" xml:space="preserve"> ROUND(_xlfn.SINGLE(Star_5_2.SizePath) * ( _xlfn.SINGLE(Star_5_2.RawY)*COS(_xlfn.SINGLE(Star_5_2.Rotation)) + _xlfn.SINGLE(Star_5_2.RawX)*SIN(_xlfn.SINGLE(Star_5_2.Rotation)) ), _xlfn.SINGLE(Star_5_2.DecimalPlaces))</f>
        <v>-27</v>
      </c>
      <c r="BZ18" t="str">
        <f t="array" ref="BZ18:BZ27" xml:space="preserve"> svgpath(BX$18:BX$27, BY$18:BY$27, 4)</f>
        <v>M0 -27</v>
      </c>
      <c r="CB18">
        <f t="shared" ref="CB18:CB27" si="82" xml:space="preserve"> ROUND(_xlfn.SINGLE(Star_5_2.SizePath) * ( _xlfn.SINGLE(Star_5_2.RawX)*COS(_xlfn.SINGLE(Star_5_2.Rotation)) - _xlfn.SINGLE(Star_5_2.RawY)*SIN(_xlfn.SINGLE(Star_5_2.Rotation)) ), _xlfn.SINGLE(Star_5_2.DecimalPlaces))</f>
        <v>0</v>
      </c>
      <c r="CC18">
        <f t="shared" ref="CC18:CC27" si="83" xml:space="preserve"> ROUND(_xlfn.SINGLE(Star_5_2.SizePath) * ( _xlfn.SINGLE(Star_5_2.RawY)*COS(_xlfn.SINGLE(Star_5_2.Rotation)) + _xlfn.SINGLE(Star_5_2.RawX)*SIN(_xlfn.SINGLE(Star_5_2.Rotation)) ), _xlfn.SINGLE(Star_5_2.DecimalPlaces))</f>
        <v>-2.0552600000000001</v>
      </c>
      <c r="CD18" t="str">
        <f t="array" ref="CD18:CD27" xml:space="preserve"> svgpath(CB$18:CB$27, CC$18:CC$27, 4)</f>
        <v>M0 -2.0553</v>
      </c>
    </row>
    <row r="19" spans="2:82">
      <c r="B19" t="s">
        <v>1775</v>
      </c>
      <c r="C19" s="1" cm="1">
        <f t="array" ref="C19" xml:space="preserve"> SQRT(50 - 22*Sqrt5) / 4</f>
        <v>0.22451398828979235</v>
      </c>
      <c r="D19" s="1" cm="1">
        <f t="array" ref="D19" xml:space="preserve"> (Sqrt5 - 1) / 4</f>
        <v>0.30901699437494745</v>
      </c>
      <c r="H19">
        <f t="shared" si="46"/>
        <v>-2.2450999999999999</v>
      </c>
      <c r="I19">
        <f t="shared" si="47"/>
        <v>-3.0901999999999998</v>
      </c>
      <c r="J19" t="str">
        <v>l-2.2451 6.9098</v>
      </c>
      <c r="L19">
        <f t="shared" si="48"/>
        <v>-1.5716000000000001</v>
      </c>
      <c r="M19">
        <f t="shared" si="49"/>
        <v>-2.1631</v>
      </c>
      <c r="N19" t="str">
        <v>l-1.5716 4.8369</v>
      </c>
      <c r="P19">
        <f t="shared" si="50"/>
        <v>-1.1225700000000001</v>
      </c>
      <c r="Q19">
        <f t="shared" si="51"/>
        <v>-1.54508</v>
      </c>
      <c r="R19" t="str">
        <v>l-1.1226 3.4549</v>
      </c>
      <c r="T19">
        <f t="shared" si="52"/>
        <v>-2.7416</v>
      </c>
      <c r="U19">
        <f t="shared" si="53"/>
        <v>2.6596000000000002</v>
      </c>
      <c r="V19" t="str">
        <v>l7.1579 1.2454</v>
      </c>
      <c r="X19">
        <f t="shared" si="54"/>
        <v>-0.22450999999999999</v>
      </c>
      <c r="Y19">
        <f t="shared" si="55"/>
        <v>-0.30902000000000002</v>
      </c>
      <c r="Z19" t="str">
        <v>l-.2245 .691</v>
      </c>
      <c r="AB19">
        <f t="shared" si="56"/>
        <v>0.81799999999999995</v>
      </c>
      <c r="AC19">
        <f t="shared" si="57"/>
        <v>-3.7309999999999999</v>
      </c>
      <c r="AD19" t="str">
        <v>L.818 -3.731</v>
      </c>
      <c r="AF19">
        <f t="shared" si="58"/>
        <v>-3.0901999999999998</v>
      </c>
      <c r="AG19">
        <f t="shared" si="59"/>
        <v>2.2450999999999999</v>
      </c>
      <c r="AH19" t="str">
        <v>l6.9098 2.2451</v>
      </c>
      <c r="AJ19">
        <f t="shared" si="60"/>
        <v>-0.89805999999999997</v>
      </c>
      <c r="AK19">
        <f t="shared" si="61"/>
        <v>-1.23607</v>
      </c>
      <c r="AL19" t="str">
        <v>l-.8981 2.7639</v>
      </c>
      <c r="AN19">
        <f t="shared" si="62"/>
        <v>-4.0171999999999999</v>
      </c>
      <c r="AO19">
        <f t="shared" si="63"/>
        <v>2.9186999999999999</v>
      </c>
      <c r="AP19" t="str">
        <v>l8.9828 2.9187</v>
      </c>
      <c r="AR19">
        <f t="shared" si="64"/>
        <v>-0.22450999999999999</v>
      </c>
      <c r="AS19">
        <f t="shared" si="65"/>
        <v>-0.30902000000000002</v>
      </c>
      <c r="AT19" t="str">
        <v>l-.2245 .691</v>
      </c>
      <c r="AV19">
        <f t="shared" si="66"/>
        <v>1.8541000000000001</v>
      </c>
      <c r="AW19">
        <f t="shared" si="67"/>
        <v>-1.3470800000000001</v>
      </c>
      <c r="AX19" t="str">
        <v>L1.8541 -1.3471</v>
      </c>
      <c r="AZ19">
        <f t="shared" si="68"/>
        <v>-6.0618999999999996</v>
      </c>
      <c r="BA19">
        <f t="shared" si="69"/>
        <v>-8.3435000000000006</v>
      </c>
      <c r="BB19" t="str">
        <v>L-6.0619 -8.3435</v>
      </c>
      <c r="BD19">
        <f t="shared" si="70"/>
        <v>-2.2450999999999999</v>
      </c>
      <c r="BE19">
        <f t="shared" si="71"/>
        <v>-3.0901999999999998</v>
      </c>
      <c r="BF19" t="str">
        <v>l-2.2451 6.9098</v>
      </c>
      <c r="BH19">
        <f t="shared" si="72"/>
        <v>-1.5716000000000001</v>
      </c>
      <c r="BI19">
        <f t="shared" si="73"/>
        <v>-2.1631</v>
      </c>
      <c r="BJ19" t="str">
        <v>l-1.5716 4.8369</v>
      </c>
      <c r="BL19">
        <f t="shared" si="74"/>
        <v>-0.22450999999999999</v>
      </c>
      <c r="BM19">
        <f t="shared" si="75"/>
        <v>-0.30902000000000002</v>
      </c>
      <c r="BN19" t="str">
        <v>l-.2245 .691</v>
      </c>
      <c r="BP19">
        <f t="shared" si="76"/>
        <v>-6.0618999999999996</v>
      </c>
      <c r="BQ19">
        <f t="shared" si="77"/>
        <v>-8.3435000000000006</v>
      </c>
      <c r="BR19" t="str">
        <v>L-6.0619 -8.3435</v>
      </c>
      <c r="BT19">
        <f t="shared" si="78"/>
        <v>-6.9599000000000002</v>
      </c>
      <c r="BU19">
        <f t="shared" si="79"/>
        <v>-9.5794999999999995</v>
      </c>
      <c r="BV19" t="str">
        <v>L-6.9599 -9.5795</v>
      </c>
      <c r="BX19">
        <f t="shared" si="80"/>
        <v>-6.0618999999999996</v>
      </c>
      <c r="BY19">
        <f t="shared" si="81"/>
        <v>-8.3435000000000006</v>
      </c>
      <c r="BZ19" t="str">
        <v>L-6.0619 -8.3435</v>
      </c>
      <c r="CB19">
        <f t="shared" si="82"/>
        <v>-0.46143000000000001</v>
      </c>
      <c r="CC19">
        <f t="shared" si="83"/>
        <v>-0.63510999999999995</v>
      </c>
      <c r="CD19" t="str">
        <v>L-.4614 -.6351</v>
      </c>
    </row>
    <row r="20" spans="2:82">
      <c r="B20" t="s">
        <v>1775</v>
      </c>
      <c r="C20" s="1" cm="1">
        <f t="array" ref="C20" xml:space="preserve"> SQRT( (5+Sqrt5) / 8 )</f>
        <v>0.95105651629515353</v>
      </c>
      <c r="D20" s="1" cm="1">
        <f t="array" ref="D20" xml:space="preserve"> (Sqrt5 - 1) / 4</f>
        <v>0.30901699437494745</v>
      </c>
      <c r="H20">
        <f t="shared" si="46"/>
        <v>-9.5106000000000002</v>
      </c>
      <c r="I20">
        <f t="shared" si="47"/>
        <v>-3.0901999999999998</v>
      </c>
      <c r="J20" t="str">
        <v>H-9.5106</v>
      </c>
      <c r="L20">
        <f t="shared" si="48"/>
        <v>-6.6574</v>
      </c>
      <c r="M20">
        <f t="shared" si="49"/>
        <v>-2.1631</v>
      </c>
      <c r="N20" t="str">
        <v>H-6.6574</v>
      </c>
      <c r="P20">
        <f t="shared" si="50"/>
        <v>-4.75528</v>
      </c>
      <c r="Q20">
        <f t="shared" si="51"/>
        <v>-1.54508</v>
      </c>
      <c r="R20" t="str">
        <v>H-4.7553</v>
      </c>
      <c r="T20">
        <f t="shared" si="52"/>
        <v>-1.7141</v>
      </c>
      <c r="U20">
        <f t="shared" si="53"/>
        <v>9.8520000000000003</v>
      </c>
      <c r="V20" t="str">
        <v>L-1.7141 9.852</v>
      </c>
      <c r="X20">
        <f t="shared" si="54"/>
        <v>-0.95106000000000002</v>
      </c>
      <c r="Y20">
        <f t="shared" si="55"/>
        <v>-0.30902000000000002</v>
      </c>
      <c r="Z20" t="str">
        <v>H-.9511</v>
      </c>
      <c r="AB20">
        <f t="shared" si="56"/>
        <v>-4.0088999999999997</v>
      </c>
      <c r="AC20">
        <f t="shared" si="57"/>
        <v>-9.1613000000000007</v>
      </c>
      <c r="AD20" t="str">
        <v>L-4.0089 -9.1613</v>
      </c>
      <c r="AF20">
        <f t="shared" si="58"/>
        <v>-3.0901999999999998</v>
      </c>
      <c r="AG20">
        <f t="shared" si="59"/>
        <v>9.5106000000000002</v>
      </c>
      <c r="AH20" t="str">
        <v>V9.5106</v>
      </c>
      <c r="AJ20">
        <f t="shared" si="60"/>
        <v>-3.80423</v>
      </c>
      <c r="AK20">
        <f t="shared" si="61"/>
        <v>-1.23607</v>
      </c>
      <c r="AL20" t="str">
        <v>H-3.8042</v>
      </c>
      <c r="AN20">
        <f t="shared" si="62"/>
        <v>-4.0171999999999999</v>
      </c>
      <c r="AO20">
        <f t="shared" si="63"/>
        <v>12.3637</v>
      </c>
      <c r="AP20" t="str">
        <v>v9.445</v>
      </c>
      <c r="AR20">
        <f t="shared" si="64"/>
        <v>-0.95106000000000002</v>
      </c>
      <c r="AS20">
        <f t="shared" si="65"/>
        <v>-0.30902000000000002</v>
      </c>
      <c r="AT20" t="str">
        <v>H-.9511</v>
      </c>
      <c r="AV20">
        <f t="shared" si="66"/>
        <v>1.8541000000000001</v>
      </c>
      <c r="AW20">
        <f t="shared" si="67"/>
        <v>-5.70634</v>
      </c>
      <c r="AX20" t="str">
        <v>V-5.7063</v>
      </c>
      <c r="AZ20">
        <f t="shared" si="68"/>
        <v>-25.6785</v>
      </c>
      <c r="BA20">
        <f t="shared" si="69"/>
        <v>-8.3435000000000006</v>
      </c>
      <c r="BB20" t="str">
        <v>H-25.6785</v>
      </c>
      <c r="BD20">
        <f t="shared" si="70"/>
        <v>-9.5106000000000002</v>
      </c>
      <c r="BE20">
        <f t="shared" si="71"/>
        <v>-3.0901999999999998</v>
      </c>
      <c r="BF20" t="str">
        <v>H-9.5106</v>
      </c>
      <c r="BH20">
        <f t="shared" si="72"/>
        <v>-6.6574</v>
      </c>
      <c r="BI20">
        <f t="shared" si="73"/>
        <v>-2.1631</v>
      </c>
      <c r="BJ20" t="str">
        <v>H-6.6574</v>
      </c>
      <c r="BL20">
        <f t="shared" si="74"/>
        <v>-0.95106000000000002</v>
      </c>
      <c r="BM20">
        <f t="shared" si="75"/>
        <v>-0.30902000000000002</v>
      </c>
      <c r="BN20" t="str">
        <v>H-.9511</v>
      </c>
      <c r="BP20">
        <f t="shared" si="76"/>
        <v>-25.6785</v>
      </c>
      <c r="BQ20">
        <f t="shared" si="77"/>
        <v>-8.3435000000000006</v>
      </c>
      <c r="BR20" t="str">
        <v>H-25.6785</v>
      </c>
      <c r="BT20">
        <f t="shared" si="78"/>
        <v>-29.482800000000001</v>
      </c>
      <c r="BU20">
        <f t="shared" si="79"/>
        <v>-9.5794999999999995</v>
      </c>
      <c r="BV20" t="str">
        <v>H-29.4828</v>
      </c>
      <c r="BX20">
        <f t="shared" si="80"/>
        <v>-25.6785</v>
      </c>
      <c r="BY20">
        <f t="shared" si="81"/>
        <v>-8.3435000000000006</v>
      </c>
      <c r="BZ20" t="str">
        <v>H-25.6785</v>
      </c>
      <c r="CB20">
        <f t="shared" si="82"/>
        <v>-1.9546699999999999</v>
      </c>
      <c r="CC20">
        <f t="shared" si="83"/>
        <v>-0.63510999999999995</v>
      </c>
      <c r="CD20" t="str">
        <v>H-1.9547</v>
      </c>
    </row>
    <row r="21" spans="2:82">
      <c r="B21" t="s">
        <v>1775</v>
      </c>
      <c r="C21" s="1" cm="1">
        <f t="array" ref="C21" xml:space="preserve"> SQRT(5 - 2*Sqrt5) / 2</f>
        <v>0.36327126400268039</v>
      </c>
      <c r="D21" s="1" cm="1">
        <f t="array" ref="D21" xml:space="preserve"> 1 - Sqrt5/2</f>
        <v>-0.1180339887498949</v>
      </c>
      <c r="H21">
        <f t="shared" si="46"/>
        <v>-3.6326999999999998</v>
      </c>
      <c r="I21">
        <f t="shared" si="47"/>
        <v>1.1802999999999999</v>
      </c>
      <c r="J21" t="str">
        <v>l5.8779 4.2705</v>
      </c>
      <c r="L21">
        <f t="shared" si="48"/>
        <v>-2.5428999999999999</v>
      </c>
      <c r="M21">
        <f t="shared" si="49"/>
        <v>0.82620000000000005</v>
      </c>
      <c r="N21" t="str">
        <v>L-2.5429 .8262</v>
      </c>
      <c r="P21">
        <f t="shared" si="50"/>
        <v>-1.81636</v>
      </c>
      <c r="Q21">
        <f t="shared" si="51"/>
        <v>0.59016999999999997</v>
      </c>
      <c r="R21" t="str">
        <v>L-1.8164 .5902</v>
      </c>
      <c r="T21">
        <f t="shared" si="52"/>
        <v>1.6821999999999999</v>
      </c>
      <c r="U21">
        <f t="shared" si="53"/>
        <v>3.4293</v>
      </c>
      <c r="V21" t="str">
        <v>L1.6822 3.4293</v>
      </c>
      <c r="X21">
        <f t="shared" si="54"/>
        <v>-0.36326999999999998</v>
      </c>
      <c r="Y21">
        <f t="shared" si="55"/>
        <v>0.11803</v>
      </c>
      <c r="Z21" t="str">
        <v>l.5878 .427</v>
      </c>
      <c r="AB21">
        <f t="shared" si="56"/>
        <v>-3.2955999999999999</v>
      </c>
      <c r="AC21">
        <f t="shared" si="57"/>
        <v>-1.9309000000000001</v>
      </c>
      <c r="AD21" t="str">
        <v>l.7133 7.2304</v>
      </c>
      <c r="AF21">
        <f t="shared" si="58"/>
        <v>1.1802999999999999</v>
      </c>
      <c r="AG21">
        <f t="shared" si="59"/>
        <v>3.6326999999999998</v>
      </c>
      <c r="AH21" t="str">
        <v>L1.1803 3.6327</v>
      </c>
      <c r="AJ21">
        <f t="shared" si="60"/>
        <v>-1.45309</v>
      </c>
      <c r="AK21">
        <f t="shared" si="61"/>
        <v>0.47214</v>
      </c>
      <c r="AL21" t="str">
        <v>L-1.4531 .4721</v>
      </c>
      <c r="AN21">
        <f t="shared" si="62"/>
        <v>1.5344</v>
      </c>
      <c r="AO21">
        <f t="shared" si="63"/>
        <v>4.7225000000000001</v>
      </c>
      <c r="AP21" t="str">
        <v>L1.5344 4.7225</v>
      </c>
      <c r="AR21">
        <f t="shared" si="64"/>
        <v>-0.36326999999999998</v>
      </c>
      <c r="AS21">
        <f t="shared" si="65"/>
        <v>0.11803</v>
      </c>
      <c r="AT21" t="str">
        <v>l.5878 .427</v>
      </c>
      <c r="AV21">
        <f t="shared" si="66"/>
        <v>-0.70820000000000005</v>
      </c>
      <c r="AW21">
        <f t="shared" si="67"/>
        <v>-2.17963</v>
      </c>
      <c r="AX21" t="str">
        <v>L-.7082 -2.1796</v>
      </c>
      <c r="AZ21">
        <f t="shared" si="68"/>
        <v>-9.8082999999999991</v>
      </c>
      <c r="BA21">
        <f t="shared" si="69"/>
        <v>3.1869000000000001</v>
      </c>
      <c r="BB21" t="str">
        <v>L-9.8083 3.1869</v>
      </c>
      <c r="BD21">
        <f t="shared" si="70"/>
        <v>-3.6326999999999998</v>
      </c>
      <c r="BE21">
        <f t="shared" si="71"/>
        <v>1.1802999999999999</v>
      </c>
      <c r="BF21" t="str">
        <v>l5.8779 4.2705</v>
      </c>
      <c r="BH21">
        <f t="shared" si="72"/>
        <v>-2.5428999999999999</v>
      </c>
      <c r="BI21">
        <f t="shared" si="73"/>
        <v>0.82620000000000005</v>
      </c>
      <c r="BJ21" t="str">
        <v>L-2.5429 .8262</v>
      </c>
      <c r="BL21">
        <f t="shared" si="74"/>
        <v>-0.36326999999999998</v>
      </c>
      <c r="BM21">
        <f t="shared" si="75"/>
        <v>0.11803</v>
      </c>
      <c r="BN21" t="str">
        <v>l.5878 .427</v>
      </c>
      <c r="BP21">
        <f t="shared" si="76"/>
        <v>-9.8082999999999991</v>
      </c>
      <c r="BQ21">
        <f t="shared" si="77"/>
        <v>3.1869000000000001</v>
      </c>
      <c r="BR21" t="str">
        <v>L-9.8083 3.1869</v>
      </c>
      <c r="BT21">
        <f t="shared" si="78"/>
        <v>-11.2614</v>
      </c>
      <c r="BU21">
        <f t="shared" si="79"/>
        <v>3.6591</v>
      </c>
      <c r="BV21" t="str">
        <v>L-11.2614 3.6591</v>
      </c>
      <c r="BX21">
        <f t="shared" si="80"/>
        <v>-9.8082999999999991</v>
      </c>
      <c r="BY21">
        <f t="shared" si="81"/>
        <v>3.1869000000000001</v>
      </c>
      <c r="BZ21" t="str">
        <v>L-9.8083 3.1869</v>
      </c>
      <c r="CB21">
        <f t="shared" si="82"/>
        <v>-0.74661999999999995</v>
      </c>
      <c r="CC21">
        <f t="shared" si="83"/>
        <v>0.24259</v>
      </c>
      <c r="CD21" t="str">
        <v>L-.7466 .2426</v>
      </c>
    </row>
    <row r="22" spans="2:82">
      <c r="B22" t="s">
        <v>1775</v>
      </c>
      <c r="C22" s="1" cm="1">
        <f t="array" ref="C22" xml:space="preserve"> SQRT( (5-Sqrt5) / 8 )</f>
        <v>0.58778525229247314</v>
      </c>
      <c r="D22" s="1" cm="1">
        <f t="array" ref="D22" xml:space="preserve"> -(1 + Sqrt5) / 4</f>
        <v>-0.80901699437494745</v>
      </c>
      <c r="H22">
        <f t="shared" si="46"/>
        <v>-5.8779000000000003</v>
      </c>
      <c r="I22">
        <f t="shared" si="47"/>
        <v>8.0901999999999994</v>
      </c>
      <c r="J22" t="str">
        <v>L-5.8779 8.0902</v>
      </c>
      <c r="L22">
        <f t="shared" si="48"/>
        <v>-4.1144999999999996</v>
      </c>
      <c r="M22">
        <f t="shared" si="49"/>
        <v>5.6631</v>
      </c>
      <c r="N22" t="str">
        <v>L-4.1145 5.6631</v>
      </c>
      <c r="P22">
        <f t="shared" si="50"/>
        <v>-2.93893</v>
      </c>
      <c r="Q22">
        <f t="shared" si="51"/>
        <v>4.0450799999999996</v>
      </c>
      <c r="R22" t="str">
        <v>L-2.9389 4.0451</v>
      </c>
      <c r="T22">
        <f t="shared" si="52"/>
        <v>8.8400999999999996</v>
      </c>
      <c r="U22">
        <f t="shared" si="53"/>
        <v>4.6746999999999996</v>
      </c>
      <c r="V22" t="str">
        <v>L8.8401 4.6747</v>
      </c>
      <c r="X22">
        <f t="shared" si="54"/>
        <v>-0.58779000000000003</v>
      </c>
      <c r="Y22">
        <f t="shared" si="55"/>
        <v>0.80901999999999996</v>
      </c>
      <c r="Z22" t="str">
        <v>L-.5878 .809</v>
      </c>
      <c r="AB22">
        <f t="shared" si="56"/>
        <v>-9.9517000000000007</v>
      </c>
      <c r="AC22">
        <f t="shared" si="57"/>
        <v>0.98170000000000002</v>
      </c>
      <c r="AD22" t="str">
        <v>L-9.9517 .9817</v>
      </c>
      <c r="AF22">
        <f t="shared" si="58"/>
        <v>8.0901999999999994</v>
      </c>
      <c r="AG22">
        <f t="shared" si="59"/>
        <v>5.8779000000000003</v>
      </c>
      <c r="AH22" t="str">
        <v>L8.0902 5.8779</v>
      </c>
      <c r="AJ22">
        <f t="shared" si="60"/>
        <v>-2.35114</v>
      </c>
      <c r="AK22">
        <f t="shared" si="61"/>
        <v>3.2360699999999998</v>
      </c>
      <c r="AL22" t="str">
        <v>l-.898 2.764</v>
      </c>
      <c r="AN22">
        <f t="shared" si="62"/>
        <v>10.517200000000001</v>
      </c>
      <c r="AO22">
        <f t="shared" si="63"/>
        <v>7.6412000000000004</v>
      </c>
      <c r="AP22" t="str">
        <v>l8.9828 2.9187</v>
      </c>
      <c r="AR22">
        <f t="shared" si="64"/>
        <v>-0.58779000000000003</v>
      </c>
      <c r="AS22">
        <f t="shared" si="65"/>
        <v>0.80901999999999996</v>
      </c>
      <c r="AT22" t="str">
        <v>L-.5878 .809</v>
      </c>
      <c r="AV22">
        <f t="shared" si="66"/>
        <v>-4.8540999999999999</v>
      </c>
      <c r="AW22">
        <f t="shared" si="67"/>
        <v>-3.52671</v>
      </c>
      <c r="AX22" t="str">
        <v>L-4.8541 -3.5267</v>
      </c>
      <c r="AZ22">
        <f t="shared" si="68"/>
        <v>-15.870200000000001</v>
      </c>
      <c r="BA22">
        <f t="shared" si="69"/>
        <v>21.843499999999999</v>
      </c>
      <c r="BB22" t="str">
        <v>l-6.0619 18.6566</v>
      </c>
      <c r="BD22">
        <f t="shared" si="70"/>
        <v>-5.8779000000000003</v>
      </c>
      <c r="BE22">
        <f t="shared" si="71"/>
        <v>8.0901999999999994</v>
      </c>
      <c r="BF22" t="str">
        <v>L-5.8779 8.0902</v>
      </c>
      <c r="BH22">
        <f t="shared" si="72"/>
        <v>-4.1144999999999996</v>
      </c>
      <c r="BI22">
        <f t="shared" si="73"/>
        <v>5.6631</v>
      </c>
      <c r="BJ22" t="str">
        <v>L-4.1145 5.6631</v>
      </c>
      <c r="BL22">
        <f t="shared" si="74"/>
        <v>-0.58779000000000003</v>
      </c>
      <c r="BM22">
        <f t="shared" si="75"/>
        <v>0.80901999999999996</v>
      </c>
      <c r="BN22" t="str">
        <v>L-.5878 .809</v>
      </c>
      <c r="BP22">
        <f t="shared" si="76"/>
        <v>-15.870200000000001</v>
      </c>
      <c r="BQ22">
        <f t="shared" si="77"/>
        <v>21.843499999999999</v>
      </c>
      <c r="BR22" t="str">
        <v>l-6.0619 18.6566</v>
      </c>
      <c r="BT22">
        <f t="shared" si="78"/>
        <v>-18.221299999999999</v>
      </c>
      <c r="BU22">
        <f t="shared" si="79"/>
        <v>25.079499999999999</v>
      </c>
      <c r="BV22" t="str">
        <v>l-6.9599 21.4204</v>
      </c>
      <c r="BX22">
        <f t="shared" si="80"/>
        <v>-15.870200000000001</v>
      </c>
      <c r="BY22">
        <f t="shared" si="81"/>
        <v>21.843499999999999</v>
      </c>
      <c r="BZ22" t="str">
        <v>l-6.0619 18.6566</v>
      </c>
      <c r="CB22">
        <f t="shared" si="82"/>
        <v>-1.2080500000000001</v>
      </c>
      <c r="CC22">
        <f t="shared" si="83"/>
        <v>1.6627400000000001</v>
      </c>
      <c r="CD22" t="str">
        <v>L-1.208 1.6627</v>
      </c>
    </row>
    <row r="23" spans="2:82">
      <c r="B23" t="s">
        <v>1775</v>
      </c>
      <c r="C23" s="1">
        <f xml:space="preserve"> 0</f>
        <v>0</v>
      </c>
      <c r="D23" s="1" cm="1">
        <f t="array" ref="D23" xml:space="preserve"> (Sqrt5 - 3) / 2</f>
        <v>-0.3819660112501051</v>
      </c>
      <c r="H23">
        <f t="shared" si="46"/>
        <v>0</v>
      </c>
      <c r="I23">
        <f t="shared" si="47"/>
        <v>3.8197000000000001</v>
      </c>
      <c r="J23" t="str">
        <v>L0 3.8197</v>
      </c>
      <c r="L23">
        <f t="shared" si="48"/>
        <v>0</v>
      </c>
      <c r="M23">
        <f t="shared" si="49"/>
        <v>2.6738</v>
      </c>
      <c r="N23" t="str">
        <v>L0 2.6738</v>
      </c>
      <c r="P23">
        <f t="shared" si="50"/>
        <v>0</v>
      </c>
      <c r="Q23">
        <f t="shared" si="51"/>
        <v>1.9098299999999999</v>
      </c>
      <c r="R23" t="str">
        <v>L0 1.9098</v>
      </c>
      <c r="T23">
        <f t="shared" si="52"/>
        <v>3.7812999999999999</v>
      </c>
      <c r="U23">
        <f t="shared" si="53"/>
        <v>-0.54020000000000001</v>
      </c>
      <c r="V23" t="str">
        <v>L3.7813 -.5402</v>
      </c>
      <c r="X23">
        <f t="shared" si="54"/>
        <v>0</v>
      </c>
      <c r="Y23">
        <f t="shared" si="55"/>
        <v>0.38196999999999998</v>
      </c>
      <c r="Z23" t="str">
        <v>L0 .382</v>
      </c>
      <c r="AB23">
        <f t="shared" si="56"/>
        <v>-2.8548</v>
      </c>
      <c r="AC23">
        <f t="shared" si="57"/>
        <v>2.5375999999999999</v>
      </c>
      <c r="AD23" t="str">
        <v>l7.0969 1.5559</v>
      </c>
      <c r="AF23">
        <f t="shared" si="58"/>
        <v>3.8197000000000001</v>
      </c>
      <c r="AG23">
        <f t="shared" si="59"/>
        <v>0</v>
      </c>
      <c r="AH23" t="str">
        <v>L3.8197 0</v>
      </c>
      <c r="AJ23">
        <f t="shared" si="60"/>
        <v>0</v>
      </c>
      <c r="AK23">
        <f t="shared" si="61"/>
        <v>1.52786</v>
      </c>
      <c r="AL23" t="str">
        <v>L0 1.5279</v>
      </c>
      <c r="AN23">
        <f t="shared" si="62"/>
        <v>4.9656000000000002</v>
      </c>
      <c r="AO23">
        <f t="shared" si="63"/>
        <v>0</v>
      </c>
      <c r="AP23" t="str">
        <v>L4.9656 0</v>
      </c>
      <c r="AR23">
        <f t="shared" si="64"/>
        <v>0</v>
      </c>
      <c r="AS23">
        <f t="shared" si="65"/>
        <v>0.38196999999999998</v>
      </c>
      <c r="AT23" t="str">
        <v>L0 .382</v>
      </c>
      <c r="AV23">
        <f t="shared" si="66"/>
        <v>-2.2917999999999998</v>
      </c>
      <c r="AW23">
        <f t="shared" si="67"/>
        <v>0</v>
      </c>
      <c r="AX23" t="str">
        <v>L-2.2918 0</v>
      </c>
      <c r="AZ23">
        <f t="shared" si="68"/>
        <v>0</v>
      </c>
      <c r="BA23">
        <f t="shared" si="69"/>
        <v>10.3131</v>
      </c>
      <c r="BB23" t="str">
        <v>L0 10.3131</v>
      </c>
      <c r="BD23">
        <f t="shared" si="70"/>
        <v>0</v>
      </c>
      <c r="BE23">
        <f t="shared" si="71"/>
        <v>3.8197000000000001</v>
      </c>
      <c r="BF23" t="str">
        <v>L0 3.8197</v>
      </c>
      <c r="BH23">
        <f t="shared" si="72"/>
        <v>0</v>
      </c>
      <c r="BI23">
        <f t="shared" si="73"/>
        <v>2.6738</v>
      </c>
      <c r="BJ23" t="str">
        <v>L0 2.6738</v>
      </c>
      <c r="BL23">
        <f t="shared" si="74"/>
        <v>0</v>
      </c>
      <c r="BM23">
        <f t="shared" si="75"/>
        <v>0.38196999999999998</v>
      </c>
      <c r="BN23" t="str">
        <v>L0 .382</v>
      </c>
      <c r="BP23">
        <f t="shared" si="76"/>
        <v>0</v>
      </c>
      <c r="BQ23">
        <f t="shared" si="77"/>
        <v>10.3131</v>
      </c>
      <c r="BR23" t="str">
        <v>L0 10.3131</v>
      </c>
      <c r="BT23">
        <f t="shared" si="78"/>
        <v>0</v>
      </c>
      <c r="BU23">
        <f t="shared" si="79"/>
        <v>11.8409</v>
      </c>
      <c r="BV23" t="str">
        <v>L0 11.8409</v>
      </c>
      <c r="BX23">
        <f t="shared" si="80"/>
        <v>0</v>
      </c>
      <c r="BY23">
        <f t="shared" si="81"/>
        <v>10.3131</v>
      </c>
      <c r="BZ23" t="str">
        <v>L0 10.3131</v>
      </c>
      <c r="CB23">
        <f t="shared" si="82"/>
        <v>0</v>
      </c>
      <c r="CC23">
        <f t="shared" si="83"/>
        <v>0.78503999999999996</v>
      </c>
      <c r="CD23" t="str">
        <v>L0 .785</v>
      </c>
    </row>
    <row r="24" spans="2:82">
      <c r="B24" t="s">
        <v>1775</v>
      </c>
      <c r="C24" s="1" cm="1">
        <f t="array" ref="C24" xml:space="preserve"> -SQRT( (5-Sqrt5) / 8 )</f>
        <v>-0.58778525229247314</v>
      </c>
      <c r="D24" s="1" cm="1">
        <f t="array" ref="D24" xml:space="preserve"> -(1 + Sqrt5) / 4</f>
        <v>-0.80901699437494745</v>
      </c>
      <c r="H24">
        <f t="shared" si="46"/>
        <v>5.8779000000000003</v>
      </c>
      <c r="I24">
        <f t="shared" si="47"/>
        <v>8.0901999999999994</v>
      </c>
      <c r="J24" t="str">
        <v>L5.8779 8.0902</v>
      </c>
      <c r="L24">
        <f t="shared" si="48"/>
        <v>4.1144999999999996</v>
      </c>
      <c r="M24">
        <f t="shared" si="49"/>
        <v>5.6631</v>
      </c>
      <c r="N24" t="str">
        <v>L4.1145 5.6631</v>
      </c>
      <c r="P24">
        <f t="shared" si="50"/>
        <v>2.93893</v>
      </c>
      <c r="Q24">
        <f t="shared" si="51"/>
        <v>4.0450799999999996</v>
      </c>
      <c r="R24" t="str">
        <v>L2.9389 4.0451</v>
      </c>
      <c r="T24">
        <f t="shared" si="52"/>
        <v>7.1776</v>
      </c>
      <c r="U24">
        <f t="shared" si="53"/>
        <v>-6.9629000000000003</v>
      </c>
      <c r="V24" t="str">
        <v>L7.1776 -6.9629</v>
      </c>
      <c r="X24">
        <f t="shared" si="54"/>
        <v>0.58779000000000003</v>
      </c>
      <c r="Y24">
        <f t="shared" si="55"/>
        <v>0.80901999999999996</v>
      </c>
      <c r="Z24" t="str">
        <v>L.5878 .809</v>
      </c>
      <c r="AB24">
        <f t="shared" si="56"/>
        <v>-2.1415999999999999</v>
      </c>
      <c r="AC24">
        <f t="shared" si="57"/>
        <v>9.7680000000000007</v>
      </c>
      <c r="AD24" t="str">
        <v>l.7132 7.2304</v>
      </c>
      <c r="AF24">
        <f t="shared" si="58"/>
        <v>8.0901999999999994</v>
      </c>
      <c r="AG24">
        <f t="shared" si="59"/>
        <v>-5.8779000000000003</v>
      </c>
      <c r="AH24" t="str">
        <v>L8.0902 -5.8779</v>
      </c>
      <c r="AJ24">
        <f t="shared" si="60"/>
        <v>2.35114</v>
      </c>
      <c r="AK24">
        <f t="shared" si="61"/>
        <v>3.2360699999999998</v>
      </c>
      <c r="AL24" t="str">
        <v>L2.3511 3.2361</v>
      </c>
      <c r="AN24">
        <f t="shared" si="62"/>
        <v>10.517200000000001</v>
      </c>
      <c r="AO24">
        <f t="shared" si="63"/>
        <v>-7.6412000000000004</v>
      </c>
      <c r="AP24" t="str">
        <v>l5.5516 -7.6412</v>
      </c>
      <c r="AR24">
        <f t="shared" si="64"/>
        <v>0.58779000000000003</v>
      </c>
      <c r="AS24">
        <f t="shared" si="65"/>
        <v>0.80901999999999996</v>
      </c>
      <c r="AT24" t="str">
        <v>L.5878 .809</v>
      </c>
      <c r="AV24">
        <f t="shared" si="66"/>
        <v>-4.8540999999999999</v>
      </c>
      <c r="AW24">
        <f t="shared" si="67"/>
        <v>3.52671</v>
      </c>
      <c r="AX24" t="str">
        <v>L-4.8541 3.5267</v>
      </c>
      <c r="AZ24">
        <f t="shared" si="68"/>
        <v>15.870200000000001</v>
      </c>
      <c r="BA24">
        <f t="shared" si="69"/>
        <v>21.843499999999999</v>
      </c>
      <c r="BB24" t="str">
        <v>L15.8702 21.8435</v>
      </c>
      <c r="BD24">
        <f t="shared" si="70"/>
        <v>5.8779000000000003</v>
      </c>
      <c r="BE24">
        <f t="shared" si="71"/>
        <v>8.0901999999999994</v>
      </c>
      <c r="BF24" t="str">
        <v>L5.8779 8.0902</v>
      </c>
      <c r="BH24">
        <f t="shared" si="72"/>
        <v>4.1144999999999996</v>
      </c>
      <c r="BI24">
        <f t="shared" si="73"/>
        <v>5.6631</v>
      </c>
      <c r="BJ24" t="str">
        <v>L4.1145 5.6631</v>
      </c>
      <c r="BL24">
        <f t="shared" si="74"/>
        <v>0.58779000000000003</v>
      </c>
      <c r="BM24">
        <f t="shared" si="75"/>
        <v>0.80901999999999996</v>
      </c>
      <c r="BN24" t="str">
        <v>L.5878 .809</v>
      </c>
      <c r="BP24">
        <f t="shared" si="76"/>
        <v>15.870200000000001</v>
      </c>
      <c r="BQ24">
        <f t="shared" si="77"/>
        <v>21.843499999999999</v>
      </c>
      <c r="BR24" t="str">
        <v>L15.8702 21.8435</v>
      </c>
      <c r="BT24">
        <f t="shared" si="78"/>
        <v>18.221299999999999</v>
      </c>
      <c r="BU24">
        <f t="shared" si="79"/>
        <v>25.079499999999999</v>
      </c>
      <c r="BV24" t="str">
        <v>L18.2213 25.0795</v>
      </c>
      <c r="BX24">
        <f t="shared" si="80"/>
        <v>15.870200000000001</v>
      </c>
      <c r="BY24">
        <f t="shared" si="81"/>
        <v>21.843499999999999</v>
      </c>
      <c r="BZ24" t="str">
        <v>L15.8702 21.8435</v>
      </c>
      <c r="CB24">
        <f t="shared" si="82"/>
        <v>1.2080500000000001</v>
      </c>
      <c r="CC24">
        <f t="shared" si="83"/>
        <v>1.6627400000000001</v>
      </c>
      <c r="CD24" t="str">
        <v>l1.208 .8777</v>
      </c>
    </row>
    <row r="25" spans="2:82">
      <c r="B25" t="s">
        <v>1775</v>
      </c>
      <c r="C25" s="1" cm="1">
        <f t="array" ref="C25" xml:space="preserve"> -SQRT(5 - 2*Sqrt5) / 2</f>
        <v>-0.36327126400268039</v>
      </c>
      <c r="D25" s="1" cm="1">
        <f t="array" ref="D25" xml:space="preserve"> 1 - Sqrt5/2</f>
        <v>-0.1180339887498949</v>
      </c>
      <c r="H25">
        <f t="shared" si="46"/>
        <v>3.6326999999999998</v>
      </c>
      <c r="I25">
        <f t="shared" si="47"/>
        <v>1.1802999999999999</v>
      </c>
      <c r="J25" t="str">
        <v>L3.6327 1.1803</v>
      </c>
      <c r="L25">
        <f t="shared" si="48"/>
        <v>2.5428999999999999</v>
      </c>
      <c r="M25">
        <f t="shared" si="49"/>
        <v>0.82620000000000005</v>
      </c>
      <c r="N25" t="str">
        <v>L2.5429 .8262</v>
      </c>
      <c r="P25">
        <f t="shared" si="50"/>
        <v>1.81636</v>
      </c>
      <c r="Q25">
        <f t="shared" si="51"/>
        <v>0.59016999999999997</v>
      </c>
      <c r="R25" t="str">
        <v>L1.8164 .5902</v>
      </c>
      <c r="T25">
        <f t="shared" si="52"/>
        <v>0.65469999999999995</v>
      </c>
      <c r="U25">
        <f t="shared" si="53"/>
        <v>-3.7631000000000001</v>
      </c>
      <c r="V25" t="str">
        <v>L.6547 -3.7631</v>
      </c>
      <c r="X25">
        <f t="shared" si="54"/>
        <v>0.36326999999999998</v>
      </c>
      <c r="Y25">
        <f t="shared" si="55"/>
        <v>0.11803</v>
      </c>
      <c r="Z25" t="str">
        <v>L.3633 .118</v>
      </c>
      <c r="AB25">
        <f t="shared" si="56"/>
        <v>1.5311999999999999</v>
      </c>
      <c r="AC25">
        <f t="shared" si="57"/>
        <v>3.4992999999999999</v>
      </c>
      <c r="AD25" t="str">
        <v>L1.5312 3.4993</v>
      </c>
      <c r="AF25">
        <f t="shared" si="58"/>
        <v>1.1802999999999999</v>
      </c>
      <c r="AG25">
        <f t="shared" si="59"/>
        <v>-3.6326999999999998</v>
      </c>
      <c r="AH25" t="str">
        <v>L1.1803 -3.6327</v>
      </c>
      <c r="AJ25">
        <f t="shared" si="60"/>
        <v>1.45309</v>
      </c>
      <c r="AK25">
        <f t="shared" si="61"/>
        <v>0.47214</v>
      </c>
      <c r="AL25" t="str">
        <v>L1.4531 .4721</v>
      </c>
      <c r="AN25">
        <f t="shared" si="62"/>
        <v>1.5344</v>
      </c>
      <c r="AO25">
        <f t="shared" si="63"/>
        <v>-4.7225000000000001</v>
      </c>
      <c r="AP25" t="str">
        <v>L1.5344 -4.7225</v>
      </c>
      <c r="AR25">
        <f t="shared" si="64"/>
        <v>0.36326999999999998</v>
      </c>
      <c r="AS25">
        <f t="shared" si="65"/>
        <v>0.11803</v>
      </c>
      <c r="AT25" t="str">
        <v>L.3633 .118</v>
      </c>
      <c r="AV25">
        <f t="shared" si="66"/>
        <v>-0.70820000000000005</v>
      </c>
      <c r="AW25">
        <f t="shared" si="67"/>
        <v>2.17963</v>
      </c>
      <c r="AX25" t="str">
        <v>L-.7082 2.1796</v>
      </c>
      <c r="AZ25">
        <f t="shared" si="68"/>
        <v>9.8082999999999991</v>
      </c>
      <c r="BA25">
        <f t="shared" si="69"/>
        <v>3.1869000000000001</v>
      </c>
      <c r="BB25" t="str">
        <v>L9.8083 3.1869</v>
      </c>
      <c r="BD25">
        <f t="shared" si="70"/>
        <v>3.6326999999999998</v>
      </c>
      <c r="BE25">
        <f t="shared" si="71"/>
        <v>1.1802999999999999</v>
      </c>
      <c r="BF25" t="str">
        <v>L3.6327 1.1803</v>
      </c>
      <c r="BH25">
        <f t="shared" si="72"/>
        <v>2.5428999999999999</v>
      </c>
      <c r="BI25">
        <f t="shared" si="73"/>
        <v>0.82620000000000005</v>
      </c>
      <c r="BJ25" t="str">
        <v>L2.5429 .8262</v>
      </c>
      <c r="BL25">
        <f t="shared" si="74"/>
        <v>0.36326999999999998</v>
      </c>
      <c r="BM25">
        <f t="shared" si="75"/>
        <v>0.11803</v>
      </c>
      <c r="BN25" t="str">
        <v>L.3633 .118</v>
      </c>
      <c r="BP25">
        <f t="shared" si="76"/>
        <v>9.8082999999999991</v>
      </c>
      <c r="BQ25">
        <f t="shared" si="77"/>
        <v>3.1869000000000001</v>
      </c>
      <c r="BR25" t="str">
        <v>L9.8083 3.1869</v>
      </c>
      <c r="BT25">
        <f t="shared" si="78"/>
        <v>11.2614</v>
      </c>
      <c r="BU25">
        <f t="shared" si="79"/>
        <v>3.6591</v>
      </c>
      <c r="BV25" t="str">
        <v>L11.2614 3.6591</v>
      </c>
      <c r="BX25">
        <f t="shared" si="80"/>
        <v>9.8082999999999991</v>
      </c>
      <c r="BY25">
        <f t="shared" si="81"/>
        <v>3.1869000000000001</v>
      </c>
      <c r="BZ25" t="str">
        <v>L9.8083 3.1869</v>
      </c>
      <c r="CB25">
        <f t="shared" si="82"/>
        <v>0.74661999999999995</v>
      </c>
      <c r="CC25">
        <f t="shared" si="83"/>
        <v>0.24259</v>
      </c>
      <c r="CD25" t="str">
        <v>L.7466 .2426</v>
      </c>
    </row>
    <row r="26" spans="2:82">
      <c r="B26" t="s">
        <v>1775</v>
      </c>
      <c r="C26" s="1" cm="1">
        <f t="array" ref="C26" xml:space="preserve"> -SQRT( (5+Sqrt5) / 8 )</f>
        <v>-0.95105651629515353</v>
      </c>
      <c r="D26" s="1" cm="1">
        <f t="array" ref="D26" xml:space="preserve"> (Sqrt5 - 1) / 4</f>
        <v>0.30901699437494745</v>
      </c>
      <c r="H26">
        <f t="shared" si="46"/>
        <v>9.5106000000000002</v>
      </c>
      <c r="I26">
        <f t="shared" si="47"/>
        <v>-3.0901999999999998</v>
      </c>
      <c r="J26" t="str">
        <v>L9.5106 -3.0902</v>
      </c>
      <c r="L26">
        <f t="shared" si="48"/>
        <v>6.6574</v>
      </c>
      <c r="M26">
        <f t="shared" si="49"/>
        <v>-2.1631</v>
      </c>
      <c r="N26" t="str">
        <v>L6.6574 -2.1631</v>
      </c>
      <c r="P26">
        <f t="shared" si="50"/>
        <v>4.75528</v>
      </c>
      <c r="Q26">
        <f t="shared" si="51"/>
        <v>-1.54508</v>
      </c>
      <c r="R26" t="str">
        <v>L4.7553 -1.5451</v>
      </c>
      <c r="T26">
        <f t="shared" si="52"/>
        <v>-4.4040999999999997</v>
      </c>
      <c r="U26">
        <f t="shared" si="53"/>
        <v>-8.9779999999999998</v>
      </c>
      <c r="V26" t="str">
        <v>L-4.4041 -8.978</v>
      </c>
      <c r="X26">
        <f t="shared" si="54"/>
        <v>0.95106000000000002</v>
      </c>
      <c r="Y26">
        <f t="shared" si="55"/>
        <v>-0.30902000000000002</v>
      </c>
      <c r="Z26" t="str">
        <v>L.9511 -.309</v>
      </c>
      <c r="AB26">
        <f t="shared" si="56"/>
        <v>8.6280999999999999</v>
      </c>
      <c r="AC26">
        <f t="shared" si="57"/>
        <v>5.0552999999999999</v>
      </c>
      <c r="AD26" t="str">
        <v>l7.0969 1.556</v>
      </c>
      <c r="AF26">
        <f t="shared" si="58"/>
        <v>-3.0901999999999998</v>
      </c>
      <c r="AG26">
        <f t="shared" si="59"/>
        <v>-9.5106000000000002</v>
      </c>
      <c r="AH26" t="str">
        <v>L-3.0902 -9.5106</v>
      </c>
      <c r="AJ26">
        <f t="shared" si="60"/>
        <v>3.80423</v>
      </c>
      <c r="AK26">
        <f t="shared" si="61"/>
        <v>-1.23607</v>
      </c>
      <c r="AL26" t="str">
        <v>L3.8042 -1.2361</v>
      </c>
      <c r="AN26">
        <f t="shared" si="62"/>
        <v>-4.0171999999999999</v>
      </c>
      <c r="AO26">
        <f t="shared" si="63"/>
        <v>-12.3637</v>
      </c>
      <c r="AP26" t="str">
        <v>l-5.5516 -7.6412</v>
      </c>
      <c r="AR26">
        <f t="shared" si="64"/>
        <v>0.95106000000000002</v>
      </c>
      <c r="AS26">
        <f t="shared" si="65"/>
        <v>-0.30902000000000002</v>
      </c>
      <c r="AT26" t="str">
        <v>L.9511 -.309</v>
      </c>
      <c r="AV26">
        <f t="shared" si="66"/>
        <v>1.8541000000000001</v>
      </c>
      <c r="AW26">
        <f t="shared" si="67"/>
        <v>5.70634</v>
      </c>
      <c r="AX26" t="str">
        <v>L1.8541 5.7063</v>
      </c>
      <c r="AZ26">
        <f t="shared" si="68"/>
        <v>25.6785</v>
      </c>
      <c r="BA26">
        <f t="shared" si="69"/>
        <v>-8.3435000000000006</v>
      </c>
      <c r="BB26" t="str">
        <v>L25.6785 -8.3435</v>
      </c>
      <c r="BD26">
        <f t="shared" si="70"/>
        <v>9.5106000000000002</v>
      </c>
      <c r="BE26">
        <f t="shared" si="71"/>
        <v>-3.0901999999999998</v>
      </c>
      <c r="BF26" t="str">
        <v>L9.5106 -3.0902</v>
      </c>
      <c r="BH26">
        <f t="shared" si="72"/>
        <v>6.6574</v>
      </c>
      <c r="BI26">
        <f t="shared" si="73"/>
        <v>-2.1631</v>
      </c>
      <c r="BJ26" t="str">
        <v>L6.6574 -2.1631</v>
      </c>
      <c r="BL26">
        <f t="shared" si="74"/>
        <v>0.95106000000000002</v>
      </c>
      <c r="BM26">
        <f t="shared" si="75"/>
        <v>-0.30902000000000002</v>
      </c>
      <c r="BN26" t="str">
        <v>L.9511 -.309</v>
      </c>
      <c r="BP26">
        <f t="shared" si="76"/>
        <v>25.6785</v>
      </c>
      <c r="BQ26">
        <f t="shared" si="77"/>
        <v>-8.3435000000000006</v>
      </c>
      <c r="BR26" t="str">
        <v>L25.6785 -8.3435</v>
      </c>
      <c r="BT26">
        <f t="shared" si="78"/>
        <v>29.482800000000001</v>
      </c>
      <c r="BU26">
        <f t="shared" si="79"/>
        <v>-9.5794999999999995</v>
      </c>
      <c r="BV26" t="str">
        <v>L29.4828 -9.5795</v>
      </c>
      <c r="BX26">
        <f t="shared" si="80"/>
        <v>25.6785</v>
      </c>
      <c r="BY26">
        <f t="shared" si="81"/>
        <v>-8.3435000000000006</v>
      </c>
      <c r="BZ26" t="str">
        <v>L25.6785 -8.3435</v>
      </c>
      <c r="CB26">
        <f t="shared" si="82"/>
        <v>1.9546699999999999</v>
      </c>
      <c r="CC26">
        <f t="shared" si="83"/>
        <v>-0.63510999999999995</v>
      </c>
      <c r="CD26" t="str">
        <v>L1.9547 -.6351</v>
      </c>
    </row>
    <row r="27" spans="2:82">
      <c r="B27" t="s">
        <v>1775</v>
      </c>
      <c r="C27" s="1" cm="1">
        <f t="array" ref="C27" xml:space="preserve"> -SQRT(50 - 22*Sqrt5) / 4</f>
        <v>-0.22451398828979235</v>
      </c>
      <c r="D27" s="1" cm="1">
        <f t="array" ref="D27" xml:space="preserve"> (Sqrt5 - 1) / 4</f>
        <v>0.30901699437494745</v>
      </c>
      <c r="H27">
        <f t="shared" si="46"/>
        <v>2.2450999999999999</v>
      </c>
      <c r="I27">
        <f t="shared" si="47"/>
        <v>-3.0901999999999998</v>
      </c>
      <c r="J27" t="str">
        <v>H2.2451Z</v>
      </c>
      <c r="L27">
        <f t="shared" si="48"/>
        <v>1.5716000000000001</v>
      </c>
      <c r="M27">
        <f t="shared" si="49"/>
        <v>-2.1631</v>
      </c>
      <c r="N27" t="str">
        <v>H1.5716Z</v>
      </c>
      <c r="P27">
        <f t="shared" si="50"/>
        <v>1.1225700000000001</v>
      </c>
      <c r="Q27">
        <f t="shared" si="51"/>
        <v>-1.54508</v>
      </c>
      <c r="R27" t="str">
        <v>H1.1226Z</v>
      </c>
      <c r="T27">
        <f t="shared" si="52"/>
        <v>-3.3765999999999998</v>
      </c>
      <c r="U27">
        <f t="shared" si="53"/>
        <v>-1.7856000000000001</v>
      </c>
      <c r="V27" t="str">
        <v>l1.0275 7.1924Z</v>
      </c>
      <c r="X27">
        <f t="shared" si="54"/>
        <v>0.22450999999999999</v>
      </c>
      <c r="Y27">
        <f t="shared" si="55"/>
        <v>-0.30902000000000002</v>
      </c>
      <c r="Z27" t="str">
        <v>H.2245Z</v>
      </c>
      <c r="AB27">
        <f t="shared" si="56"/>
        <v>3.8012000000000001</v>
      </c>
      <c r="AC27">
        <f t="shared" si="57"/>
        <v>-0.375</v>
      </c>
      <c r="AD27" t="str">
        <v>L3.8012 -.375Z</v>
      </c>
      <c r="AF27">
        <f t="shared" si="58"/>
        <v>-3.0901999999999998</v>
      </c>
      <c r="AG27">
        <f t="shared" si="59"/>
        <v>-2.2450999999999999</v>
      </c>
      <c r="AH27" t="str">
        <v>v7.2655Z</v>
      </c>
      <c r="AJ27">
        <f t="shared" si="60"/>
        <v>0.89805999999999997</v>
      </c>
      <c r="AK27">
        <f t="shared" si="61"/>
        <v>-1.23607</v>
      </c>
      <c r="AL27" t="str">
        <v>H.8981Z</v>
      </c>
      <c r="AN27">
        <f t="shared" si="62"/>
        <v>-4.0171999999999999</v>
      </c>
      <c r="AO27">
        <f t="shared" si="63"/>
        <v>-2.9186999999999999</v>
      </c>
      <c r="AP27" t="str">
        <v>v9.445Z</v>
      </c>
      <c r="AR27">
        <f t="shared" si="64"/>
        <v>0.22450999999999999</v>
      </c>
      <c r="AS27">
        <f t="shared" si="65"/>
        <v>-0.30902000000000002</v>
      </c>
      <c r="AT27" t="str">
        <v>H.2245Z</v>
      </c>
      <c r="AV27">
        <f t="shared" si="66"/>
        <v>1.8541000000000001</v>
      </c>
      <c r="AW27">
        <f t="shared" si="67"/>
        <v>1.3470800000000001</v>
      </c>
      <c r="AX27" t="str">
        <v>V1.3471Z</v>
      </c>
      <c r="AZ27">
        <f t="shared" si="68"/>
        <v>6.0618999999999996</v>
      </c>
      <c r="BA27">
        <f t="shared" si="69"/>
        <v>-8.3435000000000006</v>
      </c>
      <c r="BB27" t="str">
        <v>H6.0619Z</v>
      </c>
      <c r="BD27">
        <f t="shared" si="70"/>
        <v>2.2450999999999999</v>
      </c>
      <c r="BE27">
        <f t="shared" si="71"/>
        <v>-3.0901999999999998</v>
      </c>
      <c r="BF27" t="str">
        <v>H2.2451Z</v>
      </c>
      <c r="BH27">
        <f t="shared" si="72"/>
        <v>1.5716000000000001</v>
      </c>
      <c r="BI27">
        <f t="shared" si="73"/>
        <v>-2.1631</v>
      </c>
      <c r="BJ27" t="str">
        <v>H1.5716Z</v>
      </c>
      <c r="BL27">
        <f t="shared" si="74"/>
        <v>0.22450999999999999</v>
      </c>
      <c r="BM27">
        <f t="shared" si="75"/>
        <v>-0.30902000000000002</v>
      </c>
      <c r="BN27" t="str">
        <v>H.2245Z</v>
      </c>
      <c r="BP27">
        <f t="shared" si="76"/>
        <v>6.0618999999999996</v>
      </c>
      <c r="BQ27">
        <f t="shared" si="77"/>
        <v>-8.3435000000000006</v>
      </c>
      <c r="BR27" t="str">
        <v>H6.0619Z</v>
      </c>
      <c r="BT27">
        <f t="shared" si="78"/>
        <v>6.9599000000000002</v>
      </c>
      <c r="BU27">
        <f t="shared" si="79"/>
        <v>-9.5794999999999995</v>
      </c>
      <c r="BV27" t="str">
        <v>H6.9599Z</v>
      </c>
      <c r="BX27">
        <f t="shared" si="80"/>
        <v>6.0618999999999996</v>
      </c>
      <c r="BY27">
        <f t="shared" si="81"/>
        <v>-8.3435000000000006</v>
      </c>
      <c r="BZ27" t="str">
        <v>H6.0619Z</v>
      </c>
      <c r="CB27">
        <f t="shared" si="82"/>
        <v>0.46143000000000001</v>
      </c>
      <c r="CC27">
        <f t="shared" si="83"/>
        <v>-0.63510999999999995</v>
      </c>
      <c r="CD27" t="str">
        <v>H.4614Z</v>
      </c>
    </row>
    <row r="28" spans="2:82">
      <c r="J28" s="5"/>
      <c r="N28" s="5"/>
      <c r="R28" s="5"/>
      <c r="V28" s="5"/>
      <c r="Z28" s="5"/>
      <c r="AD28" s="5"/>
      <c r="AH28" s="5"/>
      <c r="AL28" s="5"/>
      <c r="AP28" s="5"/>
      <c r="AT28" s="5"/>
      <c r="AX28" s="5"/>
      <c r="BB28" s="5"/>
      <c r="BF28" s="5"/>
      <c r="BJ28" s="5"/>
      <c r="BN28" s="5"/>
      <c r="BR28" s="5"/>
      <c r="BV28" s="5"/>
      <c r="BZ28" s="5"/>
      <c r="CD28" s="5"/>
    </row>
    <row r="30" spans="2:82">
      <c r="B30" t="s">
        <v>143</v>
      </c>
      <c r="C30" s="1">
        <v>0</v>
      </c>
      <c r="D30" s="1" cm="1">
        <f t="array" ref="D30" xml:space="preserve"> ( SQRT((1 - Sqrt5/5)/10) + Sqrt5 - 3 ) / 2</f>
        <v>-0.26440896079161047</v>
      </c>
      <c r="AR30">
        <f t="shared" ref="AR30:AR34" si="84" xml:space="preserve"> ROUND(_xlfn.SINGLE(Star_5_2.SizePath) * ( _xlfn.SINGLE(Star_5_2.RawX)*COS(_xlfn.SINGLE(Star_5_2.Rotation)) - _xlfn.SINGLE(Star_5_2.RawY)*SIN(_xlfn.SINGLE(Star_5_2.Rotation)) ), _xlfn.SINGLE(Star_5_2.DecimalPlaces))</f>
        <v>0</v>
      </c>
      <c r="AS30">
        <f t="shared" ref="AS30:AS34" si="85" xml:space="preserve"> ROUND(_xlfn.SINGLE(Star_5_2.SizePath) * ( _xlfn.SINGLE(Star_5_2.RawY)*COS(_xlfn.SINGLE(Star_5_2.Rotation)) + _xlfn.SINGLE(Star_5_2.RawX)*SIN(_xlfn.SINGLE(Star_5_2.Rotation)) ), _xlfn.SINGLE(Star_5_2.DecimalPlaces))</f>
        <v>0.26440999999999998</v>
      </c>
      <c r="AT30" t="str">
        <f t="array" ref="AT30:AT34" xml:space="preserve"> svgpath(AR$30:AR$34, AS$30:AS$34, 4)</f>
        <v>M0 .2644</v>
      </c>
    </row>
    <row r="31" spans="2:82">
      <c r="B31" t="s">
        <v>143</v>
      </c>
      <c r="C31" s="1" cm="1">
        <f t="array" ref="C31" xml:space="preserve"> ( Sqrt5/5 - 2*SQRT(5-2*Sqrt5) ) / 4</f>
        <v>-0.25146786512769093</v>
      </c>
      <c r="D31" s="1" cm="1">
        <f t="array" ref="D31" xml:space="preserve"> 1 - Sqrt5/2 + SQRT(5 - 2*Sqrt5)/20</f>
        <v>-8.170686234962686E-2</v>
      </c>
      <c r="AR31">
        <f t="shared" si="84"/>
        <v>0.25147000000000003</v>
      </c>
      <c r="AS31">
        <f t="shared" si="85"/>
        <v>8.1710000000000005E-2</v>
      </c>
      <c r="AT31" t="str">
        <v>L.2515 .0817</v>
      </c>
    </row>
    <row r="32" spans="2:82">
      <c r="B32" t="s">
        <v>143</v>
      </c>
      <c r="C32" s="1" cm="1">
        <f t="array" ref="C32" xml:space="preserve">     (5 - Sqrt5)/40 - SQRT(50 - 22*Sqrt5)/4</f>
        <v>-0.15541568772728709</v>
      </c>
      <c r="D32" s="1" cm="1">
        <f t="array" ref="D32" xml:space="preserve"> ( Sqrt5 - 1 - SQRT((5 + Sqrt5)/2)/5 ) / 4</f>
        <v>0.21391134274543211</v>
      </c>
      <c r="AR32">
        <f t="shared" si="84"/>
        <v>0.15542</v>
      </c>
      <c r="AS32">
        <f t="shared" si="85"/>
        <v>-0.21390999999999999</v>
      </c>
      <c r="AT32" t="str">
        <v>L.1554 -.2139</v>
      </c>
    </row>
    <row r="33" spans="2:46">
      <c r="B33" t="s">
        <v>143</v>
      </c>
      <c r="C33" s="1">
        <f xml:space="preserve"> - C32</f>
        <v>0.15541568772728709</v>
      </c>
      <c r="D33" s="1">
        <f xml:space="preserve"> D32</f>
        <v>0.21391134274543211</v>
      </c>
      <c r="AR33">
        <f t="shared" si="84"/>
        <v>-0.15542</v>
      </c>
      <c r="AS33">
        <f t="shared" si="85"/>
        <v>-0.21390999999999999</v>
      </c>
      <c r="AT33" t="str">
        <v>H-.1554</v>
      </c>
    </row>
    <row r="34" spans="2:46">
      <c r="B34" t="s">
        <v>143</v>
      </c>
      <c r="C34" s="1">
        <f xml:space="preserve"> -C31</f>
        <v>0.25146786512769093</v>
      </c>
      <c r="D34" s="1">
        <f xml:space="preserve"> D31</f>
        <v>-8.170686234962686E-2</v>
      </c>
      <c r="AR34">
        <f t="shared" si="84"/>
        <v>-0.25147000000000003</v>
      </c>
      <c r="AS34">
        <f t="shared" si="85"/>
        <v>8.1710000000000005E-2</v>
      </c>
      <c r="AT34" t="str">
        <v>L-.2515 .0817Z</v>
      </c>
    </row>
    <row r="35" spans="2:46">
      <c r="C35" s="1"/>
      <c r="D35" s="1"/>
    </row>
    <row r="36" spans="2:46">
      <c r="C36" s="1"/>
      <c r="D36" s="1"/>
    </row>
    <row r="37" spans="2:46">
      <c r="B37" t="s">
        <v>148</v>
      </c>
      <c r="C37" s="1">
        <v>0</v>
      </c>
      <c r="D37" s="1" cm="1">
        <f t="array" ref="D37" xml:space="preserve"> 1 - SQRT(5 + 2*Sqrt5)/10</f>
        <v>0.69223164628247469</v>
      </c>
      <c r="AR37">
        <f t="shared" ref="AR37:AR39" si="86" xml:space="preserve"> ROUND(_xlfn.SINGLE(Star_5_2.SizePath) * ( _xlfn.SINGLE(Star_5_2.RawX)*COS(_xlfn.SINGLE(Star_5_2.Rotation)) - _xlfn.SINGLE(Star_5_2.RawY)*SIN(_xlfn.SINGLE(Star_5_2.Rotation)) ), _xlfn.SINGLE(Star_5_2.DecimalPlaces))</f>
        <v>0</v>
      </c>
      <c r="AS37">
        <f t="shared" ref="AS37:AS39" si="87" xml:space="preserve"> ROUND(_xlfn.SINGLE(Star_5_2.SizePath) * ( _xlfn.SINGLE(Star_5_2.RawY)*COS(_xlfn.SINGLE(Star_5_2.Rotation)) + _xlfn.SINGLE(Star_5_2.RawX)*SIN(_xlfn.SINGLE(Star_5_2.Rotation)) ), _xlfn.SINGLE(Star_5_2.DecimalPlaces))</f>
        <v>-0.69223000000000001</v>
      </c>
      <c r="AT37" t="str">
        <f t="array" ref="AT37:AT39" xml:space="preserve"> svgpath(AR37:AR39, AS37:AS39, 4)</f>
        <v>M0 -.6922</v>
      </c>
    </row>
    <row r="38" spans="2:46">
      <c r="B38" t="s">
        <v>148</v>
      </c>
      <c r="C38" s="1" cm="1">
        <f t="array" ref="C38" xml:space="preserve"> (5 *SQRT(50 - 22*Sqrt5) - 2) / 20</f>
        <v>0.12451398828979236</v>
      </c>
      <c r="D38" s="1" cm="1">
        <f t="array" ref="D38" xml:space="preserve"> (Sqrt5 - 1) / 4</f>
        <v>0.30901699437494745</v>
      </c>
      <c r="AR38">
        <f t="shared" si="86"/>
        <v>-0.12451</v>
      </c>
      <c r="AS38">
        <f t="shared" si="87"/>
        <v>-0.30902000000000002</v>
      </c>
      <c r="AT38" t="str">
        <v>L-.1245 -.309</v>
      </c>
    </row>
    <row r="39" spans="2:46">
      <c r="B39" t="s">
        <v>148</v>
      </c>
      <c r="C39" s="1">
        <f xml:space="preserve"> - C38</f>
        <v>-0.12451398828979236</v>
      </c>
      <c r="D39" s="1">
        <f xml:space="preserve"> D38</f>
        <v>0.30901699437494745</v>
      </c>
      <c r="AR39">
        <f t="shared" si="86"/>
        <v>0.12451</v>
      </c>
      <c r="AS39">
        <f t="shared" si="87"/>
        <v>-0.30902000000000002</v>
      </c>
      <c r="AT39" t="str">
        <v>h.249Z</v>
      </c>
    </row>
    <row r="40" spans="2:46">
      <c r="C40" s="1"/>
      <c r="D40" s="1"/>
    </row>
    <row r="41" spans="2:46">
      <c r="C41" s="1"/>
      <c r="D41" s="1"/>
    </row>
    <row r="42" spans="2:46">
      <c r="B42" t="s">
        <v>144</v>
      </c>
      <c r="C42" s="1" cm="1">
        <f t="array" ref="C42" xml:space="preserve"> ( 2*SQRT((5 + Sqrt5)*2) - 1 - 0.6*Sqrt5 ) / 8</f>
        <v>0.65835141798266927</v>
      </c>
      <c r="D42" s="1">
        <f xml:space="preserve"> D32</f>
        <v>0.21391134274543211</v>
      </c>
      <c r="AR42">
        <f t="shared" ref="AR42:AR44" si="88" xml:space="preserve"> ROUND(_xlfn.SINGLE(Star_5_2.SizePath) * ( _xlfn.SINGLE(Star_5_2.RawX)*COS(_xlfn.SINGLE(Star_5_2.Rotation)) - _xlfn.SINGLE(Star_5_2.RawY)*SIN(_xlfn.SINGLE(Star_5_2.Rotation)) ), _xlfn.SINGLE(Star_5_2.DecimalPlaces))</f>
        <v>-0.65834999999999999</v>
      </c>
      <c r="AS42">
        <f t="shared" ref="AS42:AS44" si="89" xml:space="preserve"> ROUND(_xlfn.SINGLE(Star_5_2.SizePath) * ( _xlfn.SINGLE(Star_5_2.RawY)*COS(_xlfn.SINGLE(Star_5_2.Rotation)) + _xlfn.SINGLE(Star_5_2.RawX)*SIN(_xlfn.SINGLE(Star_5_2.Rotation)) ), _xlfn.SINGLE(Star_5_2.DecimalPlaces))</f>
        <v>-0.21390999999999999</v>
      </c>
      <c r="AT42" t="str">
        <f t="array" ref="AT42:AT44" xml:space="preserve"> svgpath(AR42:AR44, AS42:AS44, 4)</f>
        <v>M-.6584 -.2139</v>
      </c>
    </row>
    <row r="43" spans="2:46">
      <c r="B43" t="s">
        <v>144</v>
      </c>
      <c r="C43" s="1" cm="1">
        <f t="array" ref="C43" xml:space="preserve"> SQRT(5 - 2*Sqrt5)/2 - (Sqrt5 - 1)/40</f>
        <v>0.33236956456518563</v>
      </c>
      <c r="D43" s="1" cm="1">
        <f t="array" ref="D43" xml:space="preserve">  1 - Sqrt5/2 + SQRT(10 + 2*Sqrt5)/40</f>
        <v>-2.2928337120379547E-2</v>
      </c>
      <c r="AR43">
        <f t="shared" si="88"/>
        <v>-0.33237</v>
      </c>
      <c r="AS43">
        <f t="shared" si="89"/>
        <v>2.2929999999999999E-2</v>
      </c>
      <c r="AT43" t="str">
        <v>l.326 .2368</v>
      </c>
    </row>
    <row r="44" spans="2:46">
      <c r="B44" t="s">
        <v>144</v>
      </c>
      <c r="C44" s="1" cm="1">
        <f t="array" ref="C44" xml:space="preserve">  SQRT(50 - 22*Sqrt5)/4 + (Sqrt5 - 1)/40</f>
        <v>0.25541568772728712</v>
      </c>
      <c r="D44" s="1">
        <f xml:space="preserve"> D42</f>
        <v>0.21391134274543211</v>
      </c>
      <c r="AR44">
        <f t="shared" si="88"/>
        <v>-0.25541999999999998</v>
      </c>
      <c r="AS44">
        <f t="shared" si="89"/>
        <v>-0.21390999999999999</v>
      </c>
      <c r="AT44" t="str">
        <v>l.077 -.2368Z</v>
      </c>
    </row>
    <row r="45" spans="2:46">
      <c r="C45" s="1"/>
      <c r="D45" s="1"/>
    </row>
    <row r="46" spans="2:46">
      <c r="C46" s="1"/>
      <c r="D46" s="1"/>
    </row>
    <row r="47" spans="2:46">
      <c r="B47" t="s">
        <v>145</v>
      </c>
      <c r="C47" s="1">
        <f xml:space="preserve"> -C42</f>
        <v>-0.65835141798266927</v>
      </c>
      <c r="D47" s="1">
        <f xml:space="preserve"> D42</f>
        <v>0.21391134274543211</v>
      </c>
      <c r="AR47">
        <f t="shared" ref="AR47:AR49" si="90" xml:space="preserve"> ROUND(_xlfn.SINGLE(Star_5_2.SizePath) * ( _xlfn.SINGLE(Star_5_2.RawX)*COS(_xlfn.SINGLE(Star_5_2.Rotation)) - _xlfn.SINGLE(Star_5_2.RawY)*SIN(_xlfn.SINGLE(Star_5_2.Rotation)) ), _xlfn.SINGLE(Star_5_2.DecimalPlaces))</f>
        <v>0.65834999999999999</v>
      </c>
      <c r="AS47">
        <f t="shared" ref="AS47:AS49" si="91" xml:space="preserve"> ROUND(_xlfn.SINGLE(Star_5_2.SizePath) * ( _xlfn.SINGLE(Star_5_2.RawY)*COS(_xlfn.SINGLE(Star_5_2.Rotation)) + _xlfn.SINGLE(Star_5_2.RawX)*SIN(_xlfn.SINGLE(Star_5_2.Rotation)) ), _xlfn.SINGLE(Star_5_2.DecimalPlaces))</f>
        <v>-0.21390999999999999</v>
      </c>
      <c r="AT47" t="str">
        <f t="array" ref="AT47:AT49" xml:space="preserve"> svgpath(AR47:AR49, AS47:AS49, 4)</f>
        <v>M.6584 -.2139</v>
      </c>
    </row>
    <row r="48" spans="2:46">
      <c r="B48" t="s">
        <v>145</v>
      </c>
      <c r="C48" s="1">
        <f xml:space="preserve"> - C44</f>
        <v>-0.25541568772728712</v>
      </c>
      <c r="D48" s="1">
        <f xml:space="preserve"> D44</f>
        <v>0.21391134274543211</v>
      </c>
      <c r="AR48">
        <f t="shared" si="90"/>
        <v>0.25541999999999998</v>
      </c>
      <c r="AS48">
        <f t="shared" si="91"/>
        <v>-0.21390999999999999</v>
      </c>
      <c r="AT48" t="str">
        <v>H.2554</v>
      </c>
    </row>
    <row r="49" spans="2:82">
      <c r="B49" t="s">
        <v>145</v>
      </c>
      <c r="C49" s="1">
        <f xml:space="preserve"> - C43</f>
        <v>-0.33236956456518563</v>
      </c>
      <c r="D49" s="1">
        <f xml:space="preserve"> D43</f>
        <v>-2.2928337120379547E-2</v>
      </c>
      <c r="AR49">
        <f t="shared" si="90"/>
        <v>0.33237</v>
      </c>
      <c r="AS49">
        <f t="shared" si="91"/>
        <v>2.2929999999999999E-2</v>
      </c>
      <c r="AT49" t="str">
        <v>l.077 .2368Z</v>
      </c>
    </row>
    <row r="50" spans="2:82">
      <c r="C50" s="1"/>
      <c r="D50" s="1"/>
    </row>
    <row r="51" spans="2:82">
      <c r="C51" s="1"/>
      <c r="D51" s="1"/>
    </row>
    <row r="52" spans="2:82">
      <c r="B52" t="s">
        <v>146</v>
      </c>
      <c r="C52" s="1" cm="1">
        <f t="array" ref="C52" xml:space="preserve"> SQRT(10 - 2*Sqrt5)/4 - (1 + Sqrt5/5)/8</f>
        <v>0.4068835528549784</v>
      </c>
      <c r="D52" s="1" cm="1">
        <f t="array" ref="D52" xml:space="preserve"> (SQRT(5 + 2*Sqrt5) - 10) * (1 + Sqrt5) / 40</f>
        <v>-0.56002716588666934</v>
      </c>
      <c r="AR52">
        <f t="shared" ref="AR52:AR54" si="92" xml:space="preserve"> ROUND(_xlfn.SINGLE(Star_5_2.SizePath) * ( _xlfn.SINGLE(Star_5_2.RawX)*COS(_xlfn.SINGLE(Star_5_2.Rotation)) - _xlfn.SINGLE(Star_5_2.RawY)*SIN(_xlfn.SINGLE(Star_5_2.Rotation)) ), _xlfn.SINGLE(Star_5_2.DecimalPlaces))</f>
        <v>-0.40688000000000002</v>
      </c>
      <c r="AS52">
        <f t="shared" ref="AS52:AS54" si="93" xml:space="preserve"> ROUND(_xlfn.SINGLE(Star_5_2.SizePath) * ( _xlfn.SINGLE(Star_5_2.RawY)*COS(_xlfn.SINGLE(Star_5_2.Rotation)) + _xlfn.SINGLE(Star_5_2.RawX)*SIN(_xlfn.SINGLE(Star_5_2.Rotation)) ), _xlfn.SINGLE(Star_5_2.DecimalPlaces))</f>
        <v>0.56003000000000003</v>
      </c>
      <c r="AT52" t="str">
        <f t="array" ref="AT52:AT54" xml:space="preserve"> svgpath(AR52:AR54, AS52:AS54, 4)</f>
        <v>M-.4069 .56</v>
      </c>
    </row>
    <row r="53" spans="2:82">
      <c r="B53" t="s">
        <v>146</v>
      </c>
      <c r="C53" s="1" cm="1">
        <f t="array" ref="C53" xml:space="preserve"> (1 + Sqrt5) / 40</f>
        <v>8.0901699437494742E-2</v>
      </c>
      <c r="D53" s="1" cm="1">
        <f t="array" ref="D53" xml:space="preserve"> SQRT(10 - 2*Sqrt5)/40 + Sqrt5/2 - 1.5</f>
        <v>-0.32318748602085767</v>
      </c>
      <c r="AR53">
        <f t="shared" si="92"/>
        <v>-8.09E-2</v>
      </c>
      <c r="AS53">
        <f t="shared" si="93"/>
        <v>0.32318999999999998</v>
      </c>
      <c r="AT53" t="str">
        <v>l.326 -.2368</v>
      </c>
    </row>
    <row r="54" spans="2:82">
      <c r="B54" t="s">
        <v>146</v>
      </c>
      <c r="C54" s="1" cm="1">
        <f t="array" ref="C54" xml:space="preserve"> SQRT(5 - 2*Sqrt5)/2 - (1 + Sqrt5) / 40</f>
        <v>0.28236956456518564</v>
      </c>
      <c r="D54" s="1" cm="1">
        <f t="array" ref="D54" xml:space="preserve">   1 - Sqrt5/2 - SQRT(10 - 2*Sqrt5) / 40</f>
        <v>-0.17681251397914222</v>
      </c>
      <c r="AR54">
        <f t="shared" si="92"/>
        <v>-0.28237000000000001</v>
      </c>
      <c r="AS54">
        <f t="shared" si="93"/>
        <v>0.17680999999999999</v>
      </c>
      <c r="AT54" t="str">
        <v>L-.2824 .1768Z</v>
      </c>
    </row>
    <row r="55" spans="2:82">
      <c r="C55" s="1"/>
      <c r="D55" s="1"/>
    </row>
    <row r="56" spans="2:82">
      <c r="C56" s="1"/>
      <c r="D56" s="1"/>
    </row>
    <row r="57" spans="2:82">
      <c r="B57" t="s">
        <v>147</v>
      </c>
      <c r="C57" s="1">
        <f xml:space="preserve"> - C52</f>
        <v>-0.4068835528549784</v>
      </c>
      <c r="D57" s="1">
        <f xml:space="preserve"> D52</f>
        <v>-0.56002716588666934</v>
      </c>
      <c r="AR57">
        <f t="shared" ref="AR57:AR59" si="94" xml:space="preserve"> ROUND(_xlfn.SINGLE(Star_5_2.SizePath) * ( _xlfn.SINGLE(Star_5_2.RawX)*COS(_xlfn.SINGLE(Star_5_2.Rotation)) - _xlfn.SINGLE(Star_5_2.RawY)*SIN(_xlfn.SINGLE(Star_5_2.Rotation)) ), _xlfn.SINGLE(Star_5_2.DecimalPlaces))</f>
        <v>0.40688000000000002</v>
      </c>
      <c r="AS57">
        <f t="shared" ref="AS57:AS59" si="95" xml:space="preserve"> ROUND(_xlfn.SINGLE(Star_5_2.SizePath) * ( _xlfn.SINGLE(Star_5_2.RawY)*COS(_xlfn.SINGLE(Star_5_2.Rotation)) + _xlfn.SINGLE(Star_5_2.RawX)*SIN(_xlfn.SINGLE(Star_5_2.Rotation)) ), _xlfn.SINGLE(Star_5_2.DecimalPlaces))</f>
        <v>0.56003000000000003</v>
      </c>
      <c r="AT57" t="str">
        <f t="array" ref="AT57:AT59" xml:space="preserve"> svgpath(AR57:AR59, AS57:AS59, 4)</f>
        <v>M.4069 .56</v>
      </c>
    </row>
    <row r="58" spans="2:82">
      <c r="B58" t="s">
        <v>147</v>
      </c>
      <c r="C58" s="1">
        <f xml:space="preserve"> - C54</f>
        <v>-0.28236956456518564</v>
      </c>
      <c r="D58" s="1">
        <f xml:space="preserve"> D54</f>
        <v>-0.17681251397914222</v>
      </c>
      <c r="AR58">
        <f t="shared" si="94"/>
        <v>0.28237000000000001</v>
      </c>
      <c r="AS58">
        <f t="shared" si="95"/>
        <v>0.17680999999999999</v>
      </c>
      <c r="AT58" t="str">
        <v>L.2824 .1768</v>
      </c>
    </row>
    <row r="59" spans="2:82">
      <c r="B59" t="s">
        <v>147</v>
      </c>
      <c r="C59" s="1">
        <f xml:space="preserve"> - C53</f>
        <v>-8.0901699437494742E-2</v>
      </c>
      <c r="D59" s="1">
        <f xml:space="preserve"> D53</f>
        <v>-0.32318748602085767</v>
      </c>
      <c r="AR59">
        <f t="shared" si="94"/>
        <v>8.09E-2</v>
      </c>
      <c r="AS59">
        <f t="shared" si="95"/>
        <v>0.32318999999999998</v>
      </c>
      <c r="AT59" t="str">
        <v>L.0809 .3232Z</v>
      </c>
    </row>
    <row r="62" spans="2:82">
      <c r="F62" s="4" t="s">
        <v>12</v>
      </c>
      <c r="J62">
        <f xml:space="preserve"> ROUND(MAX(H$18:H$59), _xlfn.SINGLE(Star_5_2.DecimalPlaces))</f>
        <v>9.5106000000000002</v>
      </c>
      <c r="N62" s="28">
        <f xml:space="preserve"> ROUND(MAX(_xlfn.SINGLE(Star_5_2.SizeOuter), _xlfn.SINGLE(Star_5_2.SizeMiddle), _xlfn.SINGLE(Star_5_2.SizeInner)), _xlfn.SINGLE(Star_5_2.DecimalPlaces))</f>
        <v>10</v>
      </c>
      <c r="R62" s="28">
        <f xml:space="preserve"> ROUND(MAX(_xlfn.SINGLE(Star_5_2.SizeOuter), _xlfn.SINGLE(Star_5_2.SizeMiddle), _xlfn.SINGLE(Star_5_2.SizeInner)), _xlfn.SINGLE(Star_5_2.DecimalPlaces))</f>
        <v>5</v>
      </c>
      <c r="V62">
        <f xml:space="preserve"> ROUND(MAX(T$18:T$59), _xlfn.SINGLE(Star_5_2.DecimalPlaces))</f>
        <v>8.8400999999999996</v>
      </c>
      <c r="Z62" s="28">
        <f xml:space="preserve"> ROUND(MAX(_xlfn.SINGLE(Star_5_2.SizeOuter), _xlfn.SINGLE(Star_5_2.SizeMiddle), _xlfn.SINGLE(Star_5_2.SizeInner)), _xlfn.SINGLE(Star_5_2.DecimalPlaces))</f>
        <v>1</v>
      </c>
      <c r="AD62">
        <f xml:space="preserve"> ROUND(MAX(AB$18:AB$59), _xlfn.SINGLE(Star_5_2.DecimalPlaces))</f>
        <v>8.6280999999999999</v>
      </c>
      <c r="AH62">
        <f xml:space="preserve"> ROUND(MAX(AF$18:AF$59), _xlfn.SINGLE(Star_5_2.DecimalPlaces))</f>
        <v>8.0901999999999994</v>
      </c>
      <c r="AL62" s="28">
        <f xml:space="preserve"> ROUND(MAX(_xlfn.SINGLE(Star_5_2.SizeOuter), _xlfn.SINGLE(Star_5_2.SizeMiddle), _xlfn.SINGLE(Star_5_2.SizeInner)), _xlfn.SINGLE(Star_5_2.DecimalPlaces))</f>
        <v>4</v>
      </c>
      <c r="AP62" s="28">
        <f xml:space="preserve"> ROUND(MAX(_xlfn.SINGLE(Star_5_2.SizeOuter), _xlfn.SINGLE(Star_5_2.SizeMiddle), _xlfn.SINGLE(Star_5_2.SizeInner)), _xlfn.SINGLE(Star_5_2.DecimalPlaces))</f>
        <v>16</v>
      </c>
      <c r="AT62">
        <f xml:space="preserve"> ROUND(MAX(AR$18:AR$59), _xlfn.SINGLE(Star_5_2.DecimalPlaces))</f>
        <v>0.95106000000000002</v>
      </c>
      <c r="AX62" s="28">
        <f xml:space="preserve"> _xlfn.SINGLE(Star_5_2.SizeOuter)</f>
        <v>6</v>
      </c>
      <c r="BB62">
        <f xml:space="preserve"> ROUND(MAX(AZ$18:AZ$59), _xlfn.SINGLE(Star_5_2.DecimalPlaces))</f>
        <v>25.6785</v>
      </c>
      <c r="BF62">
        <f xml:space="preserve"> ROUND(MAX(BD$18:BD$59), _xlfn.SINGLE(Star_5_2.DecimalPlaces))</f>
        <v>9.5106000000000002</v>
      </c>
      <c r="BJ62" s="28">
        <f xml:space="preserve"> ROUND(MAX(_xlfn.SINGLE(Star_5_2.SizeOuter), _xlfn.SINGLE(Star_5_2.SizeMiddle), _xlfn.SINGLE(Star_5_2.SizeInner)), _xlfn.SINGLE(Star_5_2.DecimalPlaces))</f>
        <v>8</v>
      </c>
      <c r="BN62" s="28">
        <f xml:space="preserve"> ROUND(MAX(_xlfn.SINGLE(Star_5_2.SizeOuter), _xlfn.SINGLE(Star_5_2.SizeMiddle), _xlfn.SINGLE(Star_5_2.SizeInner)), _xlfn.SINGLE(Star_5_2.DecimalPlaces))</f>
        <v>1</v>
      </c>
      <c r="BR62">
        <f xml:space="preserve"> ROUND(MAX(BP$18:BP$59), _xlfn.SINGLE(Star_5_2.DecimalPlaces))</f>
        <v>25.6785</v>
      </c>
      <c r="BV62" s="28">
        <v>40</v>
      </c>
      <c r="BZ62">
        <f xml:space="preserve"> ROUND(MAX(BX$18:BX$59), _xlfn.SINGLE(Star_5_2.DecimalPlaces))</f>
        <v>25.6785</v>
      </c>
      <c r="CD62" s="28">
        <v>3</v>
      </c>
    </row>
    <row r="63" spans="2:82">
      <c r="F63" s="4" t="s">
        <v>14</v>
      </c>
      <c r="J63">
        <f xml:space="preserve"> ROUND(MAX(I$18:I$59), _xlfn.SINGLE(Star_5_2.DecimalPlaces))</f>
        <v>8.0901999999999994</v>
      </c>
      <c r="N63" s="28">
        <f xml:space="preserve"> _xlfn.SINGLE(Star_5_2.MaxX)</f>
        <v>10</v>
      </c>
      <c r="R63" s="28">
        <f xml:space="preserve"> _xlfn.SINGLE(Star_5_2.MaxX)</f>
        <v>5</v>
      </c>
      <c r="V63">
        <f xml:space="preserve"> ROUND(MAX(U$18:U$59), _xlfn.SINGLE(Star_5_2.DecimalPlaces))</f>
        <v>9.8520000000000003</v>
      </c>
      <c r="Z63" s="28">
        <f xml:space="preserve"> _xlfn.SINGLE(Star_5_2.MaxX)</f>
        <v>1</v>
      </c>
      <c r="AD63">
        <f xml:space="preserve"> ROUND(MAX(AC$18:AC$59), _xlfn.SINGLE(Star_5_2.DecimalPlaces))</f>
        <v>9.7680000000000007</v>
      </c>
      <c r="AH63">
        <f xml:space="preserve"> ROUND(MAX(AG$18:AG$59), _xlfn.SINGLE(Star_5_2.DecimalPlaces))</f>
        <v>9.5106000000000002</v>
      </c>
      <c r="AL63" s="28">
        <f xml:space="preserve"> _xlfn.SINGLE(Star_5_2.MaxX)</f>
        <v>4</v>
      </c>
      <c r="AP63" s="28">
        <f xml:space="preserve"> _xlfn.SINGLE(Star_5_2.MaxX)</f>
        <v>16</v>
      </c>
      <c r="AT63">
        <f xml:space="preserve"> ROUND(MAX(AS$18:AS$59), _xlfn.SINGLE(Star_5_2.DecimalPlaces))</f>
        <v>0.80901999999999996</v>
      </c>
      <c r="AX63" s="28">
        <f xml:space="preserve"> ROUND(_xlfn.SINGLE(Star_5_2.SizeOuter) - _xlfn.SINGLE(Star_5_2.SizeMiddle) + _xlfn.SINGLE(Star_5_2.SizeInner) * SQRT((5+Sqrt5) / 8), _xlfn.SINGLE(Star_5_2.DecimalPlaces))</f>
        <v>6.8522400000000001</v>
      </c>
      <c r="BB63">
        <f xml:space="preserve"> ROUND(MAX(BA$18:BA$59), _xlfn.SINGLE(Star_5_2.DecimalPlaces))</f>
        <v>21.843499999999999</v>
      </c>
      <c r="BF63">
        <f xml:space="preserve"> ROUND(MAX(BE$18:BE$59), _xlfn.SINGLE(Star_5_2.DecimalPlaces))</f>
        <v>8.0901999999999994</v>
      </c>
      <c r="BJ63" s="28">
        <f xml:space="preserve"> _xlfn.SINGLE(Star_5_2.MaxX)</f>
        <v>8</v>
      </c>
      <c r="BN63" s="28">
        <f xml:space="preserve"> _xlfn.SINGLE(Star_5_2.MaxX)</f>
        <v>1</v>
      </c>
      <c r="BR63">
        <f xml:space="preserve"> ROUND(MAX(BQ$18:BQ$59), _xlfn.SINGLE(Star_5_2.DecimalPlaces))</f>
        <v>21.843499999999999</v>
      </c>
      <c r="BV63" s="28">
        <f xml:space="preserve"> _xlfn.SINGLE(Star_5_2.MaxX)</f>
        <v>40</v>
      </c>
      <c r="BZ63">
        <f xml:space="preserve"> ROUND(MAX(BY$18:BY$59), _xlfn.SINGLE(Star_5_2.DecimalPlaces))</f>
        <v>21.843499999999999</v>
      </c>
      <c r="CD63" s="28">
        <f xml:space="preserve"> _xlfn.SINGLE(Star_5_2.MaxX)</f>
        <v>3</v>
      </c>
    </row>
    <row r="64" spans="2:82">
      <c r="F64" s="4" t="s">
        <v>11</v>
      </c>
      <c r="J64">
        <f xml:space="preserve"> ROUND( MIN(H$18:H$59), _xlfn.SINGLE(Star_5_2.DecimalPlaces))</f>
        <v>-9.5106000000000002</v>
      </c>
      <c r="N64" s="28">
        <f xml:space="preserve"> - _xlfn.SINGLE(Star_5_2.MaxX)</f>
        <v>-10</v>
      </c>
      <c r="R64" s="28">
        <f xml:space="preserve"> - _xlfn.SINGLE(Star_5_2.MaxX)</f>
        <v>-5</v>
      </c>
      <c r="V64">
        <f xml:space="preserve"> ROUND( MIN(T$18:T$59), _xlfn.SINGLE(Star_5_2.DecimalPlaces))</f>
        <v>-9.8994999999999997</v>
      </c>
      <c r="Z64" s="28">
        <f xml:space="preserve"> - _xlfn.SINGLE(Star_5_2.MaxX)</f>
        <v>-1</v>
      </c>
      <c r="AD64">
        <f xml:space="preserve"> ROUND( MIN(AB$18:AB$59), _xlfn.SINGLE(Star_5_2.DecimalPlaces))</f>
        <v>-9.9517000000000007</v>
      </c>
      <c r="AH64">
        <f xml:space="preserve"> ROUND( MIN(AF$18:AF$59), _xlfn.SINGLE(Star_5_2.DecimalPlaces))</f>
        <v>-10</v>
      </c>
      <c r="AL64" s="28">
        <f xml:space="preserve"> - _xlfn.SINGLE(Star_5_2.MaxX)</f>
        <v>-4</v>
      </c>
      <c r="AP64" s="28">
        <f xml:space="preserve"> - _xlfn.SINGLE(Star_5_2.MaxX)</f>
        <v>-16</v>
      </c>
      <c r="AT64">
        <f xml:space="preserve"> ROUND( MIN(AR$18:AR$59), _xlfn.SINGLE(Star_5_2.DecimalPlaces))</f>
        <v>-0.95106000000000002</v>
      </c>
      <c r="AX64" s="28">
        <f xml:space="preserve"> - _xlfn.SINGLE(Star_5_2.SizeOuter)</f>
        <v>-6</v>
      </c>
      <c r="BB64">
        <f xml:space="preserve"> ROUND( MIN(AZ$18:AZ$59), _xlfn.SINGLE(Star_5_2.DecimalPlaces))</f>
        <v>-25.6785</v>
      </c>
      <c r="BF64">
        <f xml:space="preserve"> ROUND( MIN(BD$18:BD$59), _xlfn.SINGLE(Star_5_2.DecimalPlaces))</f>
        <v>-9.5106000000000002</v>
      </c>
      <c r="BJ64" s="28">
        <f xml:space="preserve"> - _xlfn.SINGLE(Star_5_2.MaxX)</f>
        <v>-8</v>
      </c>
      <c r="BN64" s="28">
        <f xml:space="preserve"> - _xlfn.SINGLE(Star_5_2.MaxX)</f>
        <v>-1</v>
      </c>
      <c r="BR64">
        <f xml:space="preserve"> ROUND( MIN(BP$18:BP$59), _xlfn.SINGLE(Star_5_2.DecimalPlaces))</f>
        <v>-25.6785</v>
      </c>
      <c r="BV64" s="28">
        <f xml:space="preserve"> - _xlfn.SINGLE(Star_5_2.MaxX)</f>
        <v>-40</v>
      </c>
      <c r="BZ64">
        <f xml:space="preserve"> ROUND( MIN(BX$18:BX$59), _xlfn.SINGLE(Star_5_2.DecimalPlaces))</f>
        <v>-25.6785</v>
      </c>
      <c r="CD64" s="28">
        <f xml:space="preserve"> - _xlfn.SINGLE(Star_5_2.MaxX)</f>
        <v>-3</v>
      </c>
    </row>
    <row r="65" spans="5:87">
      <c r="F65" s="4" t="s">
        <v>13</v>
      </c>
      <c r="J65">
        <f xml:space="preserve"> ROUND( MIN(I$18:I$59), _xlfn.SINGLE(Star_5_2.DecimalPlaces))</f>
        <v>-10</v>
      </c>
      <c r="N65" s="28">
        <f xml:space="preserve"> - _xlfn.SINGLE(Star_5_2.MaxY)</f>
        <v>-10</v>
      </c>
      <c r="R65" s="28">
        <f xml:space="preserve"> - _xlfn.SINGLE(Star_5_2.MaxY)</f>
        <v>-5</v>
      </c>
      <c r="V65">
        <f xml:space="preserve"> ROUND( MIN(U$18:U$59), _xlfn.SINGLE(Star_5_2.DecimalPlaces))</f>
        <v>-8.9779999999999998</v>
      </c>
      <c r="Z65" s="28">
        <f xml:space="preserve"> - _xlfn.SINGLE(Star_5_2.MaxY)</f>
        <v>-1</v>
      </c>
      <c r="AD65">
        <f xml:space="preserve"> ROUND( MIN(AC$18:AC$59), _xlfn.SINGLE(Star_5_2.DecimalPlaces))</f>
        <v>-9.1613000000000007</v>
      </c>
      <c r="AH65">
        <f xml:space="preserve"> ROUND( MIN(AG$18:AG$59), _xlfn.SINGLE(Star_5_2.DecimalPlaces))</f>
        <v>-9.5106000000000002</v>
      </c>
      <c r="AL65" s="28">
        <f xml:space="preserve"> - _xlfn.SINGLE(Star_5_2.MaxY)</f>
        <v>-4</v>
      </c>
      <c r="AP65" s="28">
        <f xml:space="preserve"> - _xlfn.SINGLE(Star_5_2.MaxY)</f>
        <v>-16</v>
      </c>
      <c r="AT65">
        <f xml:space="preserve"> ROUND( MIN(AS$18:AS$59), _xlfn.SINGLE(Star_5_2.DecimalPlaces))</f>
        <v>-1</v>
      </c>
      <c r="AX65" s="28">
        <f xml:space="preserve"> - _xlfn.SINGLE(Star_5_2.MaxY)</f>
        <v>-6.8522400000000001</v>
      </c>
      <c r="BB65">
        <f xml:space="preserve"> ROUND( MIN(BA$18:BA$59), _xlfn.SINGLE(Star_5_2.DecimalPlaces))</f>
        <v>-27</v>
      </c>
      <c r="BF65">
        <f xml:space="preserve"> ROUND( MIN(BE$18:BE$59), _xlfn.SINGLE(Star_5_2.DecimalPlaces))</f>
        <v>-10</v>
      </c>
      <c r="BJ65" s="28">
        <f xml:space="preserve"> - _xlfn.SINGLE(Star_5_2.MaxY)</f>
        <v>-8</v>
      </c>
      <c r="BN65" s="28">
        <f xml:space="preserve"> - _xlfn.SINGLE(Star_5_2.MaxY)</f>
        <v>-1</v>
      </c>
      <c r="BR65">
        <f xml:space="preserve"> ROUND( MIN(BQ$18:BQ$59), _xlfn.SINGLE(Star_5_2.DecimalPlaces))</f>
        <v>-27</v>
      </c>
      <c r="BV65" s="28">
        <f xml:space="preserve"> - _xlfn.SINGLE(Star_5_2.MaxY)</f>
        <v>-40</v>
      </c>
      <c r="BZ65">
        <f xml:space="preserve"> ROUND( MIN(BY$18:BY$59), _xlfn.SINGLE(Star_5_2.DecimalPlaces))</f>
        <v>-27</v>
      </c>
      <c r="CD65" s="28">
        <f xml:space="preserve"> - _xlfn.SINGLE(Star_5_2.MaxY)</f>
        <v>-3</v>
      </c>
    </row>
    <row r="66" spans="5:87">
      <c r="J66">
        <f xml:space="preserve"> SQRT(_xlfn.SINGLE(Star_5_2.AreaMultiplier) * BasicBBoxArea * _xlfn.SINGLE(Star_5_2.Aspect))</f>
        <v>23.071644961104962</v>
      </c>
    </row>
    <row r="67" spans="5:8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v>
      </c>
      <c r="R67">
        <f xml:space="preserve">  MAX( _xlfn.SINGLE(Star_5_2.MaxY), -_xlfn.SINGLE(Star_5_2.MinY ))   /   MAX( _xlfn.SINGLE(Star_5_2.MaxX), -_xlfn.SINGLE(Star_5_2.MinX ))</f>
        <v>1</v>
      </c>
      <c r="V67">
        <f xml:space="preserve">  MAX( _xlfn.SINGLE(Star_5_2.MaxY), -_xlfn.SINGLE(Star_5_2.MinY ))   /   MAX( _xlfn.SINGLE(Star_5_2.MaxX), -_xlfn.SINGLE(Star_5_2.MinX ))</f>
        <v>0.99520177786756914</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0.98154084226815519</v>
      </c>
      <c r="AH67">
        <f xml:space="preserve">  MAX( _xlfn.SINGLE(Star_5_2.MaxY), -_xlfn.SINGLE(Star_5_2.MinY ))   /   MAX( _xlfn.SINGLE(Star_5_2.MaxX), -_xlfn.SINGLE(Star_5_2.MinX ))</f>
        <v>0.95106000000000002</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1</v>
      </c>
      <c r="AT67">
        <f xml:space="preserve">  MAX( _xlfn.SINGLE(Star_5_2.MaxY), -_xlfn.SINGLE(Star_5_2.MinY ))   /   MAX( _xlfn.SINGLE(Star_5_2.MaxX), -_xlfn.SINGLE(Star_5_2.MinX ))</f>
        <v>1.0514583727630222</v>
      </c>
      <c r="AX67">
        <f xml:space="preserve">  MAX( _xlfn.SINGLE(Star_5_2.MaxY), -_xlfn.SINGLE(Star_5_2.MinY ))   /   MAX( _xlfn.SINGLE(Star_5_2.MaxX), -_xlfn.SINGLE(Star_5_2.MinX ))</f>
        <v>1.1420399999999999</v>
      </c>
      <c r="BB67">
        <f xml:space="preserve">  MAX( _xlfn.SINGLE(Star_5_2.MaxY), -_xlfn.SINGLE(Star_5_2.MinY ))   /   MAX( _xlfn.SINGLE(Star_5_2.MaxX), -_xlfn.SINGLE(Star_5_2.MinX ))</f>
        <v>1.0514632864069162</v>
      </c>
      <c r="BF67">
        <f xml:space="preserve">  MAX( _xlfn.SINGLE(Star_5_2.MaxY), -_xlfn.SINGLE(Star_5_2.MinY ))   /   MAX( _xlfn.SINGLE(Star_5_2.MaxX), -_xlfn.SINGLE(Star_5_2.MinX ))</f>
        <v>1.0514583727630222</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v>
      </c>
      <c r="BR67">
        <f xml:space="preserve">  MAX( _xlfn.SINGLE(Star_5_2.MaxY), -_xlfn.SINGLE(Star_5_2.MinY ))   /   MAX( _xlfn.SINGLE(Star_5_2.MaxX), -_xlfn.SINGLE(Star_5_2.MinX ))</f>
        <v>1.0514632864069162</v>
      </c>
      <c r="BV67" s="27">
        <v>1</v>
      </c>
      <c r="BZ67">
        <f xml:space="preserve">  MAX( _xlfn.SINGLE(Star_5_2.MaxY), -_xlfn.SINGLE(Star_5_2.MinY ))   /   MAX( _xlfn.SINGLE(Star_5_2.MaxX), -_xlfn.SINGLE(Star_5_2.MinX ))</f>
        <v>1.0514632864069162</v>
      </c>
      <c r="CD67">
        <f xml:space="preserve">  MAX( _xlfn.SINGLE(Star_5_2.MaxY), -_xlfn.SINGLE(Star_5_2.MinY ))   /   MAX( _xlfn.SINGLE(Star_5_2.MaxX), -_xlfn.SINGLE(Star_5_2.MinX ))</f>
        <v>1</v>
      </c>
    </row>
    <row r="68" spans="5:8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15</v>
      </c>
      <c r="R68">
        <f xml:space="preserve"> VALUE(TEXT( IF(Star_5_2.AreaMultiplier_Default=_xlfn.SINGLE(Star_5_2.AreaMultiplier), Star_5_2.OuterPoints_Default * SQRT(_xlfn.SINGLE(Star_5_2.Aspect)), SQRT(_xlfn.SINGLE(Star_5_2.AreaMultiplier) * BasicBBoxArea * _xlfn.SINGLE(Star_5_2.Aspect)) ), SVG.NumberFormatHeight))</f>
        <v>15</v>
      </c>
      <c r="V68">
        <f xml:space="preserve"> VALUE(TEXT( IF(Star_5_2.AreaMultiplier_Default=_xlfn.SINGLE(Star_5_2.AreaMultiplier), Star_5_2.OuterPoints_Default * SQRT(_xlfn.SINGLE(Star_5_2.Aspect)), SQRT(_xlfn.SINGLE(Star_5_2.AreaMultiplier) * BasicBBoxArea * _xlfn.SINGLE(Star_5_2.Aspect)) ), SVG.NumberFormatHeight))</f>
        <v>19</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AH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15</v>
      </c>
      <c r="A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AX68">
        <f xml:space="preserve"> VALUE(TEXT( IF(Star_5_2.AreaMultiplier_Default=_xlfn.SINGLE(Star_5_2.AreaMultiplier), Star_5_2.OuterPoints_Default * SQRT(_xlfn.SINGLE(Star_5_2.Aspect)), SQRT(_xlfn.SINGLE(Star_5_2.AreaMultiplier) * BasicBBoxArea * _xlfn.SINGLE(Star_5_2.Aspect)) ), SVG.NumberFormatHeight))</f>
        <v>14.8</v>
      </c>
      <c r="BB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J68">
        <f xml:space="preserve"> VALUE(TEXT( IF(Star_5_2.AreaMultiplier_Default=_xlfn.SINGLE(Star_5_2.AreaMultiplier), Star_5_2.OuterPoints_Default * SQRT(_xlfn.SINGLE(Star_5_2.Aspect)), SQRT(_xlfn.SINGLE(Star_5_2.AreaMultiplier) * BasicBBoxArea * _xlfn.SINGLE(Star_5_2.Aspect)) ), SVG.NumberFormatHeight))</f>
        <v>13.8</v>
      </c>
      <c r="BN68">
        <f xml:space="preserve"> VALUE(TEXT( IF(Star_5_2.AreaMultiplier_Default=_xlfn.SINGLE(Star_5_2.AreaMultiplier), Star_5_2.OuterPoints_Default * SQRT(_xlfn.SINGLE(Star_5_2.Aspect)), SQRT(_xlfn.SINGLE(Star_5_2.AreaMultiplier) * BasicBBoxArea * _xlfn.SINGLE(Star_5_2.Aspect)) ), SVG.NumberFormatHeight))</f>
        <v>13.8</v>
      </c>
      <c r="BR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V68">
        <f xml:space="preserve"> VALUE(TEXT( IF(Star_5_2.AreaMultiplier_Default=_xlfn.SINGLE(Star_5_2.AreaMultiplier), Star_5_2.OuterPoints_Default * SQRT(_xlfn.SINGLE(Star_5_2.Aspect)), SQRT(_xlfn.SINGLE(Star_5_2.AreaMultiplier) * BasicBBoxArea * _xlfn.SINGLE(Star_5_2.Aspect)) ), SVG.NumberFormatHeight))</f>
        <v>15</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87">
      <c r="F69" s="4" t="s">
        <v>80</v>
      </c>
      <c r="J69">
        <f xml:space="preserve"> _xlfn.SINGLE(Star_5_2.Height) / _xlfn.SINGLE(Star_5_2.Aspect)</f>
        <v>21.969486000000003</v>
      </c>
      <c r="N69">
        <f xml:space="preserve"> _xlfn.SINGLE(Star_5_2.Height) / _xlfn.SINGLE(Star_5_2.Aspect)</f>
        <v>15</v>
      </c>
      <c r="R69">
        <f xml:space="preserve"> _xlfn.SINGLE(Star_5_2.Height) / _xlfn.SINGLE(Star_5_2.Aspect)</f>
        <v>15</v>
      </c>
      <c r="V69">
        <f xml:space="preserve"> _xlfn.SINGLE(Star_5_2.Height) / _xlfn.SINGLE(Star_5_2.Aspect)</f>
        <v>19.091605765326836</v>
      </c>
      <c r="Z69">
        <f xml:space="preserve"> _xlfn.SINGLE(Star_5_2.Height) / _xlfn.SINGLE(Star_5_2.Aspect)</f>
        <v>15</v>
      </c>
      <c r="AD69">
        <f xml:space="preserve"> _xlfn.SINGLE(Star_5_2.Height) / _xlfn.SINGLE(Star_5_2.Aspect)</f>
        <v>19.255439189189186</v>
      </c>
      <c r="AH69">
        <f xml:space="preserve"> _xlfn.SINGLE(Star_5_2.Height) / _xlfn.SINGLE(Star_5_2.Aspect)</f>
        <v>19.557125733392215</v>
      </c>
      <c r="AL69">
        <f xml:space="preserve"> _xlfn.SINGLE(Star_5_2.Height) / _xlfn.SINGLE(Star_5_2.Aspect)</f>
        <v>15</v>
      </c>
      <c r="AP69">
        <f xml:space="preserve"> _xlfn.SINGLE(Star_5_2.Height) / _xlfn.SINGLE(Star_5_2.Aspect)</f>
        <v>15</v>
      </c>
      <c r="AT69">
        <f xml:space="preserve"> _xlfn.SINGLE(Star_5_2.Height) / _xlfn.SINGLE(Star_5_2.Aspect)</f>
        <v>18.640776000000002</v>
      </c>
      <c r="AX69">
        <f xml:space="preserve"> _xlfn.SINGLE(Star_5_2.Height) / _xlfn.SINGLE(Star_5_2.Aspect)</f>
        <v>12.959265875100698</v>
      </c>
      <c r="BB69">
        <f xml:space="preserve"> _xlfn.SINGLE(Star_5_2.Height) / _xlfn.SINGLE(Star_5_2.Aspect)</f>
        <v>18.640688888888892</v>
      </c>
      <c r="BF69">
        <f xml:space="preserve"> _xlfn.SINGLE(Star_5_2.Height) / _xlfn.SINGLE(Star_5_2.Aspect)</f>
        <v>18.640776000000002</v>
      </c>
      <c r="BJ69">
        <f xml:space="preserve"> _xlfn.SINGLE(Star_5_2.Height) / _xlfn.SINGLE(Star_5_2.Aspect)</f>
        <v>13.8</v>
      </c>
      <c r="BN69">
        <f xml:space="preserve"> _xlfn.SINGLE(Star_5_2.Height) / _xlfn.SINGLE(Star_5_2.Aspect)</f>
        <v>13.8</v>
      </c>
      <c r="BR69">
        <f xml:space="preserve"> _xlfn.SINGLE(Star_5_2.Height) / _xlfn.SINGLE(Star_5_2.Aspect)</f>
        <v>18.640688888888892</v>
      </c>
      <c r="BV69">
        <f xml:space="preserve"> _xlfn.SINGLE(Star_5_2.Height) / _xlfn.SINGLE(Star_5_2.Aspect)</f>
        <v>15</v>
      </c>
      <c r="BZ69">
        <f xml:space="preserve"> _xlfn.SINGLE(Star_5_2.Height) / _xlfn.SINGLE(Star_5_2.Aspect)</f>
        <v>18.640688888888892</v>
      </c>
      <c r="CD69">
        <f xml:space="preserve"> _xlfn.SINGLE(Star_5_2.Height) / _xlfn.SINGLE(Star_5_2.Aspect)</f>
        <v>15</v>
      </c>
    </row>
    <row r="72" spans="5:87" ht="17" thickBot="1">
      <c r="F72" s="6" t="s">
        <v>95</v>
      </c>
    </row>
    <row r="73" spans="5:87">
      <c r="E73" t="s">
        <v>1753</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O73" s="7" t="str">
        <f xml:space="preserve"> ""</f>
        <v/>
      </c>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S73" s="7" t="str">
        <f xml:space="preserve"> ""</f>
        <v/>
      </c>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A73" s="7" t="str">
        <f xml:space="preserve"> ""</f>
        <v/>
      </c>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E73" s="7" t="str">
        <f xml:space="preserve"> ""</f>
        <v/>
      </c>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AI73" s="7" t="str">
        <f xml:space="preserve"> ""</f>
        <v/>
      </c>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AY73" s="7"/>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BW73" s="7"/>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A73" s="7"/>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E73" s="7"/>
      <c r="CF73" s="7"/>
      <c r="CG73" s="7"/>
      <c r="CH73" s="7"/>
      <c r="CI73" s="8"/>
    </row>
    <row r="74" spans="5:87">
      <c r="E74" t="s">
        <v>1754</v>
      </c>
      <c r="G74" s="13" t="str">
        <f t="shared" ref="G74:G84" si="96" xml:space="preserve"> ""</f>
        <v/>
      </c>
      <c r="K74" t="str">
        <f t="shared" ref="K74:K84" si="97" xml:space="preserve"> ""</f>
        <v/>
      </c>
      <c r="N74" s="27" t="str">
        <f xml:space="preserve"> "&lt;circle " &amp; _xlfn.SINGLE(Star_5_2.SVG_painting_Outer) &amp; " r='" &amp; ROUND(_xlfn.SINGLE(Star_5_2.SizeOuter), _xlfn.SINGLE(Star_5_2.DecimalPlaces)) &amp; "'/&gt;"</f>
        <v>&lt;circle fill='#FF33FF'  r='10'/&gt;</v>
      </c>
      <c r="O74" t="str">
        <f t="shared" ref="O74:O84" si="98" xml:space="preserve"> ""</f>
        <v/>
      </c>
      <c r="R74" s="27" t="str">
        <f xml:space="preserve"> "&lt;circle " &amp; _xlfn.SINGLE(Star_5_2.SVG_painting_Outer) &amp; " r='" &amp; ROUND(_xlfn.SINGLE(Star_5_2.SizeOuter), _xlfn.SINGLE(Star_5_2.DecimalPlaces)) &amp; "'/&gt;"</f>
        <v>&lt;circle fill='#012169' r='5'/&gt;</v>
      </c>
      <c r="S74" t="str">
        <f t="shared" ref="S74:S84" si="99" xml:space="preserve"> ""</f>
        <v/>
      </c>
      <c r="W74" t="str">
        <f t="shared" ref="W74:W84" si="100" xml:space="preserve"> ""</f>
        <v/>
      </c>
      <c r="Z74" s="27" t="str">
        <f xml:space="preserve"> "&lt;circle " &amp; _xlfn.SINGLE(Star_5_2.SVG_painting_Outer) &amp; " r='" &amp; ROUND(_xlfn.SINGLE(Star_5_2.SizeOuter), _xlfn.SINGLE(Star_5_2.DecimalPlaces)) &amp; "'/&gt;"</f>
        <v>&lt;circle fill='#A78337' r='1'/&gt;</v>
      </c>
      <c r="AA74" t="str">
        <f t="shared" ref="AA74:AA84" si="101" xml:space="preserve"> ""</f>
        <v/>
      </c>
      <c r="AE74" t="str">
        <f t="shared" ref="AE74:AE84" si="102" xml:space="preserve"> ""</f>
        <v/>
      </c>
      <c r="AI74" t="str">
        <f t="shared" ref="AI74:AI84" si="103" xml:space="preserve"> ""</f>
        <v/>
      </c>
      <c r="AL74" s="27" t="str">
        <f xml:space="preserve"> "&lt;circle " &amp; _xlfn.SINGLE(Star_5_2.SVG_painting_Outer) &amp; " r='" &amp; ROUND(_xlfn.SINGLE(Star_5_2.SizeOuter), _xlfn.SINGLE(Star_5_2.DecimalPlaces)) &amp; "'/&gt;"</f>
        <v>&lt;circle fill='#0F47AF' r='4'/&gt;</v>
      </c>
      <c r="AM74" t="str">
        <f t="shared" ref="AM74:AM84" si="104" xml:space="preserve"> ""</f>
        <v/>
      </c>
      <c r="AP74" s="27" t="str">
        <f xml:space="preserve"> "&lt;circle " &amp; _xlfn.SINGLE(Star_5_2.SVG_painting_Outer) &amp; " r='" &amp; ROUND(_xlfn.SINGLE(Star_5_2.SizeOuter), _xlfn.SINGLE(Star_5_2.DecimalPlaces)) &amp; "'/&gt;"</f>
        <v>&lt;circle fill='#E70013' r='16'/&gt;</v>
      </c>
      <c r="AQ74" t="str">
        <f t="shared" ref="AQ74:AQ84" si="105" xml:space="preserve"> ""</f>
        <v/>
      </c>
      <c r="AU74" t="str">
        <f t="shared" ref="AU74:AU84" si="106" xml:space="preserve"> ""</f>
        <v/>
      </c>
      <c r="AX74" s="27" t="str" cm="1">
        <f t="array" ref="AX74" xml:space="preserve"> svgPathRect(DecimalPlaces, _xlfn.SINGLE(Star_5_2.SVG_painting_Outer), _xlfn.SINGLE(Star_5_2.SizeOuter), _xlfn.SINGLE(Star_5_2.MaxY))</f>
        <v>&lt;path fill='#006633' d='M6 6.85224H-6V-6.85224H6Z'/&gt;</v>
      </c>
      <c r="BC74" t="str">
        <f t="shared" ref="BC74:BC84" si="107" xml:space="preserve"> ""</f>
        <v/>
      </c>
      <c r="BG74" t="str">
        <f t="shared" ref="BG74:BG84" si="108" xml:space="preserve"> ""</f>
        <v/>
      </c>
      <c r="BJ74" s="27" t="str" cm="1">
        <f t="array" ref="BJ74" xml:space="preserve"> svgPathRect(DecimalPlaces, _xlfn.SINGLE(Star_5_2.SVG_painting_Outer), _xlfn.SINGLE(Star_5_2.SizeOuter), _xlfn.SINGLE(Star_5_2.SizeOuter))</f>
        <v>&lt;path fill='#D52B1E' d='M8 8V-8H-8V8Z'/&gt;</v>
      </c>
      <c r="BK74" t="str">
        <f t="shared" ref="BK74:BK84" si="109" xml:space="preserve"> ""</f>
        <v/>
      </c>
      <c r="BN74" s="27" t="str" cm="1">
        <f t="array" ref="BN74" xml:space="preserve"> svgPathRect(DecimalPlaces, _xlfn.SINGLE(Star_5_2.SVG_painting_Outer), _xlfn.SINGLE(Star_5_2.SizeOuter), _xlfn.SINGLE(Star_5_2.SizeOuter))</f>
        <v>&lt;path fill='#072357' d='M1 1V-1H-1V1Z'/&gt;</v>
      </c>
      <c r="BO74" t="str">
        <f t="shared" ref="BO74:BO84" si="110" xml:space="preserve"> ""</f>
        <v/>
      </c>
      <c r="BV74" s="27" t="str">
        <f xml:space="preserve"> "&lt;circle " &amp; _xlfn.SINGLE(Star_5_2.SVG_painting_Outer) &amp; " r='40'/&gt;"</f>
        <v>&lt;circle fill='#024FA2' r='40'/&gt;</v>
      </c>
      <c r="CD74" t="str">
        <f xml:space="preserve"> "&lt;circle r='" &amp; ROUND(_xlfn.SINGLE(Star_5_2.SizeOuter), _xlfn.SINGLE(Star_5_2.DecimalPlaces)) &amp; "' " &amp; _xlfn.SINGLE(Star_5_2.SVG_painting_Outer) &amp;"/&gt;"</f>
        <v>&lt;circle r='3' fill='#1EB53A'/&gt;</v>
      </c>
      <c r="CI74" s="9"/>
    </row>
    <row r="75" spans="5:87">
      <c r="E75" t="s">
        <v>1755</v>
      </c>
      <c r="G75" s="13" t="str">
        <f t="shared" si="96"/>
        <v/>
      </c>
      <c r="K75" t="str">
        <f t="shared" si="97"/>
        <v/>
      </c>
      <c r="N75" s="27" t="str">
        <f xml:space="preserve"> "&lt;circle " &amp; _xlfn.SINGLE(Star_5_2.SVG_painting_Middle) &amp; " r='" &amp; _xlfn.SINGLE(Star_5_2.SizeMiddle) &amp; "'/&gt;"</f>
        <v>&lt;circle fill='#FFF' r='8'/&gt;</v>
      </c>
      <c r="O75" t="str">
        <f t="shared" si="98"/>
        <v/>
      </c>
      <c r="S75" t="str">
        <f t="shared" si="99"/>
        <v/>
      </c>
      <c r="W75" t="str">
        <f t="shared" si="100"/>
        <v/>
      </c>
      <c r="AA75" t="str">
        <f t="shared" si="101"/>
        <v/>
      </c>
      <c r="AE75" t="str">
        <f t="shared" si="102"/>
        <v/>
      </c>
      <c r="AI75" t="str">
        <f t="shared" si="103"/>
        <v/>
      </c>
      <c r="AM75" t="str">
        <f t="shared" si="104"/>
        <v/>
      </c>
      <c r="AP75" s="27" t="str">
        <f xml:space="preserve"> "&lt;circle " &amp; _xlfn.SINGLE(Star_5_2.SVG_painting_Middle) &amp; " r='" &amp; ROUND(_xlfn.SINGLE(Star_5_2.SizeMiddle), _xlfn.SINGLE(Star_5_2.DecimalPlaces)) &amp; "'/&gt;"</f>
        <v>&lt;circle fill='#FFF' r='14'/&gt;</v>
      </c>
      <c r="AQ75" t="str">
        <f t="shared" si="105"/>
        <v/>
      </c>
      <c r="AU75" t="str">
        <f t="shared" si="106"/>
        <v/>
      </c>
      <c r="AX75" s="27" t="str" cm="1">
        <f t="array" ref="AX75" xml:space="preserve"> svgPathRect(DecimalPlaces, _xlfn.SINGLE(Star_5_2.SVG_painting_Middle), _xlfn.SINGLE(Star_5_2.SizeMiddle), _xlfn.SINGLE(Star_5_2.MaxY) + _xlfn.SINGLE(Star_5_2.SizeMiddle) - _xlfn.SINGLE(Star_5_2.SizeOuter))</f>
        <v>&lt;path fill='#FFF' d='M4.8541 5.70634H-4.8541V-5.70634H4.8541Z'/&gt;</v>
      </c>
      <c r="BC75" t="str">
        <f t="shared" si="107"/>
        <v/>
      </c>
      <c r="BG75" t="str">
        <f t="shared" si="108"/>
        <v/>
      </c>
      <c r="BJ75" s="27" t="str" cm="1">
        <f t="array" ref="BJ75" xml:space="preserve"> svgPathRect(DecimalPlaces, _xlfn.SINGLE(Star_5_2.SVG_painting_Middle), _xlfn.SINGLE(Star_5_2.SizeMiddle), _xlfn.SINGLE(Star_5_2.SizeMiddle))</f>
        <v>&lt;path fill='#FFF' d='M7 7V-7H-7V7Z'/&gt;</v>
      </c>
      <c r="BK75" t="str">
        <f t="shared" si="109"/>
        <v/>
      </c>
      <c r="BO75" t="str">
        <f t="shared" si="110"/>
        <v/>
      </c>
      <c r="BV75" s="27" t="str">
        <f xml:space="preserve"> "&lt;circle " &amp; _xlfn.SINGLE(Star_5_2.SVG_painting_Middle) &amp; " r='32'/&gt;"</f>
        <v>&lt;circle fill='#ED1C27' r='32'/&gt;</v>
      </c>
      <c r="CD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CI75" s="9"/>
    </row>
    <row r="76" spans="5:87">
      <c r="E76" t="s">
        <v>1756</v>
      </c>
      <c r="G76" s="13" t="str">
        <f t="shared" si="96"/>
        <v/>
      </c>
      <c r="J76"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t="str">
        <f t="shared" si="97"/>
        <v/>
      </c>
      <c r="N76" t="str" cm="1">
        <f t="array" ref="N76" xml:space="preserve"> IF(_xlfn.SINGLE(Star_5_2.MultipleStars), "&lt;defs&gt;&lt;path id='" &amp; _xlfn.SINGLE(Star_5_2.ID) &amp; "-s' d='" &amp; _xlfn.TEXTJOIN(" ", TRUE, IF("Path"=Star_5_2.Part,N$17:N$59,"")) &amp; "'/&gt;&lt;/defs&gt;", "")</f>
        <v/>
      </c>
      <c r="O76" t="str">
        <f t="shared" si="98"/>
        <v/>
      </c>
      <c r="R76" t="str" cm="1">
        <f t="array" ref="R76" xml:space="preserve"> IF(_xlfn.SINGLE(Star_5_2.MultipleStars), "&lt;defs&gt;&lt;path id='" &amp; _xlfn.SINGLE(Star_5_2.ID) &amp; "-s' d='" &amp; _xlfn.TEXTJOIN(" ", TRUE, IF("Path"=Star_5_2.Part,R$17:R$59,"")) &amp; "'/&gt;&lt;/defs&gt;", "")</f>
        <v>&lt;defs&gt;&lt;path id='NZD-s' d='M0 -5 l-1.1226 3.4549 H-4.7553 L-1.8164 .5902 L-2.9389 4.0451 L0 1.9098 L2.9389 4.0451 L1.8164 .5902 L4.7553 -1.5451 H1.1226Z'/&gt;&lt;/defs&gt;</v>
      </c>
      <c r="S76" t="str">
        <f t="shared" si="99"/>
        <v/>
      </c>
      <c r="V76" t="str" cm="1">
        <f t="array" ref="V76" xml:space="preserve"> IF(_xlfn.SINGLE(Star_5_2.MultipleStars), "&lt;defs&gt;&lt;path id='" &amp; _xlfn.SINGLE(Star_5_2.ID) &amp; "-s' d='" &amp; _xlfn.TEXTJOIN(" ", TRUE, IF("Path"=Star_5_2.Part,V$17:V$59,"")) &amp; "'/&gt;&lt;/defs&gt;", "")</f>
        <v>&lt;defs&gt;&lt;path id='CNY-s' d='M-9.8995 1.4142 l7.1579 1.2454 L-1.7141 9.852 L1.6822 3.4293 L8.8401 4.6747 L3.7813 -.5402 L7.1776 -6.9629 L.6547 -3.7631 L-4.4041 -8.978 l1.0275 7.1924Z'/&gt;&lt;/defs&gt;</v>
      </c>
      <c r="W76" t="str">
        <f t="shared" si="100"/>
        <v/>
      </c>
      <c r="Z76" t="str" cm="1">
        <f t="array" ref="Z76" xml:space="preserve"> IF(_xlfn.SINGLE(Star_5_2.MultipleStars), "&lt;defs&gt;&lt;path id='" &amp; _xlfn.SINGLE(Star_5_2.ID) &amp; "-s' d='" &amp; _xlfn.TEXTJOIN(" ", TRUE, IF("Path"=Star_5_2.Part,Z$17:Z$59,"")) &amp; "'/&gt;&lt;/defs&gt;", "")</f>
        <v/>
      </c>
      <c r="AA76" t="str">
        <f t="shared" si="101"/>
        <v/>
      </c>
      <c r="AD76" t="str" cm="1">
        <f t="array" ref="AD76" xml:space="preserve"> IF(_xlfn.SINGLE(Star_5_2.MultipleStars), "&lt;defs&gt;&lt;path id='" &amp; _xlfn.SINGLE(Star_5_2.ID) &amp; "-s' d='" &amp; _xlfn.TEXTJOIN(" ", TRUE, IF("Path"=Star_5_2.Part,AD$17:AD$59,"")) &amp; "'/&gt;&lt;/defs&gt;", "")</f>
        <v>&lt;defs&gt;&lt;path id='PKR-s' d='M7.4741 -6.6436 L.818 -3.731 L-4.0089 -9.1613 l.7133 7.2304 L-9.9517 .9817 l7.0969 1.5559 l.7132 7.2304 L1.5312 3.4993 l7.0969 1.556 L3.8012 -.375Z'/&gt;&lt;/defs&gt;</v>
      </c>
      <c r="AE76" t="str">
        <f t="shared" si="102"/>
        <v/>
      </c>
      <c r="AH76" t="str" cm="1">
        <f t="array" ref="AH76" xml:space="preserve"> IF(_xlfn.SINGLE(Star_5_2.MultipleStars), "&lt;defs&gt;&lt;path id='" &amp; _xlfn.SINGLE(Star_5_2.ID) &amp; "-s' d='" &amp; _xlfn.TEXTJOIN(" ", TRUE, IF("Path"=Star_5_2.Part,AH$17:AH$59,"")) &amp; "'/&gt;&lt;/defs&gt;", "")</f>
        <v>&lt;defs&gt;&lt;path id='TRY-s' d='M-10 0 l6.9098 2.2451 V9.5106 L1.1803 3.6327 L8.0902 5.8779 L3.8197 0 L8.0902 -5.8779 L1.1803 -3.6327 L-3.0902 -9.5106 v7.2655Z'/&gt;&lt;/defs&gt;</v>
      </c>
      <c r="AI76" t="str">
        <f t="shared" si="103"/>
        <v/>
      </c>
      <c r="AL76" t="str" cm="1">
        <f t="array" ref="AL76" xml:space="preserve"> IF(_xlfn.SINGLE(Star_5_2.MultipleStars), "&lt;defs&gt;&lt;path id='" &amp; _xlfn.SINGLE(Star_5_2.ID) &amp; "-s' d='" &amp; _xlfn.TEXTJOIN(" ", TRUE, IF("Path"=Star_5_2.Part,AL$17:AL$59,"")) &amp; "'/&gt;&lt;/defs&gt;", "")</f>
        <v>&lt;defs&gt;&lt;path id='ETB-s' d='M0 -4 l-.8981 2.7639 H-3.8042 L-1.4531 .4721 l-.898 2.764 L0 1.5279 L2.3511 3.2361 L1.4531 .4721 L3.8042 -1.2361 H.8981Z'/&gt;&lt;/defs&gt;</v>
      </c>
      <c r="AM76" t="str">
        <f t="shared" si="104"/>
        <v/>
      </c>
      <c r="AP76" t="str" cm="1">
        <f t="array" ref="AP76" xml:space="preserve"> IF(_xlfn.SINGLE(Star_5_2.MultipleStars), "&lt;defs&gt;&lt;path id='" &amp; _xlfn.SINGLE(Star_5_2.ID) &amp; "-s' d='" &amp; _xlfn.TEXTJOIN(" ", TRUE, IF("Path"=Star_5_2.Part,AP$17:AP$59,"")) &amp; "'/&gt;&lt;/defs&gt;", "")</f>
        <v/>
      </c>
      <c r="AQ76" t="str">
        <f t="shared" si="105"/>
        <v/>
      </c>
      <c r="AT76" t="str" cm="1">
        <f t="array" ref="AT76" xml:space="preserve"> IF(_xlfn.SINGLE(Star_5_2.MultipleStars), "&lt;defs&gt;&lt;path id='" &amp; _xlfn.SINGLE(Star_5_2.ID) &amp; "-s' d='" &amp; _xlfn.TEXTJOIN(" ", TRUE, IF("Path"=Star_5_2.Part,AT$17:AT$59,"")) &amp; "'/&gt;&lt;/defs&gt;", "")</f>
        <v/>
      </c>
      <c r="AU76" t="str">
        <f t="shared" si="106"/>
        <v/>
      </c>
      <c r="AX76" t="str" cm="1">
        <f t="array" ref="AX76" xml:space="preserve"> IF(_xlfn.SINGLE(Star_5_2.MultipleStars), "&lt;defs&gt;&lt;path id='" &amp; _xlfn.SINGLE(Star_5_2.ID) &amp; "-s' d='" &amp; _xlfn.TEXTJOIN(" ", TRUE, IF("Path"=Star_5_2.Part,AX$17:AX$59,"")) &amp; "'/&gt;&lt;/defs&gt;", "")</f>
        <v/>
      </c>
      <c r="BB76" t="str" cm="1">
        <f t="array" ref="BB76" xml:space="preserve"> IF(_xlfn.SINGLE(Star_5_2.MultipleStars), "&lt;defs&gt;&lt;path id='" &amp; _xlfn.SINGLE(Star_5_2.ID) &amp; "-s' d='" &amp; _xlfn.TEXTJOIN(" ", TRUE, IF("Path"=Star_5_2.Part,BB$17:BB$59,"")) &amp; "'/&gt;&lt;/defs&gt;", "")</f>
        <v>&lt;defs&gt;&lt;path id='GHS-s' d='M0 -27 L-6.0619 -8.3435 H-25.6785 L-9.8083 3.1869 l-6.0619 18.6566 L0 10.3131 L15.8702 21.8435 L9.8083 3.1869 L25.6785 -8.3435 H6.0619Z'/&gt;&lt;/defs&gt;</v>
      </c>
      <c r="BC76" t="str">
        <f t="shared" si="107"/>
        <v/>
      </c>
      <c r="BF76" t="str" cm="1">
        <f t="array" ref="BF76" xml:space="preserve"> IF(_xlfn.SINGLE(Star_5_2.MultipleStars), "&lt;defs&gt;&lt;path id='" &amp; _xlfn.SINGLE(Star_5_2.ID) &amp; "-s' d='" &amp; _xlfn.TEXTJOIN(" ", TRUE, IF("Path"=Star_5_2.Part,BF$17:BF$59,"")) &amp; "'/&gt;&lt;/defs&gt;", "")</f>
        <v>&lt;defs&gt;&lt;path id='SN-s' d='M0 -10 l-2.2451 6.9098 H-9.5106 l5.8779 4.2705 L-5.8779 8.0902 L0 3.8197 L5.8779 8.0902 L3.6327 1.1803 L9.5106 -3.0902 H2.2451Z'/&gt;&lt;/defs&gt;</v>
      </c>
      <c r="BG76" t="str">
        <f t="shared" si="108"/>
        <v/>
      </c>
      <c r="BJ76" t="str" cm="1">
        <f t="array" ref="BJ76" xml:space="preserve"> IF(_xlfn.SINGLE(Star_5_2.MultipleStars), "&lt;defs&gt;&lt;path id='" &amp; _xlfn.SINGLE(Star_5_2.ID) &amp; "-s' d='" &amp; _xlfn.TEXTJOIN(" ", TRUE, IF("Path"=Star_5_2.Part,BJ$17:BJ$59,"")) &amp; "'/&gt;&lt;/defs&gt;", "")</f>
        <v/>
      </c>
      <c r="BK76" t="str">
        <f t="shared" si="109"/>
        <v/>
      </c>
      <c r="BN76" t="str" cm="1">
        <f t="array" ref="BN76" xml:space="preserve"> IF(_xlfn.SINGLE(Star_5_2.MultipleStars), "&lt;defs&gt;&lt;path id='" &amp; _xlfn.SINGLE(Star_5_2.ID) &amp; "-s' d='" &amp; _xlfn.TEXTJOIN(" ", TRUE, IF("Path"=Star_5_2.Part,BN$17:BN$59,"")) &amp; "'/&gt;&lt;/defs&gt;", "")</f>
        <v/>
      </c>
      <c r="BO76" t="str">
        <f t="shared" si="110"/>
        <v/>
      </c>
      <c r="BR76" t="str" cm="1">
        <f t="array" ref="BR76" xml:space="preserve"> IF(_xlfn.SINGLE(Star_5_2.MultipleStars), "&lt;defs&gt;&lt;path id='" &amp; _xlfn.SINGLE(Star_5_2.ID) &amp; "-s' d='" &amp; _xlfn.TEXTJOIN(" ", TRUE, IF("Path"=Star_5_2.Part,BR$17:BR$59,"")) &amp; "'/&gt;&lt;/defs&gt;", "")</f>
        <v>&lt;defs&gt;&lt;path id='VED-s' d='M0 -27 L-6.0619 -8.3435 H-25.6785 L-9.8083 3.1869 l-6.0619 18.6566 L0 10.3131 L15.8702 21.8435 L9.8083 3.1869 L25.6785 -8.3435 H6.0619Z'/&gt;&lt;/defs&gt;</v>
      </c>
      <c r="BZ76" t="str" cm="1">
        <f t="array" ref="BZ76" xml:space="preserve"> IF(_xlfn.SINGLE(Star_5_2.MultipleStars), "&lt;defs&gt;&lt;path id='" &amp; _xlfn.SINGLE(Star_5_2.ID) &amp; "-s' d='" &amp; _xlfn.TEXTJOIN(" ", TRUE, IF("Path"=Star_5_2.Part,BZ$17:BZ$59,"")) &amp; "'/&gt;&lt;/defs&gt;", "")</f>
        <v>&lt;defs&gt;&lt;path id='SYP-s' d='M0 -27 L-6.0619 -8.3435 H-25.6785 L-9.8083 3.1869 l-6.0619 18.6566 L0 10.3131 L15.8702 21.8435 L9.8083 3.1869 L25.6785 -8.3435 H6.0619Z'/&gt;&lt;/defs&gt;</v>
      </c>
      <c r="CD76" t="str" cm="1">
        <f t="array" ref="CD76" xml:space="preserve"> IF(_xlfn.SINGLE(Star_5_2.MultipleStars), "&lt;defs&gt;&lt;path id='" &amp; _xlfn.SINGLE(Star_5_2.ID) &amp; "-s' d='" &amp; _xlfn.TEXTJOIN(" ", TRUE, IF("Path"=Star_5_2.Part,CD$17:CD$59,"")) &amp; "'/&gt;&lt;/defs&gt;", "")</f>
        <v/>
      </c>
      <c r="CI76" s="9"/>
    </row>
    <row r="77" spans="5:87">
      <c r="E77" t="s">
        <v>1768</v>
      </c>
      <c r="G77" s="13" t="str">
        <f t="shared" si="96"/>
        <v/>
      </c>
      <c r="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t="str">
        <f t="shared" si="97"/>
        <v/>
      </c>
      <c r="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O77" t="str">
        <f t="shared" si="98"/>
        <v/>
      </c>
      <c r="R77" s="55"/>
      <c r="S77" t="str">
        <f t="shared" si="99"/>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W77" t="str">
        <f t="shared" si="100"/>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A77" t="str">
        <f t="shared" si="101"/>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E77" t="str">
        <f t="shared" si="102"/>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AI77" t="str">
        <f t="shared" si="103"/>
        <v/>
      </c>
      <c r="AL77" s="55"/>
      <c r="AM77" t="str">
        <f t="shared" si="104"/>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Q77" t="str">
        <f t="shared" si="105"/>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06"/>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C77" t="str">
        <f t="shared" si="107"/>
        <v/>
      </c>
      <c r="BF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BG77" t="str">
        <f t="shared" si="108"/>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09"/>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10"/>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s="9"/>
    </row>
    <row r="78" spans="5:87">
      <c r="E78" t="s">
        <v>1769</v>
      </c>
      <c r="G78" s="13" t="str">
        <f t="shared" si="9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9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O78" t="str">
        <f t="shared" si="98"/>
        <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S78" t="str">
        <f t="shared" si="99"/>
        <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W78" t="str">
        <f t="shared" si="100"/>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A78" t="str">
        <f t="shared" si="101"/>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E78" t="str">
        <f t="shared" si="102"/>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AI78" t="str">
        <f t="shared" si="103"/>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AM78" t="str">
        <f t="shared" si="104"/>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Q78" t="str">
        <f t="shared" si="105"/>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06"/>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C78" t="str">
        <f t="shared" si="107"/>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BG78" t="str">
        <f t="shared" si="108"/>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09"/>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10"/>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s="9"/>
    </row>
    <row r="79" spans="5:87">
      <c r="E79" t="s">
        <v>1770</v>
      </c>
      <c r="G79" s="13" t="str">
        <f t="shared" si="9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9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O79" t="str">
        <f t="shared" si="98"/>
        <v/>
      </c>
      <c r="R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S79" t="str">
        <f t="shared" si="99"/>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00"/>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A79" t="str">
        <f t="shared" si="101"/>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E79" t="str">
        <f t="shared" si="102"/>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I79" t="str">
        <f t="shared" si="103"/>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AM79" t="str">
        <f t="shared" si="104"/>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05"/>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06"/>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B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C79" t="str">
        <f t="shared" si="107"/>
        <v/>
      </c>
      <c r="BF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G79" t="str">
        <f t="shared" si="108"/>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09"/>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10"/>
        <v/>
      </c>
      <c r="BR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BZ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D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CI79" s="9"/>
    </row>
    <row r="80" spans="5:87">
      <c r="E80" t="s">
        <v>1771</v>
      </c>
      <c r="G80" s="13" t="str">
        <f t="shared" si="9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97"/>
        <v/>
      </c>
      <c r="N80" s="55"/>
      <c r="O80" t="str">
        <f t="shared" si="98"/>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S80" t="str">
        <f t="shared" si="99"/>
        <v/>
      </c>
      <c r="V80" t="str" cm="1">
        <f t="array" ref="V80" xml:space="preserve"> IF(AND(LEN(_xlfn.SINGLE(Star_5_2.SVG_painting_Outer))&gt;0, _xlfn.SINGLE(Star_5_2.SizeOuter)&gt;0, NOT(_xlfn.SINGLE(Star_5_2.MultipleStars))),  "&lt;path " &amp; _xlfn.SINGLE(Star_5_2.SVG_painting_Outer) &amp; " d='" &amp; _xlfn.TEXTJOIN(" ", TRUE, IF("Path"=Star_5_2.Part,V$17:V$59,"")) &amp; "'/&gt;", "")</f>
        <v/>
      </c>
      <c r="W80" t="str">
        <f t="shared" si="100"/>
        <v/>
      </c>
      <c r="Z80" s="55"/>
      <c r="AA80" t="str">
        <f t="shared" si="101"/>
        <v/>
      </c>
      <c r="AD80" t="str" cm="1">
        <f t="array" ref="AD80" xml:space="preserve"> IF(AND(LEN(_xlfn.SINGLE(Star_5_2.SVG_painting_Outer))&gt;0, _xlfn.SINGLE(Star_5_2.SizeOuter)&gt;0, NOT(_xlfn.SINGLE(Star_5_2.MultipleStars))),  "&lt;path " &amp; _xlfn.SINGLE(Star_5_2.SVG_painting_Outer) &amp; " d='" &amp; _xlfn.TEXTJOIN(" ", TRUE, IF("Path"=Star_5_2.Part,AD$17:AD$59,"")) &amp; "'/&gt;", "")</f>
        <v/>
      </c>
      <c r="AE80" t="str">
        <f t="shared" si="102"/>
        <v/>
      </c>
      <c r="AH80" t="str" cm="1">
        <f t="array" ref="AH80" xml:space="preserve"> IF(AND(LEN(_xlfn.SINGLE(Star_5_2.SVG_painting_Outer))&gt;0, _xlfn.SINGLE(Star_5_2.SizeOuter)&gt;0, NOT(_xlfn.SINGLE(Star_5_2.MultipleStars))),  "&lt;path " &amp; _xlfn.SINGLE(Star_5_2.SVG_painting_Outer) &amp; " d='" &amp; _xlfn.TEXTJOIN(" ", TRUE, IF("Path"=Star_5_2.Part,AH$17:AH$59,"")) &amp; "'/&gt;", "")</f>
        <v/>
      </c>
      <c r="AI80" t="str">
        <f t="shared" si="103"/>
        <v/>
      </c>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04"/>
        <v/>
      </c>
      <c r="AP80" s="55"/>
      <c r="AQ80" t="str">
        <f t="shared" si="105"/>
        <v/>
      </c>
      <c r="AT80" t="str" cm="1">
        <f t="array" ref="AT80" xml:space="preserve"> IF(AND(LEN(_xlfn.SINGLE(Star_5_2.SVG_painting_Outer))&gt;0, _xlfn.SINGLE(Star_5_2.SizeOuter)&gt;0, NOT(_xlfn.SINGLE(Star_5_2.MultipleStars))),  "&lt;path " &amp; _xlfn.SINGLE(Star_5_2.SVG_painting_Outer) &amp; " d='" &amp; _xlfn.TEXTJOIN(" ", TRUE, IF("Path"=Star_5_2.Part,AT$17:AT$59,"")) &amp; "'/&gt;", "")</f>
        <v>&lt;path fill='#006233' d='M0 -1 l-.2245 .691 H-.9511 l.5878 .427 L-.5878 .809 L0 .382 L.5878 .809 L.3633 .118 L.9511 -.309 H.2245Z'/&gt;</v>
      </c>
      <c r="AU80" t="str">
        <f t="shared" si="106"/>
        <v/>
      </c>
      <c r="AX80" s="55"/>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07"/>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08"/>
        <v/>
      </c>
      <c r="BJ80" s="55"/>
      <c r="BK80" t="str">
        <f t="shared" si="109"/>
        <v/>
      </c>
      <c r="BN80" s="55"/>
      <c r="BO80" t="str">
        <f t="shared" si="110"/>
        <v/>
      </c>
      <c r="BR80" t="str" cm="1">
        <f t="array" ref="BR80" xml:space="preserve"> IF(AND(LEN(_xlfn.SINGLE(Star_5_2.SVG_painting_Outer))&gt;0, _xlfn.SINGLE(Star_5_2.SizeOuter)&gt;0, NOT(_xlfn.SINGLE(Star_5_2.MultipleStars))),  "&lt;path " &amp; _xlfn.SINGLE(Star_5_2.SVG_painting_Outer) &amp; " d='" &amp; _xlfn.TEXTJOIN(" ", TRUE, IF("Path"=Star_5_2.Part,BR$17:BR$59,"")) &amp; "'/&gt;", "")</f>
        <v/>
      </c>
      <c r="BV80" s="55"/>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I80" s="9"/>
    </row>
    <row r="81" spans="3:87">
      <c r="E81" t="s">
        <v>1772</v>
      </c>
      <c r="G81" s="13" t="str">
        <f t="shared" si="9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97"/>
        <v/>
      </c>
      <c r="N81" s="55"/>
      <c r="O81" t="str">
        <f t="shared" si="98"/>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S81" t="str">
        <f t="shared" si="99"/>
        <v/>
      </c>
      <c r="V81" t="str" cm="1">
        <f t="array" ref="V81" xml:space="preserve"> IF(AND(LEN(_xlfn.SINGLE(Star_5_2.SVG_painting_Middle))&gt;0, _xlfn.SINGLE(Star_5_2.SizeMiddle)&gt;0, NOT(_xlfn.SINGLE(Star_5_2.MultipleStars))),  "&lt;path " &amp; _xlfn.SINGLE(Star_5_2.SVG_painting_Middle) &amp; " d='" &amp; _xlfn.TEXTJOIN(" ", TRUE, IF("Path"=Star_5_2.Part,V$17:V$59,"")) &amp; "'/&gt;", "")</f>
        <v/>
      </c>
      <c r="W81" t="str">
        <f t="shared" si="100"/>
        <v/>
      </c>
      <c r="Z81" t="str" cm="1">
        <f t="array" ref="Z81" xml:space="preserve"> IF(AND(LEN(_xlfn.SINGLE(Star_5_2.SVG_painting_Middle))&gt;0, _xlfn.SINGLE(Star_5_2.SizeMiddle)&gt;0, NOT(_xlfn.SINGLE(Star_5_2.MultipleStars))),  "&lt;path " &amp; _xlfn.SINGLE(Star_5_2.SVG_painting_Middle) &amp; " d='" &amp; _xlfn.TEXTJOIN(" ", TRUE, IF("Path"=Star_5_2.Part,Z$17:Z$59,"")) &amp; "'/&gt;", "")</f>
        <v>&lt;path fill='#FFF' d='M0 -1 l-.2245 .691 H-.9511 l.5878 .427 L-.5878 .809 L0 .382 L.5878 .809 L.3633 .118 L.9511 -.309 H.2245Z'/&gt;</v>
      </c>
      <c r="AA81" t="str">
        <f t="shared" si="101"/>
        <v/>
      </c>
      <c r="AD81" t="str" cm="1">
        <f t="array" ref="AD81" xml:space="preserve"> IF(AND(LEN(_xlfn.SINGLE(Star_5_2.SVG_painting_Middle))&gt;0, _xlfn.SINGLE(Star_5_2.SizeMiddle)&gt;0, NOT(_xlfn.SINGLE(Star_5_2.MultipleStars))),  "&lt;path " &amp; _xlfn.SINGLE(Star_5_2.SVG_painting_Middle) &amp; " d='" &amp; _xlfn.TEXTJOIN(" ", TRUE, IF("Path"=Star_5_2.Part,AD$17:AD$59,"")) &amp; "'/&gt;", "")</f>
        <v/>
      </c>
      <c r="AE81" t="str">
        <f t="shared" si="102"/>
        <v/>
      </c>
      <c r="AH81" t="str" cm="1">
        <f t="array" ref="AH81" xml:space="preserve"> IF(AND(LEN(_xlfn.SINGLE(Star_5_2.SVG_painting_Middle))&gt;0, _xlfn.SINGLE(Star_5_2.SizeMiddle)&gt;0, NOT(_xlfn.SINGLE(Star_5_2.MultipleStars))),  "&lt;path " &amp; _xlfn.SINGLE(Star_5_2.SVG_painting_Middle) &amp; " d='" &amp; _xlfn.TEXTJOIN(" ", TRUE, IF("Path"=Star_5_2.Part,AH$17:AH$59,"")) &amp; "'/&gt;", "")</f>
        <v/>
      </c>
      <c r="AI81" t="str">
        <f t="shared" si="103"/>
        <v/>
      </c>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04"/>
        <v/>
      </c>
      <c r="AP81" s="55"/>
      <c r="AQ81" t="str">
        <f t="shared" si="105"/>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
      </c>
      <c r="AU81" t="str">
        <f t="shared" si="106"/>
        <v/>
      </c>
      <c r="AX81" s="55"/>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07"/>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08"/>
        <v/>
      </c>
      <c r="BJ81" s="55"/>
      <c r="BK81" t="str">
        <f t="shared" si="109"/>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10"/>
        <v/>
      </c>
      <c r="BR81" t="str" cm="1">
        <f t="array" ref="BR81" xml:space="preserve"> IF(AND(LEN(_xlfn.SINGLE(Star_5_2.SVG_painting_Middle))&gt;0, _xlfn.SINGLE(Star_5_2.SizeMiddle)&gt;0, NOT(_xlfn.SINGLE(Star_5_2.MultipleStars))),  "&lt;path " &amp; _xlfn.SINGLE(Star_5_2.SVG_painting_Middle) &amp; " d='" &amp; _xlfn.TEXTJOIN(" ", TRUE, IF("Path"=Star_5_2.Part,BR$17:BR$59,"")) &amp; "'/&gt;", "")</f>
        <v/>
      </c>
      <c r="BV81" s="55"/>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I81" s="9"/>
    </row>
    <row r="82" spans="3:87">
      <c r="E82" t="s">
        <v>1773</v>
      </c>
      <c r="G82" s="13" t="str">
        <f t="shared" si="9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9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&lt;path fill='#FF33FF'  d='M0 -7 l-1.5716 4.8369 H-6.6574 L-2.5429 .8262 L-4.1145 5.6631 L0 2.6738 L4.1145 5.6631 L2.5429 .8262 L6.6574 -2.1631 H1.5716Z'/&gt;</v>
      </c>
      <c r="O82" t="str">
        <f t="shared" si="98"/>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S82" t="str">
        <f t="shared" si="99"/>
        <v/>
      </c>
      <c r="W82" t="str">
        <f t="shared" si="100"/>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
      </c>
      <c r="AA82" t="str">
        <f t="shared" si="101"/>
        <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
      </c>
      <c r="AE82" t="str">
        <f t="shared" si="102"/>
        <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
      </c>
      <c r="AI82" t="str">
        <f t="shared" si="103"/>
        <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04"/>
        <v/>
      </c>
      <c r="AP82" t="str" cm="1">
        <f t="array" ref="AP82" xml:space="preserve"> IF(AND(LEN(_xlfn.SINGLE(Star_5_2.SVG_painting_Inner))&gt;0, _xlfn.SINGLE(Star_5_2.SizeInner)&gt;0, NOT(_xlfn.SINGLE(Star_5_2.MultipleStars))),  "&lt;path " &amp; _xlfn.SINGLE(Star_5_2.SVG_painting_Inner) &amp; " d='" &amp; _xlfn.TEXTJOIN(" ", TRUE, IF("Path"=Star_5_2.Part,AP$17:AP$59,"")) &amp; "'/&gt;", "")</f>
        <v>&lt;path fill='#E70013' d='M-13 0 l8.9828 2.9187 v9.445 L1.5344 4.7225 l8.9828 2.9187 L4.9656 0 l5.5516 -7.6412 L1.5344 -4.7225 l-5.5516 -7.6412 v9.445Z'/&gt;</v>
      </c>
      <c r="AQ82" t="str">
        <f t="shared" si="105"/>
        <v/>
      </c>
      <c r="AT82" s="27" t="str" cm="1">
        <f t="array" ref="AT82" xml:space="preserve"> IF(AND(LEN(_xlfn.SINGLE(Star_5_2.SVG_painting_Inner))&gt;0, _xlfn.SINGLE(Star_5_2.SizeInner)&gt;0, NOT(_xlfn.SINGLE(Star_5_2.MultipleStars))),  "&lt;path " &amp; _xlfn.SINGLE(Star_5_2.SVG_painting_Inner) &amp; " d='" &amp; _xlfn.TEXTJOIN(" ", TRUE, IF("Hole"=LEFT(Star_5_2.Part,4),AT$17:AT$59,"")) &amp; "'/&gt;", "")</f>
        <v>&lt;path fill='#FB0F0C' d='M0 .2644 L.2515 .0817 L.1554 -.2139 H-.1554 L-.2515 .0817Z M0 -.6922 L-.1245 -.309 h.249Z M-.6584 -.2139 l.326 .2368 l.077 -.2368Z M.6584 -.2139 H.2554 l.077 .2368Z M-.4069 .56 l.326 -.2368 L-.2824 .1768Z M.4069 .56 L.2824 .1768 L.0809 .3232Z'/&gt;</v>
      </c>
      <c r="AU82" t="str">
        <f t="shared" si="106"/>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&lt;path fill='#D21034' d='M6 0 L1.8541 -1.3471 V-5.7063 L-.7082 -2.1796 L-4.8541 -3.5267 L-2.2918 0 L-4.8541 3.5267 L-.7082 2.1796 L1.8541 5.7063 V1.3471Z'/&gt;</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07"/>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08"/>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fill='#0033A0' d='M0 -7 l-1.5716 4.8369 H-6.6574 L-2.5429 .8262 L-4.1145 5.6631 L0 2.6738 L4.1145 5.6631 L2.5429 .8262 L6.6574 -2.1631 H1.5716Z'/&gt;</v>
      </c>
      <c r="BK82" t="str">
        <f t="shared" si="109"/>
        <v/>
      </c>
      <c r="BN82" t="str" cm="1">
        <f t="array" ref="BN82" xml:space="preserve"> IF(AND(LEN(_xlfn.SINGLE(Star_5_2.SVG_painting_Inner))&gt;0, _xlfn.SINGLE(Star_5_2.SizeInner)&gt;0, NOT(_xlfn.SINGLE(Star_5_2.MultipleStars))),  "&lt;path " &amp; _xlfn.SINGLE(Star_5_2.SVG_painting_Inner) &amp; " d='" &amp; _xlfn.TEXTJOIN(" ", TRUE, IF("Path"=Star_5_2.Part,BN$17:BN$59,"")) &amp; "'/&gt;", "")</f>
        <v>&lt;path fill='#DA121A' d='M0 -1 l-.2245 .691 H-.9511 l.5878 .427 L-.5878 .809 L0 .382 L.5878 .809 L.3633 .118 L.9511 -.309 H.2245Z'/&gt;</v>
      </c>
      <c r="BO82" t="str">
        <f t="shared" si="110"/>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&lt;path fill='#FFF' d='M0 -31 L-6.9599 -9.5795 H-29.4828 L-11.2614 3.6591 l-6.9599 21.4204 L0 11.8409 L18.2213 25.0795 L11.2614 3.6591 L29.4828 -9.5795 H6.9599Z'/&gt;</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fill='#0099B5' d='M0 -2.0553 L-.4614 -.6351 H-1.9547 L-.7466 .2426 L-1.208 1.6627 L0 .785 l1.208 .8777 L.7466 .2426 L1.9547 -.6351 H.4614Z'/&gt;</v>
      </c>
      <c r="CI82" s="9"/>
    </row>
    <row r="83" spans="3:87">
      <c r="E83" t="s">
        <v>1776</v>
      </c>
      <c r="G83" s="13" t="str">
        <f t="shared" si="96"/>
        <v/>
      </c>
      <c r="K83" t="str">
        <f t="shared" si="97"/>
        <v/>
      </c>
      <c r="O83" t="str">
        <f t="shared" si="98"/>
        <v/>
      </c>
      <c r="S83" t="str">
        <f t="shared" si="99"/>
        <v/>
      </c>
      <c r="W83" t="str">
        <f t="shared" si="100"/>
        <v/>
      </c>
      <c r="AA83" t="str">
        <f t="shared" si="101"/>
        <v/>
      </c>
      <c r="AE83" t="str">
        <f t="shared" si="102"/>
        <v/>
      </c>
      <c r="AI83" t="str">
        <f t="shared" si="103"/>
        <v/>
      </c>
      <c r="AM83" t="str">
        <f t="shared" si="104"/>
        <v/>
      </c>
      <c r="AQ83" t="str">
        <f t="shared" si="105"/>
        <v/>
      </c>
      <c r="AU83" t="str">
        <f t="shared" si="106"/>
        <v/>
      </c>
      <c r="BC83" t="str">
        <f t="shared" si="107"/>
        <v/>
      </c>
      <c r="BG83" t="str">
        <f t="shared" si="108"/>
        <v/>
      </c>
      <c r="BK83" t="str">
        <f t="shared" si="109"/>
        <v/>
      </c>
      <c r="BO83" t="str">
        <f t="shared" si="110"/>
        <v/>
      </c>
      <c r="CI83" s="9"/>
    </row>
    <row r="84" spans="3:87">
      <c r="G84" s="14" t="str">
        <f t="shared" si="96"/>
        <v/>
      </c>
      <c r="H84" s="10"/>
      <c r="I84" s="10"/>
      <c r="J84" s="10" t="s">
        <v>15</v>
      </c>
      <c r="K84" s="10" t="str">
        <f t="shared" si="97"/>
        <v/>
      </c>
      <c r="L84" s="10"/>
      <c r="M84" s="10"/>
      <c r="N84" s="10" t="s">
        <v>15</v>
      </c>
      <c r="O84" s="10" t="str">
        <f t="shared" si="98"/>
        <v/>
      </c>
      <c r="P84" s="10"/>
      <c r="Q84" s="10"/>
      <c r="R84" s="10" t="s">
        <v>15</v>
      </c>
      <c r="S84" s="10" t="str">
        <f t="shared" si="99"/>
        <v/>
      </c>
      <c r="T84" s="10"/>
      <c r="U84" s="10"/>
      <c r="V84" s="10" t="s">
        <v>15</v>
      </c>
      <c r="W84" s="10" t="str">
        <f t="shared" si="100"/>
        <v/>
      </c>
      <c r="X84" s="10"/>
      <c r="Y84" s="10"/>
      <c r="Z84" s="10" t="s">
        <v>15</v>
      </c>
      <c r="AA84" s="10" t="str">
        <f t="shared" si="101"/>
        <v/>
      </c>
      <c r="AB84" s="10"/>
      <c r="AC84" s="10"/>
      <c r="AD84" s="10" t="s">
        <v>15</v>
      </c>
      <c r="AE84" s="10" t="str">
        <f t="shared" si="102"/>
        <v/>
      </c>
      <c r="AF84" s="10"/>
      <c r="AG84" s="10"/>
      <c r="AH84" s="10" t="s">
        <v>15</v>
      </c>
      <c r="AI84" s="10" t="str">
        <f t="shared" si="103"/>
        <v/>
      </c>
      <c r="AJ84" s="10"/>
      <c r="AK84" s="10"/>
      <c r="AL84" s="10" t="s">
        <v>15</v>
      </c>
      <c r="AM84" s="10" t="str">
        <f t="shared" si="104"/>
        <v/>
      </c>
      <c r="AN84" s="10"/>
      <c r="AO84" s="10"/>
      <c r="AP84" s="10" t="s">
        <v>15</v>
      </c>
      <c r="AQ84" s="10" t="str">
        <f t="shared" si="105"/>
        <v/>
      </c>
      <c r="AR84" s="10"/>
      <c r="AS84" s="10"/>
      <c r="AT84" s="10" t="s">
        <v>15</v>
      </c>
      <c r="AU84" s="10" t="str">
        <f t="shared" si="106"/>
        <v/>
      </c>
      <c r="AV84" s="10"/>
      <c r="AW84" s="10"/>
      <c r="AX84" s="10" t="s">
        <v>15</v>
      </c>
      <c r="AY84" s="10"/>
      <c r="AZ84" s="10"/>
      <c r="BA84" s="10"/>
      <c r="BB84" s="10" t="s">
        <v>15</v>
      </c>
      <c r="BC84" s="10" t="str">
        <f t="shared" si="107"/>
        <v/>
      </c>
      <c r="BD84" s="10"/>
      <c r="BE84" s="10"/>
      <c r="BF84" s="10" t="s">
        <v>15</v>
      </c>
      <c r="BG84" s="10" t="str">
        <f t="shared" si="108"/>
        <v/>
      </c>
      <c r="BH84" s="10"/>
      <c r="BI84" s="10"/>
      <c r="BJ84" s="10" t="s">
        <v>15</v>
      </c>
      <c r="BK84" s="10" t="str">
        <f t="shared" si="109"/>
        <v/>
      </c>
      <c r="BL84" s="10"/>
      <c r="BM84" s="10"/>
      <c r="BN84" s="10" t="s">
        <v>15</v>
      </c>
      <c r="BO84" s="10" t="str">
        <f t="shared" si="110"/>
        <v/>
      </c>
      <c r="BP84" s="10"/>
      <c r="BQ84" s="10"/>
      <c r="BR84" s="10" t="s">
        <v>15</v>
      </c>
      <c r="BS84" s="10"/>
      <c r="BT84" s="10"/>
      <c r="BU84" s="10"/>
      <c r="BV84" s="10" t="s">
        <v>15</v>
      </c>
      <c r="BW84" s="10"/>
      <c r="BX84" s="10"/>
      <c r="BY84" s="10"/>
      <c r="BZ84" s="10" t="s">
        <v>15</v>
      </c>
      <c r="CA84" s="10"/>
      <c r="CB84" s="10"/>
      <c r="CC84" s="10"/>
      <c r="CD84" s="10" t="s">
        <v>15</v>
      </c>
      <c r="CE84" s="10"/>
      <c r="CF84" s="10"/>
      <c r="CG84" s="10"/>
      <c r="CH84" s="10"/>
      <c r="CI84" s="11"/>
    </row>
    <row r="90" spans="3:87">
      <c r="E90" t="s">
        <v>1809</v>
      </c>
      <c r="J90">
        <f xml:space="preserve"> VALUE(TEXT( 13 * Star_5_2.OuterPoints_Default * SQRT(Star_5_2.Aspect), SVG.NumberFormatHeight))</f>
        <v>254</v>
      </c>
      <c r="V90">
        <f xml:space="preserve"> VALUE(TEXT( 13 * Star_5_2.OuterPoints_Default * SQRT(Star_5_2.Aspect), SVG.NumberFormatHeight))</f>
        <v>247</v>
      </c>
      <c r="AD90">
        <f xml:space="preserve"> VALUE(TEXT( 13 * Star_5_2.OuterPoints_Default * SQRT(Star_5_2.Aspect), SVG.NumberFormatHeight))</f>
        <v>246</v>
      </c>
      <c r="AX90">
        <f xml:space="preserve"> VALUE(TEXT( 13 * Star_5_2.OuterPoints_Default * SQRT(Star_5_2.Aspect), SVG.NumberFormatHeight))</f>
        <v>265</v>
      </c>
    </row>
    <row r="91" spans="3:87">
      <c r="E91" t="s">
        <v>1808</v>
      </c>
      <c r="J91">
        <f xml:space="preserve"> ROUND(J$90 / _xlfn.SINGLE(Star_5_2.Aspect), svgSizeDecimalPlaces)</f>
        <v>241.56924000000001</v>
      </c>
      <c r="V91">
        <f xml:space="preserve"> ROUND(V$90 / _xlfn.SINGLE(Star_5_2.Aspect), svgSizeDecimalPlaces)</f>
        <v>248.19086999999999</v>
      </c>
      <c r="AD91">
        <f xml:space="preserve"> ROUND(AD$90 / _xlfn.SINGLE(Star_5_2.Aspect), svgSizeDecimalPlaces)</f>
        <v>250.62635</v>
      </c>
      <c r="AX91">
        <f xml:space="preserve"> ROUND(AX$90 / _xlfn.SINGLE(Star_5_2.Aspect), svgSizeDecimalPlaces)</f>
        <v>232.04091</v>
      </c>
    </row>
    <row r="94" spans="3:87">
      <c r="E94" t="s">
        <v>1810</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width='241.56924' height='254' viewBox='-9.5106 -10 19.0212 20'  id='%thisID%' xmlns='http://www.w3.org/2000/svg'&gt;</v>
      </c>
      <c r="V94" s="56" t="str">
        <f xml:space="preserve"> "&lt;svg width='" &amp; V$91 &amp; "' height='"  &amp; V$90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width='248.19087' height='247' viewBox='-9.8995 -9.852 19.799 19.704'  id='%thisID%' xmlns='http://www.w3.org/2000/svg'&gt;</v>
      </c>
      <c r="AD94" s="56" t="str">
        <f xml:space="preserve"> "&lt;svg width='" &amp; AD$91 &amp; "' height='"  &amp; AD$90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width='250.62635' height='246' viewBox='-9.9517 -9.768 19.9034 19.536'  id='%thisID%'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width='232.04091' height='265' viewBox='-6 -6.85224 12 13.70448'  id='%thisID%' xmlns='http://www.w3.org/2000/svg'&gt;</v>
      </c>
    </row>
    <row r="95" spans="3:87">
      <c r="C95" t="s">
        <v>1823</v>
      </c>
      <c r="E95" t="s">
        <v>1812</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V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D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AX95" s="61" t="str">
        <f xml:space="preserve"> ""</f>
        <v/>
      </c>
    </row>
    <row r="96" spans="3:87">
      <c r="C96" t="s">
        <v>1822</v>
      </c>
      <c r="D96">
        <v>0.44</v>
      </c>
      <c r="E96" t="s">
        <v>1814</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V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D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AX96" s="61" t="str">
        <f xml:space="preserve"> ""</f>
        <v/>
      </c>
    </row>
    <row r="97" spans="3:50">
      <c r="E97" t="s">
        <v>1811</v>
      </c>
      <c r="J97" s="57" t="str">
        <f t="shared" ref="J97:J106" si="111" xml:space="preserve"> IF(ISTEXT(J74), J74, "")</f>
        <v/>
      </c>
      <c r="V97" s="57" t="str">
        <f t="shared" ref="V97:V106" si="112" xml:space="preserve"> IF(ISTEXT(V74), V74, "")</f>
        <v/>
      </c>
      <c r="AD97" s="57" t="str">
        <f t="shared" ref="AD97:AD106" si="113" xml:space="preserve"> IF(ISTEXT(AD74), AD74, "")</f>
        <v/>
      </c>
      <c r="AX97" s="57" t="str">
        <f t="shared" ref="AX97:AX106" si="114" xml:space="preserve"> IF(ISTEXT(AX74), AX74, "")</f>
        <v>&lt;path fill='#006633' d='M6 6.85224H-6V-6.85224H6Z'/&gt;</v>
      </c>
    </row>
    <row r="98" spans="3:50">
      <c r="E98" t="s">
        <v>1811</v>
      </c>
      <c r="J98" s="57" t="str">
        <f t="shared" si="111"/>
        <v/>
      </c>
      <c r="V98" s="57" t="str">
        <f t="shared" si="112"/>
        <v/>
      </c>
      <c r="AD98" s="57" t="str">
        <f t="shared" si="113"/>
        <v/>
      </c>
      <c r="AX98" s="57" t="str">
        <f t="shared" si="114"/>
        <v>&lt;path fill='#FFF' d='M4.8541 5.70634H-4.8541V-5.70634H4.8541Z'/&gt;</v>
      </c>
    </row>
    <row r="99" spans="3:50">
      <c r="E99" t="s">
        <v>1811</v>
      </c>
      <c r="J99" s="57" t="str">
        <f t="shared" si="111"/>
        <v>&lt;defs&gt;&lt;path id='USD-s' d='M0 -10 l-2.2451 6.9098 H-9.5106 l5.8779 4.2705 L-5.8779 8.0902 L0 3.8197 L5.8779 8.0902 L3.6327 1.1803 L9.5106 -3.0902 H2.2451Z'/&gt;&lt;/defs&gt;</v>
      </c>
      <c r="V99" s="57" t="str">
        <f t="shared" si="112"/>
        <v>&lt;defs&gt;&lt;path id='CNY-s' d='M-9.8995 1.4142 l7.1579 1.2454 L-1.7141 9.852 L1.6822 3.4293 L8.8401 4.6747 L3.7813 -.5402 L7.1776 -6.9629 L.6547 -3.7631 L-4.4041 -8.978 l1.0275 7.1924Z'/&gt;&lt;/defs&gt;</v>
      </c>
      <c r="AD99" s="57" t="str">
        <f t="shared" si="113"/>
        <v>&lt;defs&gt;&lt;path id='PKR-s' d='M7.4741 -6.6436 L.818 -3.731 L-4.0089 -9.1613 l.7133 7.2304 L-9.9517 .9817 l7.0969 1.5559 l.7132 7.2304 L1.5312 3.4993 l7.0969 1.556 L3.8012 -.375Z'/&gt;&lt;/defs&gt;</v>
      </c>
      <c r="AX99" s="57" t="str">
        <f t="shared" si="114"/>
        <v/>
      </c>
    </row>
    <row r="100" spans="3:50">
      <c r="E100" t="s">
        <v>1811</v>
      </c>
      <c r="J100" s="57" t="str">
        <f t="shared" si="111"/>
        <v>&lt;use href='#USD-s' fill='black'/&gt;</v>
      </c>
      <c r="V100" s="57" t="str">
        <f t="shared" si="112"/>
        <v>&lt;use href='#CNY-s' fill='#DE2910'/&gt;</v>
      </c>
      <c r="AD100" s="57" t="str">
        <f t="shared" si="113"/>
        <v>&lt;use href='#PKR-s' fill='#01411C'/&gt;</v>
      </c>
      <c r="AX100" s="57" t="str">
        <f t="shared" si="114"/>
        <v/>
      </c>
    </row>
    <row r="101" spans="3:50">
      <c r="E101" t="s">
        <v>1811</v>
      </c>
      <c r="J101" s="57" t="str">
        <f t="shared" si="111"/>
        <v>&lt;use href='#USD-s' fill='#FFF' transform='scale(0.6)'/&gt;</v>
      </c>
      <c r="V101" s="57" t="str">
        <f t="shared" si="112"/>
        <v>&lt;use href='#CNY-s' fill='#FFDE00' transform='scale(0.7)'/&gt;</v>
      </c>
      <c r="AD101" s="57" t="str">
        <f t="shared" si="113"/>
        <v>&lt;use href='#PKR-s' fill='#FFF' transform='scale(0.7)'/&gt;</v>
      </c>
      <c r="AX101" s="57" t="str">
        <f t="shared" si="114"/>
        <v/>
      </c>
    </row>
    <row r="102" spans="3:50">
      <c r="E102" t="s">
        <v>1811</v>
      </c>
      <c r="J102" s="57" t="str">
        <f t="shared" si="111"/>
        <v/>
      </c>
      <c r="V102" s="57" t="str">
        <f t="shared" si="112"/>
        <v/>
      </c>
      <c r="AD102" s="57" t="str">
        <f t="shared" si="113"/>
        <v/>
      </c>
      <c r="AX102" s="57" t="str">
        <f t="shared" si="114"/>
        <v/>
      </c>
    </row>
    <row r="103" spans="3:50">
      <c r="E103" t="s">
        <v>1811</v>
      </c>
      <c r="J103" s="57" t="str">
        <f t="shared" si="111"/>
        <v/>
      </c>
      <c r="V103" s="57" t="str">
        <f t="shared" si="112"/>
        <v/>
      </c>
      <c r="AD103" s="57" t="str">
        <f t="shared" si="113"/>
        <v/>
      </c>
      <c r="AX103" s="57" t="str">
        <f t="shared" si="114"/>
        <v/>
      </c>
    </row>
    <row r="104" spans="3:50">
      <c r="E104" t="s">
        <v>1811</v>
      </c>
      <c r="J104" s="57" t="str">
        <f t="shared" si="111"/>
        <v/>
      </c>
      <c r="V104" s="57" t="str">
        <f t="shared" si="112"/>
        <v/>
      </c>
      <c r="AD104" s="57" t="str">
        <f t="shared" si="113"/>
        <v/>
      </c>
      <c r="AX104" s="57" t="str">
        <f t="shared" si="114"/>
        <v/>
      </c>
    </row>
    <row r="105" spans="3:50">
      <c r="E105" t="s">
        <v>1811</v>
      </c>
      <c r="J105" s="57" t="str">
        <f t="shared" si="111"/>
        <v/>
      </c>
      <c r="V105" s="57" t="str">
        <f t="shared" si="112"/>
        <v/>
      </c>
      <c r="AD105" s="57" t="str">
        <f t="shared" si="113"/>
        <v/>
      </c>
      <c r="AX105" s="57" t="str">
        <f t="shared" si="114"/>
        <v>&lt;path fill='#D21034' d='M6 0 L1.8541 -1.3471 V-5.7063 L-.7082 -2.1796 L-4.8541 -3.5267 L-2.2918 0 L-4.8541 3.5267 L-.7082 2.1796 L1.8541 5.7063 V1.3471Z'/&gt;</v>
      </c>
    </row>
    <row r="106" spans="3:50">
      <c r="E106" t="s">
        <v>1811</v>
      </c>
      <c r="J106" s="57" t="str">
        <f t="shared" si="111"/>
        <v/>
      </c>
      <c r="V106" s="57" t="str">
        <f t="shared" si="112"/>
        <v/>
      </c>
      <c r="AD106" s="57" t="str">
        <f t="shared" si="113"/>
        <v/>
      </c>
      <c r="AX106" s="57" t="str">
        <f t="shared" si="114"/>
        <v/>
      </c>
    </row>
    <row r="107" spans="3:50">
      <c r="C107" t="s">
        <v>1813</v>
      </c>
      <c r="D107">
        <f xml:space="preserve"> D$96 / 2</f>
        <v>0.22</v>
      </c>
      <c r="E107" t="s">
        <v>1815</v>
      </c>
      <c r="J107" s="58" t="str">
        <f xml:space="preserve"> "&lt;circle fill='none' " &amp; $C107 &amp; " stroke-width='" &amp; $D107 &amp; "' r='" &amp; ROUND(ABS(Star_5_2.SizeOuter),Star_5_2.DecimalPlaces) &amp; "'/&gt;"</f>
        <v>&lt;circle fill='none' opacity='60%' stroke='#00AACC' stroke-width='0.22' r='10'/&gt;</v>
      </c>
      <c r="V107" s="58" t="str">
        <f xml:space="preserve"> "&lt;circle fill='none' " &amp; $C107 &amp; " stroke-width='" &amp; $D107 &amp; "' r='" &amp; ROUND(ABS(Star_5_2.SizeOuter),Star_5_2.DecimalPlaces) &amp; "'/&gt;"</f>
        <v>&lt;circle fill='none' opacity='60%' stroke='#00AACC' stroke-width='0.22' r='10'/&gt;</v>
      </c>
      <c r="AD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r='6'/&gt;</v>
      </c>
    </row>
    <row r="108" spans="3:50">
      <c r="C108" t="str">
        <f xml:space="preserve"> C$107</f>
        <v>opacity='60%' stroke='#00AACC'</v>
      </c>
      <c r="D108">
        <f xml:space="preserve"> D$107</f>
        <v>0.22</v>
      </c>
      <c r="E108" t="s">
        <v>1816</v>
      </c>
      <c r="J108" s="58" t="str">
        <f xml:space="preserve"> "&lt;circle fill='none' " &amp; $C107 &amp; " stroke-width='" &amp; $D107 &amp; "' r='" &amp; ROUND(ABS(Star_5_2.SizeMiddle),Star_5_2.DecimalPlaces) &amp; "'/&gt;"</f>
        <v>&lt;circle fill='none' opacity='60%' stroke='#00AACC' stroke-width='0.22' r='6'/&gt;</v>
      </c>
      <c r="V108" s="58" t="str">
        <f xml:space="preserve"> "&lt;circle fill='none' " &amp; $C107 &amp; " stroke-width='" &amp; $D107 &amp; "' r='" &amp; ROUND(ABS(Star_5_2.SizeMiddle),Star_5_2.DecimalPlaces) &amp; "'/&gt;"</f>
        <v>&lt;circle fill='none' opacity='60%' stroke='#00AACC' stroke-width='0.22' r='7'/&gt;</v>
      </c>
      <c r="AD108" s="58" t="str">
        <f xml:space="preserve"> "&lt;circle fill='none' " &amp; $C107 &amp; " stroke-width='" &amp; $D107 &amp; "' r='" &amp; ROUND(ABS(Star_5_2.SizeMiddle),Star_5_2.DecimalPlaces) &amp; "'/&gt;"</f>
        <v>&lt;circle fill='none' opacity='60%' stroke='#00AACC' stroke-width='0.22' r='7'/&gt;</v>
      </c>
      <c r="AX108" s="61" t="str">
        <f xml:space="preserve"> ""</f>
        <v/>
      </c>
    </row>
    <row r="109" spans="3:50">
      <c r="C109" t="str">
        <f t="shared" ref="C109:D110" si="115" xml:space="preserve"> C$107</f>
        <v>opacity='60%' stroke='#00AACC'</v>
      </c>
      <c r="D109">
        <f t="shared" si="115"/>
        <v>0.22</v>
      </c>
      <c r="E109" t="s">
        <v>1817</v>
      </c>
      <c r="J109" s="58" t="str">
        <f xml:space="preserve"> "&lt;circle fill='none' " &amp; $C107 &amp; " stroke-width='" &amp; $D107 &amp; "' r='" &amp; ROUND(ABS(Star_5_2.SizeOuter * (3 - Sqrt5) / 2),Star_5_2.DecimalPlaces) &amp; "'/&gt;"</f>
        <v>&lt;circle fill='none' opacity='60%' stroke='#00AACC' stroke-width='0.22' r='3.8197'/&gt;</v>
      </c>
      <c r="V109" s="58" t="str">
        <f xml:space="preserve"> "&lt;circle fill='none' " &amp; $C107 &amp; " stroke-width='" &amp; $D107 &amp; "' r='" &amp; ROUND(ABS(Star_5_2.SizeOuter * (3 - Sqrt5) / 2),Star_5_2.DecimalPlaces) &amp; "'/&gt;"</f>
        <v>&lt;circle fill='none' opacity='60%' stroke='#00AACC' stroke-width='0.22' r='3.8197'/&gt;</v>
      </c>
      <c r="AD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r='2.2918'/&gt;</v>
      </c>
    </row>
    <row r="110" spans="3:50">
      <c r="C110" t="str">
        <f t="shared" si="115"/>
        <v>opacity='60%' stroke='#00AACC'</v>
      </c>
      <c r="D110">
        <f t="shared" si="115"/>
        <v>0.22</v>
      </c>
      <c r="E110" t="s">
        <v>1818</v>
      </c>
      <c r="J110" s="58" t="str">
        <f xml:space="preserve"> "&lt;circle fill='none' " &amp; $C107 &amp; " stroke-width='" &amp; $D107 &amp; "' r='" &amp; ROUND(ABS(Star_5_2.SizeMiddle * (3 - Sqrt5) / 2),Star_5_2.DecimalPlaces) &amp; "'/&gt;"</f>
        <v>&lt;circle fill='none' opacity='60%' stroke='#00AACC' stroke-width='0.22' r='2.2918'/&gt;</v>
      </c>
      <c r="V110" s="58" t="str">
        <f xml:space="preserve"> "&lt;circle fill='none' " &amp; $C107 &amp; " stroke-width='" &amp; $D107 &amp; "' r='" &amp; ROUND(ABS(Star_5_2.SizeMiddle * (3 - Sqrt5) / 2),Star_5_2.DecimalPlaces) &amp; "'/&gt;"</f>
        <v>&lt;circle fill='none' opacity='60%' stroke='#00AACC' stroke-width='0.22' r='2.6738'/&gt;</v>
      </c>
      <c r="AD110" s="58" t="str">
        <f xml:space="preserve"> "&lt;circle fill='none' " &amp; $C107 &amp; " stroke-width='" &amp; $D107 &amp; "' r='" &amp; ROUND(ABS(Star_5_2.SizeMiddle * (3 - Sqrt5) / 2),Star_5_2.DecimalPlaces) &amp; "'/&gt;"</f>
        <v>&lt;circle fill='none' opacity='60%' stroke='#00AACC' stroke-width='0.22' r='2.6738'/&gt;</v>
      </c>
      <c r="AX110" s="61" t="str">
        <f xml:space="preserve"> ""</f>
        <v/>
      </c>
    </row>
    <row r="111" spans="3:50">
      <c r="C111" t="s">
        <v>1821</v>
      </c>
      <c r="D111">
        <f xml:space="preserve"> D$107</f>
        <v>0.22</v>
      </c>
      <c r="E111" t="s">
        <v>1820</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V111" s="58" t="str">
        <f xml:space="preserve"> "&lt;path " &amp; $C111 &amp; " stroke-width='" &amp; $D111 &amp; "' d='" &amp; _xlfn.TEXTJOIN(" ",TRUE,
"M", ROUND(T$18,Star_5_2.DecimalPlaces), ROUND(U$18,Star_5_2.DecimalPlaces), "L", ROUND(T$23,Star_5_2.DecimalPlaces), ROUND(U$23,Star_5_2.DecimalPlaces),
"M", ROUND(T$19,Star_5_2.DecimalPlaces), ROUND(U$19,Star_5_2.DecimalPlaces), "L", ROUND(T$24,Star_5_2.DecimalPlaces), ROUND(U$24,Star_5_2.DecimalPlaces),
"M", ROUND(T$20,Star_5_2.DecimalPlaces), ROUND(U$20,Star_5_2.DecimalPlaces), "L", ROUND(T$25,Star_5_2.DecimalPlaces), ROUND(U$25,Star_5_2.DecimalPlaces),
"M", ROUND(T$21,Star_5_2.DecimalPlaces), ROUND(U$21,Star_5_2.DecimalPlaces), "L", ROUND(T$26,Star_5_2.DecimalPlaces), ROUND(U$26,Star_5_2.DecimalPlaces),
"M", ROUND(T$22,Star_5_2.DecimalPlaces), ROUND(U$22,Star_5_2.DecimalPlaces), "L", ROUND(T$27,Star_5_2.DecimalPlaces), ROUND(U$27,Star_5_2.DecimalPlaces)) &amp; "'/&gt;"</f>
        <v>&lt;path opacity='60%' stroke='#00FF00' stroke-width='0.22' d='M -9.8995 1.4142 L 3.7813 -0.5402 M -2.7416 2.6596 L 7.1776 -6.9629 M -1.7141 9.852 L 0.6547 -3.7631 M 1.6822 3.4293 L -4.4041 -8.978 M 8.8401 4.6747 L -3.3766 -1.7856'/&gt;</v>
      </c>
      <c r="AD111" s="58" t="str">
        <f xml:space="preserve"> "&lt;path " &amp; $C111 &amp; " stroke-width='" &amp; $D111 &amp; "' d='" &amp; _xlfn.TEXTJOIN(" ",TRUE,
"M", ROUND(AB$18,Star_5_2.DecimalPlaces), ROUND(AC$18,Star_5_2.DecimalPlaces), "L", ROUND(AB$23,Star_5_2.DecimalPlaces), ROUND(AC$23,Star_5_2.DecimalPlaces),
"M", ROUND(AB$19,Star_5_2.DecimalPlaces), ROUND(AC$19,Star_5_2.DecimalPlaces), "L", ROUND(AB$24,Star_5_2.DecimalPlaces), ROUND(AC$24,Star_5_2.DecimalPlaces),
"M", ROUND(AB$20,Star_5_2.DecimalPlaces), ROUND(AC$20,Star_5_2.DecimalPlaces), "L", ROUND(AB$25,Star_5_2.DecimalPlaces), ROUND(AC$25,Star_5_2.DecimalPlaces),
"M", ROUND(AB$21,Star_5_2.DecimalPlaces), ROUND(AC$21,Star_5_2.DecimalPlaces), "L", ROUND(AB$26,Star_5_2.DecimalPlaces), ROUND(AC$26,Star_5_2.DecimalPlaces),
"M", ROUND(AB$22,Star_5_2.DecimalPlaces), ROUND(AC$22,Star_5_2.DecimalPlaces), "L", ROUND(AB$27,Star_5_2.DecimalPlaces), ROUND(AC$27,Star_5_2.DecimalPlaces)) &amp; "'/&gt;"</f>
        <v>&lt;path opacity='60%' stroke='#00FF00' stroke-width='0.22' d='M 7.4741 -6.6436 L -2.8548 2.5376 M 0.818 -3.731 L -2.1416 9.768 M -4.0089 -9.1613 L 1.5312 3.4993 M -3.2956 -1.9309 L 8.6281 5.0553 M -9.9517 0.9817 L 3.8012 -0.375'/&gt;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6 0 L -2.2918 0 M 1.8541 -1.34708 L -4.8541 3.52671 M 1.8541 -5.70634 L -0.7082 2.17963 M -0.7082 -2.17963 L 1.8541 5.70634 M -4.8541 -3.52671 L 1.8541 1.34708'/&gt;</v>
      </c>
    </row>
    <row r="112" spans="3:50">
      <c r="C112" t="str">
        <f xml:space="preserve"> C96</f>
        <v>fill='none' stroke='#0000FF'</v>
      </c>
      <c r="D112">
        <f xml:space="preserve"> D$107</f>
        <v>0.22</v>
      </c>
      <c r="E112" t="s">
        <v>1819</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V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D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50">
      <c r="C113" t="s">
        <v>2088</v>
      </c>
      <c r="D113">
        <f xml:space="preserve"> D112 / 2</f>
        <v>0.11</v>
      </c>
      <c r="J113" s="58" t="str">
        <f xml:space="preserve"> "&lt;circle " &amp; $C113 &amp; " r='" &amp; $D113 &amp; "'/&gt;"</f>
        <v>&lt;circle fill='#FFF' r='0.11'/&gt;</v>
      </c>
      <c r="V113" s="58" t="str">
        <f xml:space="preserve"> "&lt;circle " &amp; $C113 &amp; " r='" &amp; $D113 &amp; "'/&gt;"</f>
        <v>&lt;circle fill='#FFF' r='0.11'/&gt;</v>
      </c>
      <c r="AD113" s="58" t="str">
        <f xml:space="preserve"> "&lt;circle " &amp; $C113 &amp; " r='" &amp; $D113 &amp; "'/&gt;"</f>
        <v>&lt;circle fill='#FFF' r='0.11'/&gt;</v>
      </c>
      <c r="AX113" s="58" t="str">
        <f xml:space="preserve"> "&lt;circle " &amp; $C113 &amp; " r='" &amp; $D113 &amp; "'/&gt;"</f>
        <v>&lt;circle fill='#FFF' r='0.11'/&gt;</v>
      </c>
    </row>
    <row r="114" spans="3:50">
      <c r="J114" s="60"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font-size='1.1024' font-weight='800'&gt;USD&lt;/text&gt;</v>
      </c>
      <c r="V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y='8.43' fill='black' dominant-baseline='middle' font-family='Consolas, monospace' font-size='1.1168' font-weight='800'&gt;CNY&lt;/text&gt;</v>
      </c>
      <c r="AD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y='8.38' fill='black' dominant-baseline='middle' font-family='Consolas, monospace' font-size='1.1073' font-weight='800'&gt;PKR&lt;/text&gt;</v>
      </c>
      <c r="AX114" s="60"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14/AX$90, _xlfn.SINGLE(Star_5_2.DecimalPlaces)) &amp; "' font-weight='800'&gt;" &amp; _xlfn.SINGLE(Star_5_2.ID) &amp; "&lt;/text&gt;"</f>
        <v>&lt;text x='-2.4' y='-4.11134' fill='black' dominant-baseline='middle' font-family='Consolas, monospace' font-size='0.72401' font-weight='800'&gt;DZD&lt;/text&gt;</v>
      </c>
    </row>
    <row r="115" spans="3:50">
      <c r="J115" s="59" t="s">
        <v>15</v>
      </c>
      <c r="V115" s="59" t="s">
        <v>15</v>
      </c>
      <c r="AD115" s="59" t="s">
        <v>15</v>
      </c>
      <c r="AX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2298</v>
      </c>
      <c r="Z2" t="s">
        <v>105</v>
      </c>
      <c r="AB2" t="s">
        <v>715</v>
      </c>
      <c r="AD2" t="s">
        <v>1670</v>
      </c>
      <c r="AF2" t="s">
        <v>2248</v>
      </c>
      <c r="AH2" t="s">
        <v>173</v>
      </c>
      <c r="AJ2" t="s">
        <v>106</v>
      </c>
      <c r="AL2" t="s">
        <v>2038</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2249</v>
      </c>
      <c r="AH14" t="s">
        <v>725</v>
      </c>
      <c r="AJ14" t="s">
        <v>726</v>
      </c>
      <c r="AL14" t="s">
        <v>2039</v>
      </c>
    </row>
    <row r="15" spans="2:40">
      <c r="B15" s="4" t="s">
        <v>109</v>
      </c>
      <c r="D15" t="str">
        <f xml:space="preserve"> "fill='#FFF'"</f>
        <v>fill='#FFF'</v>
      </c>
      <c r="H15" t="s">
        <v>718</v>
      </c>
      <c r="L15" t="s">
        <v>722</v>
      </c>
      <c r="N15" t="s">
        <v>2088</v>
      </c>
      <c r="P15" t="s">
        <v>1638</v>
      </c>
      <c r="R15" t="s">
        <v>730</v>
      </c>
      <c r="T15" t="s">
        <v>2088</v>
      </c>
      <c r="V15" t="s">
        <v>732</v>
      </c>
      <c r="X15" s="28" t="s">
        <v>2301</v>
      </c>
      <c r="Z15" t="s">
        <v>2129</v>
      </c>
      <c r="AD15" t="s">
        <v>1673</v>
      </c>
      <c r="AF15" t="s">
        <v>2088</v>
      </c>
      <c r="AJ15" t="s">
        <v>2088</v>
      </c>
      <c r="AL15" t="s">
        <v>2088</v>
      </c>
    </row>
    <row r="16" spans="2:40">
      <c r="B16" s="4" t="s">
        <v>110</v>
      </c>
      <c r="L16" t="s">
        <v>721</v>
      </c>
      <c r="N16" t="s">
        <v>727</v>
      </c>
      <c r="P16" t="s">
        <v>1639</v>
      </c>
      <c r="R16" t="s">
        <v>731</v>
      </c>
      <c r="T16" t="str">
        <f xml:space="preserve"> _xlfn.SINGLE(Circles.SVG_Painting_3)</f>
        <v>fill='#C8102E'</v>
      </c>
      <c r="Z16" t="s">
        <v>2088</v>
      </c>
      <c r="AF16" t="s">
        <v>2250</v>
      </c>
      <c r="AJ16" t="s">
        <v>737</v>
      </c>
      <c r="AL16" t="s">
        <v>2040</v>
      </c>
    </row>
    <row r="17" spans="2:40">
      <c r="B17" s="4" t="s">
        <v>107</v>
      </c>
      <c r="F17" t="s">
        <v>2088</v>
      </c>
      <c r="J17" t="s">
        <v>720</v>
      </c>
      <c r="AB17" t="s">
        <v>736</v>
      </c>
      <c r="AD17" t="s">
        <v>1672</v>
      </c>
      <c r="AH17" t="s">
        <v>2088</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2358</v>
      </c>
      <c r="L2" t="s">
        <v>164</v>
      </c>
      <c r="N2" t="s">
        <v>165</v>
      </c>
      <c r="P2" t="s">
        <v>167</v>
      </c>
      <c r="R2" t="s">
        <v>102</v>
      </c>
      <c r="T2" t="s">
        <v>169</v>
      </c>
      <c r="V2" t="s">
        <v>2378</v>
      </c>
      <c r="X2" t="s">
        <v>170</v>
      </c>
      <c r="Z2" t="s">
        <v>2279</v>
      </c>
      <c r="AB2" t="s">
        <v>560</v>
      </c>
      <c r="AD2" t="s">
        <v>2380</v>
      </c>
      <c r="AF2" t="s">
        <v>2419</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2379</v>
      </c>
      <c r="X14" t="s">
        <v>2150</v>
      </c>
      <c r="Z14" t="str">
        <f xml:space="preserve"> $X14</f>
        <v>fill='#AD1519'</v>
      </c>
      <c r="AB14" t="s">
        <v>728</v>
      </c>
      <c r="AD14" t="s">
        <v>2381</v>
      </c>
      <c r="AF14" t="s">
        <v>2420</v>
      </c>
    </row>
    <row r="15" spans="2:37">
      <c r="B15" s="4" t="s">
        <v>158</v>
      </c>
      <c r="F15" t="s">
        <v>2088</v>
      </c>
      <c r="H15" t="s">
        <v>2088</v>
      </c>
      <c r="J15" t="s">
        <v>2088</v>
      </c>
      <c r="L15" t="s">
        <v>741</v>
      </c>
      <c r="N15" t="s">
        <v>1961</v>
      </c>
      <c r="P15" t="s">
        <v>2088</v>
      </c>
      <c r="R15" t="s">
        <v>2088</v>
      </c>
      <c r="T15" t="s">
        <v>2088</v>
      </c>
      <c r="V15" t="s">
        <v>2088</v>
      </c>
      <c r="X15" t="s">
        <v>2151</v>
      </c>
      <c r="Z15" s="28" t="s">
        <v>2287</v>
      </c>
      <c r="AB15" t="s">
        <v>742</v>
      </c>
      <c r="AD15" t="s">
        <v>2382</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2383</v>
      </c>
      <c r="AF16" t="s">
        <v>759</v>
      </c>
    </row>
    <row r="17" spans="2:37">
      <c r="B17" s="4" t="s">
        <v>160</v>
      </c>
      <c r="D17" t="s">
        <v>2088</v>
      </c>
      <c r="P17" t="s">
        <v>723</v>
      </c>
      <c r="R17" t="s">
        <v>1688</v>
      </c>
      <c r="AB17" t="s">
        <v>2088</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2282</v>
      </c>
      <c r="N2" t="s">
        <v>126</v>
      </c>
      <c r="P2" t="s">
        <v>676</v>
      </c>
      <c r="R2" t="s">
        <v>128</v>
      </c>
      <c r="T2" t="s">
        <v>1540</v>
      </c>
      <c r="V2" t="s">
        <v>657</v>
      </c>
      <c r="X2" t="s">
        <v>2293</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2089</v>
      </c>
      <c r="T88" t="s">
        <v>2089</v>
      </c>
      <c r="V88" s="5"/>
      <c r="X88" s="5"/>
    </row>
    <row r="89" spans="6:26">
      <c r="H89" s="4" t="s">
        <v>1572</v>
      </c>
      <c r="R89" t="s">
        <v>791</v>
      </c>
      <c r="T89" t="s">
        <v>1541</v>
      </c>
      <c r="V89" s="5"/>
      <c r="X89" s="5"/>
    </row>
    <row r="90" spans="6:26">
      <c r="H90" s="4" t="s">
        <v>1573</v>
      </c>
      <c r="J90" t="s">
        <v>2088</v>
      </c>
      <c r="L90" t="s">
        <v>2129</v>
      </c>
      <c r="N90" s="5" t="s">
        <v>722</v>
      </c>
      <c r="P90" s="5" t="s">
        <v>2088</v>
      </c>
      <c r="V90" s="5"/>
      <c r="X90" s="5"/>
    </row>
    <row r="91" spans="6:26">
      <c r="H91" s="4" t="s">
        <v>1575</v>
      </c>
      <c r="N91" s="5"/>
      <c r="P91" s="5"/>
      <c r="V91" s="5" t="s">
        <v>2088</v>
      </c>
      <c r="X91" s="63" t="s">
        <v>2287</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1785</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1786</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1784</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1787</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1788</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2294</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1826</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2272</v>
      </c>
      <c r="C60" s="3" t="s">
        <v>2273</v>
      </c>
      <c r="E60" s="3" t="s">
        <v>2274</v>
      </c>
      <c r="G60" s="36" t="s">
        <v>2271</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2129</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7">
      <c r="B2" s="4" t="s">
        <v>361</v>
      </c>
      <c r="D2" t="s">
        <v>405</v>
      </c>
      <c r="F2" t="s">
        <v>796</v>
      </c>
      <c r="H2" t="s">
        <v>393</v>
      </c>
      <c r="J2" t="s">
        <v>1614</v>
      </c>
      <c r="L2" t="s">
        <v>879</v>
      </c>
      <c r="N2" t="s">
        <v>2155</v>
      </c>
      <c r="P2" t="s">
        <v>166</v>
      </c>
      <c r="R2" t="s">
        <v>492</v>
      </c>
      <c r="T2" t="s">
        <v>2152</v>
      </c>
      <c r="V2" t="s">
        <v>528</v>
      </c>
      <c r="X2" t="s">
        <v>1777</v>
      </c>
      <c r="Z2" t="s">
        <v>168</v>
      </c>
      <c r="AB2" t="s">
        <v>578</v>
      </c>
      <c r="AD2" t="s">
        <v>579</v>
      </c>
      <c r="AF2" t="s">
        <v>580</v>
      </c>
      <c r="AH2" t="s">
        <v>1627</v>
      </c>
      <c r="AJ2" t="s">
        <v>1623</v>
      </c>
      <c r="AL2" t="s">
        <v>1620</v>
      </c>
      <c r="AN2" t="s">
        <v>581</v>
      </c>
      <c r="AP2" t="s">
        <v>2275</v>
      </c>
      <c r="AR2" t="s">
        <v>656</v>
      </c>
      <c r="AT2" t="s">
        <v>2281</v>
      </c>
      <c r="AV2" t="s">
        <v>104</v>
      </c>
      <c r="AX2" t="s">
        <v>1666</v>
      </c>
      <c r="AZ2" t="s">
        <v>372</v>
      </c>
      <c r="BB2" t="s">
        <v>2307</v>
      </c>
      <c r="BD2" t="s">
        <v>795</v>
      </c>
      <c r="BF2" t="s">
        <v>2132</v>
      </c>
      <c r="BH2" t="s">
        <v>798</v>
      </c>
      <c r="BJ2" t="s">
        <v>2033</v>
      </c>
      <c r="BL2" t="s">
        <v>1705</v>
      </c>
      <c r="BN2" t="s">
        <v>929</v>
      </c>
      <c r="BP2" t="s">
        <v>172</v>
      </c>
      <c r="BR2" t="s">
        <v>2043</v>
      </c>
      <c r="BT2" t="s">
        <v>2315</v>
      </c>
      <c r="BY2" t="e">
        <f xml:space="preserve"> NA()</f>
        <v>#N/A</v>
      </c>
    </row>
    <row r="3" spans="2:77">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c r="B5" s="4" t="s">
        <v>363</v>
      </c>
      <c r="BH5">
        <v>44</v>
      </c>
      <c r="BJ5">
        <v>44</v>
      </c>
    </row>
    <row r="6" spans="2:77">
      <c r="B6" s="4" t="s">
        <v>2306</v>
      </c>
      <c r="BB6" s="5" t="s">
        <v>2309</v>
      </c>
    </row>
    <row r="7" spans="2:77">
      <c r="B7" s="4" t="s">
        <v>373</v>
      </c>
      <c r="C7" s="5"/>
      <c r="D7" s="5" t="s">
        <v>716</v>
      </c>
      <c r="E7" s="5"/>
      <c r="F7" s="5" t="s">
        <v>1825</v>
      </c>
      <c r="G7" s="5"/>
      <c r="H7" s="5" t="s">
        <v>1067</v>
      </c>
      <c r="I7" s="5"/>
      <c r="J7" s="5" t="s">
        <v>1616</v>
      </c>
      <c r="K7" s="5"/>
      <c r="L7" s="5" t="s">
        <v>1504</v>
      </c>
      <c r="M7" s="5"/>
      <c r="N7" s="5" t="s">
        <v>752</v>
      </c>
      <c r="O7" s="5"/>
      <c r="P7" s="5" t="s">
        <v>723</v>
      </c>
      <c r="Q7" s="5"/>
      <c r="R7" s="5" t="s">
        <v>755</v>
      </c>
      <c r="S7" s="5"/>
      <c r="T7" s="5" t="s">
        <v>2153</v>
      </c>
      <c r="U7" s="5"/>
      <c r="V7" s="5" t="s">
        <v>723</v>
      </c>
      <c r="W7" s="5"/>
      <c r="X7" s="5" t="s">
        <v>1778</v>
      </c>
      <c r="Y7" s="5"/>
      <c r="Z7" s="5" t="s">
        <v>723</v>
      </c>
      <c r="AA7" s="5"/>
      <c r="AB7" s="5"/>
      <c r="AC7" s="5"/>
      <c r="AD7" s="5"/>
      <c r="AE7" s="5"/>
      <c r="AF7" s="5"/>
      <c r="AG7" s="5"/>
      <c r="AH7" s="5" t="s">
        <v>1628</v>
      </c>
      <c r="AI7" s="5"/>
      <c r="AJ7" s="5"/>
      <c r="AK7" s="5"/>
      <c r="AL7" s="5"/>
      <c r="AM7" s="5"/>
      <c r="AN7" s="5" t="s">
        <v>726</v>
      </c>
      <c r="AO7" s="5"/>
      <c r="AP7" s="5" t="s">
        <v>726</v>
      </c>
      <c r="AQ7" s="5"/>
      <c r="AR7" s="5" t="s">
        <v>728</v>
      </c>
      <c r="AS7" s="5"/>
      <c r="AT7" s="5" t="s">
        <v>728</v>
      </c>
      <c r="AU7" s="5"/>
      <c r="AV7" s="5" t="s">
        <v>717</v>
      </c>
      <c r="AW7" s="5"/>
      <c r="AX7" s="5" t="s">
        <v>2088</v>
      </c>
      <c r="AY7" s="5"/>
      <c r="AZ7" s="5" t="s">
        <v>1071</v>
      </c>
      <c r="BA7" s="5"/>
      <c r="BB7" s="5" t="s">
        <v>2088</v>
      </c>
      <c r="BC7" s="5"/>
      <c r="BD7" s="5" t="s">
        <v>1043</v>
      </c>
      <c r="BE7" s="5"/>
      <c r="BF7" s="5" t="str">
        <f xml:space="preserve"> $AV$9</f>
        <v>fill='#00A3E0'</v>
      </c>
      <c r="BG7" s="5"/>
      <c r="BH7" s="5" t="s">
        <v>2088</v>
      </c>
      <c r="BI7" s="5"/>
      <c r="BJ7" s="5" t="s">
        <v>2034</v>
      </c>
      <c r="BK7" s="5"/>
      <c r="BL7" s="5" t="s">
        <v>1706</v>
      </c>
      <c r="BM7" s="5"/>
      <c r="BN7" s="5" t="s">
        <v>930</v>
      </c>
      <c r="BO7" s="5"/>
      <c r="BP7" s="5" t="s">
        <v>2444</v>
      </c>
      <c r="BQ7" s="5"/>
      <c r="BR7" s="5" t="s">
        <v>2046</v>
      </c>
      <c r="BS7" s="5"/>
      <c r="BT7" s="5" t="s">
        <v>2316</v>
      </c>
      <c r="BU7" s="5"/>
      <c r="BV7" s="5"/>
      <c r="BW7" s="5"/>
      <c r="BX7" s="5"/>
      <c r="BY7" s="5"/>
    </row>
    <row r="8" spans="2:77">
      <c r="B8" s="4" t="s">
        <v>374</v>
      </c>
      <c r="C8" s="5"/>
      <c r="D8" s="5" t="s">
        <v>2090</v>
      </c>
      <c r="E8" s="5"/>
      <c r="F8" s="5" t="s">
        <v>2090</v>
      </c>
      <c r="G8" s="5"/>
      <c r="H8" s="5" t="s">
        <v>2088</v>
      </c>
      <c r="I8" s="5"/>
      <c r="J8" s="5" t="s">
        <v>1615</v>
      </c>
      <c r="K8" s="5"/>
      <c r="L8" s="5" t="s">
        <v>1503</v>
      </c>
      <c r="M8" s="5"/>
      <c r="N8" s="5" t="s">
        <v>2088</v>
      </c>
      <c r="O8" s="5"/>
      <c r="P8" s="5" t="s">
        <v>2088</v>
      </c>
      <c r="Q8" s="5"/>
      <c r="R8" s="5" t="s">
        <v>2088</v>
      </c>
      <c r="S8" s="5"/>
      <c r="T8" s="5" t="s">
        <v>2154</v>
      </c>
      <c r="U8" s="5"/>
      <c r="V8" s="5" t="s">
        <v>750</v>
      </c>
      <c r="W8" s="5"/>
      <c r="X8" s="5" t="s">
        <v>1779</v>
      </c>
      <c r="Y8" s="5"/>
      <c r="Z8" s="5" t="s">
        <v>2088</v>
      </c>
      <c r="AA8" s="5"/>
      <c r="AB8" s="5" t="s">
        <v>751</v>
      </c>
      <c r="AC8" s="5"/>
      <c r="AD8" s="5" t="s">
        <v>728</v>
      </c>
      <c r="AE8" s="5"/>
      <c r="AF8" s="5" t="s">
        <v>723</v>
      </c>
      <c r="AG8" s="5"/>
      <c r="AH8" s="5" t="s">
        <v>726</v>
      </c>
      <c r="AI8" s="5"/>
      <c r="AJ8" s="5" t="s">
        <v>759</v>
      </c>
      <c r="AK8" s="5"/>
      <c r="AL8" s="5" t="s">
        <v>1621</v>
      </c>
      <c r="AM8" s="5"/>
      <c r="AN8" s="5" t="s">
        <v>2088</v>
      </c>
      <c r="AO8" s="5"/>
      <c r="AP8" s="5" t="s">
        <v>2276</v>
      </c>
      <c r="AQ8" s="5"/>
      <c r="AR8" s="5" t="s">
        <v>2088</v>
      </c>
      <c r="AS8" s="5"/>
      <c r="AT8" s="5" t="s">
        <v>2129</v>
      </c>
      <c r="AU8" s="5"/>
      <c r="AV8" s="5" t="s">
        <v>2088</v>
      </c>
      <c r="AW8" s="5"/>
      <c r="AX8" s="5" t="s">
        <v>738</v>
      </c>
      <c r="AY8" s="5"/>
      <c r="AZ8" s="5" t="s">
        <v>1072</v>
      </c>
      <c r="BA8" s="5"/>
      <c r="BB8" s="5" t="s">
        <v>2129</v>
      </c>
      <c r="BC8" s="5"/>
      <c r="BD8" s="5" t="s">
        <v>2088</v>
      </c>
      <c r="BE8" s="5"/>
      <c r="BF8" s="5" t="s">
        <v>2088</v>
      </c>
      <c r="BG8" s="5"/>
      <c r="BH8" s="5" t="str">
        <f xml:space="preserve"> "stroke-width='" &amp; _xlfn.SINGLE(Simple.SVG_borderWidth) &amp; "' stroke-linejoin='round' stroke='#1B618C' fill='none' "</f>
        <v xml:space="preserve">stroke-width='44' stroke-linejoin='round' stroke='#1B618C' fill='none' </v>
      </c>
      <c r="BI8" s="5"/>
      <c r="BJ8" s="5" t="s">
        <v>2088</v>
      </c>
      <c r="BK8" s="5"/>
      <c r="BL8" s="5" t="s">
        <v>1707</v>
      </c>
      <c r="BM8" s="5"/>
      <c r="BN8" s="5" t="s">
        <v>931</v>
      </c>
      <c r="BO8" s="5"/>
      <c r="BP8" s="5" t="s">
        <v>2445</v>
      </c>
      <c r="BQ8" s="5"/>
      <c r="BR8" s="5" t="s">
        <v>2047</v>
      </c>
      <c r="BS8" s="5"/>
      <c r="BT8" s="5" t="s">
        <v>2317</v>
      </c>
      <c r="BU8" s="5"/>
      <c r="BV8" s="5"/>
      <c r="BW8" s="5"/>
      <c r="BX8" s="5"/>
      <c r="BY8" s="5"/>
    </row>
    <row r="9" spans="2:77">
      <c r="B9" s="4" t="s">
        <v>375</v>
      </c>
      <c r="C9" s="5"/>
      <c r="D9" s="5"/>
      <c r="E9" s="5"/>
      <c r="F9" s="5"/>
      <c r="G9" s="5"/>
      <c r="H9" s="5"/>
      <c r="I9" s="5"/>
      <c r="J9" s="5"/>
      <c r="K9" s="5"/>
      <c r="L9" s="5"/>
      <c r="M9" s="5"/>
      <c r="N9" s="5" t="s">
        <v>752</v>
      </c>
      <c r="O9" s="5"/>
      <c r="P9" s="5"/>
      <c r="Q9" s="5"/>
      <c r="R9" s="5" t="s">
        <v>753</v>
      </c>
      <c r="S9" s="5"/>
      <c r="T9" s="5" t="s">
        <v>726</v>
      </c>
      <c r="U9" s="5"/>
      <c r="V9" s="5"/>
      <c r="W9" s="5"/>
      <c r="X9" s="5" t="s">
        <v>726</v>
      </c>
      <c r="Y9" s="5"/>
      <c r="Z9" s="5"/>
      <c r="AA9" s="5"/>
      <c r="AB9" s="5" t="s">
        <v>754</v>
      </c>
      <c r="AC9" s="5"/>
      <c r="AD9" s="5" t="s">
        <v>726</v>
      </c>
      <c r="AE9" s="5"/>
      <c r="AF9" s="5" t="s">
        <v>726</v>
      </c>
      <c r="AG9" s="5"/>
      <c r="AH9" s="5" t="s">
        <v>2088</v>
      </c>
      <c r="AI9" s="5"/>
      <c r="AJ9" s="5" t="s">
        <v>726</v>
      </c>
      <c r="AK9" s="5"/>
      <c r="AL9" s="5" t="s">
        <v>1622</v>
      </c>
      <c r="AM9" s="5"/>
      <c r="AN9" s="5"/>
      <c r="AO9" s="5"/>
      <c r="AP9" s="5"/>
      <c r="AQ9" s="5"/>
      <c r="AR9" s="5"/>
      <c r="AS9" s="5"/>
      <c r="AT9" s="5"/>
      <c r="AU9" s="5"/>
      <c r="AV9" s="5" t="s">
        <v>733</v>
      </c>
      <c r="AW9" s="5"/>
      <c r="AX9" s="5"/>
      <c r="AY9" s="5"/>
      <c r="AZ9" s="5" t="s">
        <v>2088</v>
      </c>
      <c r="BA9" s="5"/>
      <c r="BB9" s="5" t="s">
        <v>2308</v>
      </c>
      <c r="BC9" s="5"/>
      <c r="BD9" s="5" t="s">
        <v>797</v>
      </c>
      <c r="BE9" s="5"/>
      <c r="BF9" s="5" t="str">
        <f xml:space="preserve"> $AV$7</f>
        <v>fill='#EF3340'</v>
      </c>
      <c r="BG9" s="5"/>
      <c r="BH9" s="5"/>
      <c r="BI9" s="5"/>
      <c r="BJ9" s="5" t="s">
        <v>2035</v>
      </c>
      <c r="BK9" s="5"/>
      <c r="BL9" s="5"/>
      <c r="BM9" s="5"/>
      <c r="BN9" s="5"/>
      <c r="BO9" s="5"/>
      <c r="BP9" s="5"/>
      <c r="BQ9" s="5"/>
      <c r="BR9" s="5" t="s">
        <v>2088</v>
      </c>
      <c r="BS9" s="5"/>
      <c r="BT9" s="5" t="s">
        <v>2318</v>
      </c>
      <c r="BU9" s="5"/>
      <c r="BV9" s="5"/>
      <c r="BW9" s="5"/>
      <c r="BX9" s="5"/>
      <c r="BY9" s="5"/>
    </row>
    <row r="10" spans="2:77">
      <c r="U10" s="5"/>
      <c r="X10" s="5"/>
      <c r="AB10" s="5"/>
      <c r="AD10" s="5"/>
    </row>
    <row r="11" spans="2:77">
      <c r="B11" s="4" t="s">
        <v>365</v>
      </c>
      <c r="D11">
        <v>10</v>
      </c>
      <c r="F11">
        <f xml:space="preserve"> $D11</f>
        <v>10</v>
      </c>
      <c r="H11">
        <f xml:space="preserve"> 2 * 4</f>
        <v>8</v>
      </c>
      <c r="J11">
        <v>11</v>
      </c>
      <c r="L11">
        <f xml:space="preserve"> 2 * 4</f>
        <v>8</v>
      </c>
      <c r="N11">
        <v>27</v>
      </c>
      <c r="P11">
        <v>6</v>
      </c>
      <c r="R11">
        <v>67</v>
      </c>
      <c r="T11">
        <v>8</v>
      </c>
      <c r="V11">
        <f xml:space="preserve"> 83 * 10</f>
        <v>830</v>
      </c>
      <c r="X11">
        <v>97</v>
      </c>
      <c r="Z11">
        <v>6</v>
      </c>
      <c r="AB11">
        <v>1</v>
      </c>
      <c r="AD11">
        <v>2</v>
      </c>
      <c r="AF11">
        <v>8</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c r="B12" s="4" t="s">
        <v>367</v>
      </c>
      <c r="D12">
        <f xml:space="preserve"> _xlfn.SINGLE(Simple.MaxX)</f>
        <v>10</v>
      </c>
      <c r="F12">
        <f xml:space="preserve"> _xlfn.SINGLE(Simple.MaxX)</f>
        <v>10</v>
      </c>
      <c r="H12">
        <f xml:space="preserve"> _xlfn.SINGLE(Simple.MaxX)</f>
        <v>8</v>
      </c>
      <c r="J12">
        <v>14</v>
      </c>
      <c r="L12">
        <f xml:space="preserve"> _xlfn.SINGLE(Simple.MaxX)</f>
        <v>8</v>
      </c>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8</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c r="B13" s="4" t="s">
        <v>364</v>
      </c>
      <c r="D13">
        <f xml:space="preserve"> - _xlfn.SINGLE(Simple.MaxX)</f>
        <v>-10</v>
      </c>
      <c r="F13">
        <f xml:space="preserve"> - _xlfn.SINGLE(Simple.MaxX)</f>
        <v>-10</v>
      </c>
      <c r="H13">
        <f xml:space="preserve"> - _xlfn.SINGLE(Simple.MaxX)</f>
        <v>-8</v>
      </c>
      <c r="J13">
        <f xml:space="preserve"> - _xlfn.SINGLE(Simple.MaxX)</f>
        <v>-11</v>
      </c>
      <c r="L13">
        <f xml:space="preserve"> - _xlfn.SINGLE(Simple.MaxX)</f>
        <v>-8</v>
      </c>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-8</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c r="B14" s="4" t="s">
        <v>366</v>
      </c>
      <c r="D14">
        <f xml:space="preserve"> - _xlfn.SINGLE(Simple.MaxY)</f>
        <v>-10</v>
      </c>
      <c r="F14">
        <f xml:space="preserve"> - _xlfn.SINGLE(Simple.MaxY)</f>
        <v>-10</v>
      </c>
      <c r="H14">
        <f xml:space="preserve"> - _xlfn.SINGLE(Simple.MaxY)</f>
        <v>-8</v>
      </c>
      <c r="J14">
        <f xml:space="preserve"> - _xlfn.SINGLE(Simple.MaxY)</f>
        <v>-14</v>
      </c>
      <c r="L14">
        <f xml:space="preserve"> - _xlfn.SINGLE(Simple.MaxY)</f>
        <v>-8</v>
      </c>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-8</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16.899999999999999</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13.278571428571428</v>
      </c>
      <c r="L19">
        <f xml:space="preserve"> _xlfn.SINGLE(Simple.Height) / _xlfn.SINGLE(Simple.Aspect)</f>
        <v>16.8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c r="D22" cm="1">
        <f t="array" ref="D22" xml:space="preserve"> SVG_length(D$24:D$29)</f>
        <v>200</v>
      </c>
      <c r="F22" cm="1">
        <f t="array" ref="F22" xml:space="preserve"> SVG_length(F$24:F$29)</f>
        <v>215</v>
      </c>
      <c r="H22" cm="1">
        <f t="array" ref="H22" xml:space="preserve"> SVG_length(H$24:H$29)</f>
        <v>252</v>
      </c>
      <c r="J22" cm="1">
        <f t="array" ref="J22" xml:space="preserve"> SVG_length(J$24:J$29)</f>
        <v>211</v>
      </c>
      <c r="L22" cm="1">
        <f t="array" ref="L22" xml:space="preserve"> SVG_length(L$24:L$29)</f>
        <v>255</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329</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212</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c r="B23" s="4" t="s">
        <v>371</v>
      </c>
    </row>
    <row r="24" spans="2:77">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7" t="str">
        <f xml:space="preserve"> ""</f>
        <v/>
      </c>
      <c r="BV24" s="7" t="str">
        <f xml:space="preserve"> ""</f>
        <v/>
      </c>
      <c r="BW24" s="16"/>
      <c r="BX24" s="16"/>
      <c r="BY24" s="8"/>
    </row>
    <row r="25" spans="2:77">
      <c r="C25" t="str">
        <f t="shared" ref="C25:BV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fill='#FF33FF' r='10'/&gt;</v>
      </c>
      <c r="G25" t="str">
        <f t="shared" si="0"/>
        <v/>
      </c>
      <c r="H25" s="5" t="str">
        <f xml:space="preserve"> "&lt;path " &amp; _xlfn.SINGLE(Simple.SVG_painting_2) &amp; " d='M 4 -4  A 4 4 0 0 1 4 4   A 4 4 0 0 1 -4 4  A 4 4 0 0 1 -4 -4  A 4 4 0 0 1 4 -4 Z'/&gt;"</f>
        <v>&lt;path fill='#00AF66' d='M 4 -4  A 4 4 0 0 1 4 4   A 4 4 0 0 1 -4 4  A 4 4 0 0 1 -4 -4  A 4 4 0 0 1 4 -4 Z'/&gt;</v>
      </c>
      <c r="I25" t="str">
        <f t="shared" si="0"/>
        <v/>
      </c>
      <c r="J25" s="5" t="str">
        <f xml:space="preserve"> "&lt;ellipse " &amp; _xlfn.SINGLE(Simple.SVG_painting_1) &amp; " ry='14' rx='11'/&gt;"</f>
        <v>&lt;ellipse fill='#C4272F' ry='14' rx='11'/&gt;</v>
      </c>
      <c r="K25" t="str">
        <f t="shared" si="0"/>
        <v/>
      </c>
      <c r="L25" s="5" t="str">
        <f xml:space="preserve"> "&lt;path " &amp; _xlfn.SINGLE(Simple.SVG_painting_2) &amp; " d='M 4 -4  A 4 4 0 0 1 4 4   A 4 4 0 0 1 -4 4  A 4 4 0 0 1 -4 -4  A 4 4 0 0 1 4 -4 Z'/&gt;"</f>
        <v>&lt;path fill='#C7363D' d='M 4 -4  A 4 4 0 0 1 4 4   A 4 4 0 0 1 -4 4  A 4 4 0 0 1 -4 -4  A 4 4 0 0 1 4 -4 Z'/&gt;</v>
      </c>
      <c r="M25" t="str">
        <f t="shared" si="0"/>
        <v/>
      </c>
      <c r="N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t="str">
        <f t="shared" si="0"/>
        <v/>
      </c>
      <c r="P25" s="21" t="str" cm="1">
        <f t="array" ref="P25" xml:space="preserve"> svgPathRect(DecimalPlaces, _xlfn.SINGLE(Simple.SVG_painting_2), _xlfn.SINGLE(Simple.MaxX), _xlfn.SINGLE(Simple.MaxY))</f>
        <v>&lt;path fill='#009639' d='M6 5V-5H-6V5Z'/&gt;</v>
      </c>
      <c r="Q25" t="str">
        <f t="shared" si="0"/>
        <v/>
      </c>
      <c r="R25" s="21" t="str">
        <f xml:space="preserve"> "&lt;defs&gt;&lt;path id='" &amp; _xlfn.SINGLE(Simple.ID) &amp; "-m' d='M56 -47L-67 -80 -56 47 67 80Z'/&gt;&lt;/defs&gt;"</f>
        <v>&lt;defs&gt;&lt;path id='IRR-m' d='M56 -47L-67 -80 -56 47 67 80Z'/&gt;&lt;/defs&gt;</v>
      </c>
      <c r="S25" t="str">
        <f t="shared" si="0"/>
        <v/>
      </c>
      <c r="T25" s="21" t="str">
        <f xml:space="preserve"> "&lt;circle " &amp; _xlfn.SINGLE(Simple.SVG_painting_2) &amp; " r='7'/&gt;"</f>
        <v>&lt;circle fill='#C8102E'  r='7'/&gt;</v>
      </c>
      <c r="U25" t="str">
        <f t="shared" si="0"/>
        <v/>
      </c>
      <c r="V25" s="5" t="str">
        <f xml:space="preserve"> "&lt;path " &amp; _xlfn.SINGLE(Simple.SVG_painting_2) &amp; " d='M" &amp; _xlfn.SINGLE(Simple.MaxX) &amp; " 0L0 " &amp; _xlfn.SINGLE(Simple.MaxY) &amp; "L" &amp; _xlfn.SINGLE(Simple.MinX) &amp; " 0L0 " &amp; _xlfn.SINGLE(Simple.MinY) &amp; "Z'/&gt;"</f>
        <v>&lt;path fill='#009639' d='M830 0L0 530L-830 0L0 -530Z'/&gt;</v>
      </c>
      <c r="W25" t="str">
        <f t="shared" si="0"/>
        <v/>
      </c>
      <c r="X25" s="5" t="str">
        <f xml:space="preserve"> "&lt;defs&gt;&lt;path id='" &amp; _xlfn.SINGLE(Star_5_2.ID) &amp; "-h' d='M" &amp; _xlfn.SINGLE(Simple.MaxX) &amp; " 0 L 0 " &amp; _xlfn.SINGLE(Simple.MaxY) &amp; " " &amp; _xlfn.SINGLE(Simple.MinX) &amp; " 0 0 " &amp; _xlfn.SINGLE(Simple.MinY) &amp; "Z'/&gt;&lt;/defs&gt;"</f>
        <v>&lt;defs&gt;&lt;path id='SGD-h' d='M97 0 L 0 56 -97 0 0 -56Z'/&gt;&lt;/defs&gt;</v>
      </c>
      <c r="Y25" t="str">
        <f t="shared" si="0"/>
        <v/>
      </c>
      <c r="Z25" s="21" t="str" cm="1">
        <f t="array" ref="Z25" xml:space="preserve"> svgPathRect(DecimalPlaces, _xlfn.SINGLE(Simple.SVG_painting_2), _xlfn.SINGLE(Simple.MaxX), _xlfn.SINGLE(Simple.MaxY))</f>
        <v>&lt;path fill='#009639' d='M6 6V-6H-6V6Z'/&gt;</v>
      </c>
      <c r="AA25" t="str">
        <f t="shared" si="0"/>
        <v/>
      </c>
      <c r="AB25" s="21"/>
      <c r="AC25" t="str">
        <f t="shared" si="0"/>
        <v/>
      </c>
      <c r="AD25" s="21"/>
      <c r="AE25" t="str">
        <f t="shared" si="0"/>
        <v/>
      </c>
      <c r="AF25" s="21"/>
      <c r="AG25" t="str">
        <f t="shared" si="0"/>
        <v/>
      </c>
      <c r="AH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t="str">
        <f t="shared" si="0"/>
        <v/>
      </c>
      <c r="AJ25" s="21"/>
      <c r="AK25" t="str">
        <f t="shared" si="0"/>
        <v/>
      </c>
      <c r="AL25" s="21"/>
      <c r="AM25" t="str">
        <f t="shared" si="0"/>
        <v/>
      </c>
      <c r="AN25" s="21" t="str" cm="1">
        <f t="array" ref="AN25" xml:space="preserve"> svgPathRect(DecimalPlaces, _xlfn.SINGLE(Simple.SVG_painting_2), _xlfn.SINGLE(Simple.MaxX), _xlfn.SINGLE(Simple.MaxY))</f>
        <v>&lt;path fill='black' d='M11 8V-8H-11V8Z'/&gt;</v>
      </c>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fill='#C8102E' d='M9 6V-6H-9V6Z'/&gt;</v>
      </c>
      <c r="AS25" t="str">
        <f t="shared" si="0"/>
        <v/>
      </c>
      <c r="AT25" s="21" t="str" cm="1">
        <f t="array" ref="AT25" xml:space="preserve"> svgPathRect(DecimalPlaces, _xlfn.SINGLE(Simple.SVG_painting_2), _xlfn.SINGLE(Simple.MaxX), _xlfn.SINGLE(Simple.MaxY))</f>
        <v>&lt;path fill='#C8102E' d='M9 6V-6H-9V6Z'/&gt;</v>
      </c>
      <c r="AU25" t="str">
        <f t="shared" si="0"/>
        <v/>
      </c>
      <c r="AV25" s="5" t="str">
        <f xml:space="preserve"> "&lt;path " &amp; _xlfn.SINGLE(Simple.SVG_painting_2) &amp; " d='M" &amp; (2*Thirds_O) &amp; " 0L0 " &amp; (Thirds_O) &amp; "L" &amp; (-2*Thirds_O) &amp; " 0L0 " &amp; (-Thirds_O) &amp; "Z'/&gt;"</f>
        <v>&lt;path fill='#EF3340' d='M54 0L0 27L-54 0L0 -27Z'/&gt;</v>
      </c>
      <c r="AW25" t="str">
        <f t="shared" si="0"/>
        <v/>
      </c>
      <c r="AX25" s="5" t="str">
        <f xml:space="preserve"> "&lt;path " &amp; _xlfn.SINGLE(Simple.SVG_painting_2) &amp; " d='M1 3H-1L-3 1V-1L-1 -3H1L3 -1V1Z'/&gt;"</f>
        <v>&lt;path fill='#FFF' d='M1 3H-1L-3 1V-1L-1 -3H1L3 -1V1Z'/&gt;</v>
      </c>
      <c r="AY25" t="str">
        <f t="shared" si="0"/>
        <v/>
      </c>
      <c r="AZ25" s="5" t="str">
        <f xml:space="preserve"> "&lt;path " &amp; _xlfn.SINGLE(Simple.SVG_painting_2) &amp; " d='M" &amp; (3*Thirds_O) &amp; " 0L0 " &amp; (2*Thirds_O) &amp; "L" &amp; (-3*Thirds_O) &amp; " 0L0 " &amp; (-2*Thirds_O) &amp; "Z'/&gt;"</f>
        <v>&lt;path fill='#11457E' d='M81 0L0 54L-81 0L0 -54Z'/&gt;</v>
      </c>
      <c r="BA25" t="str">
        <f t="shared" si="0"/>
        <v/>
      </c>
      <c r="BB25" s="5" t="str">
        <f xml:space="preserve"> _xlfn.LET(_xlpm.f,90,   "&lt;path " &amp; _xlfn.SINGLE(Simple.SVG_painting_3) &amp; " d='M" &amp; (4*_xlpm.f) &amp; " 0L0 " &amp; (3*_xlpm.f) &amp; "L" &amp; (-4*_xlpm.f) &amp; " 0L0 " &amp; (-3*_xlpm.f) &amp; "Z'/&gt;")</f>
        <v>&lt;path fill='#009736' d='M360 0L0 270L-360 0L0 -270Z'/&gt;</v>
      </c>
      <c r="BC25" t="str">
        <f t="shared" si="0"/>
        <v/>
      </c>
      <c r="BD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t="str">
        <f t="shared" si="0"/>
        <v/>
      </c>
      <c r="BH25" s="5" t="str">
        <f xml:space="preserve"> "&lt;path " &amp; _xlfn.SINGLE(Simple.SVG_painting_2) &amp; " d='M0 -187L136 0 0 187 -136 0Z'/&gt;"</f>
        <v>&lt;path fill='#FFF' d='M0 -187L136 0 0 187 -136 0Z'/&gt;</v>
      </c>
      <c r="BI25" t="str">
        <f t="shared" si="0"/>
        <v/>
      </c>
      <c r="BJ25" s="21" t="str" cm="1">
        <f t="array" ref="BJ25" xml:space="preserve"> svgPathRect(DecimalPlaces, _xlfn.SINGLE(Simple.SVG_painting_2), _xlfn.SINGLE(Simple.MaxX), _xlfn.SINGLE(Simple.MaxY))</f>
        <v>&lt;path fill='#2BCE75' d='M8 8V-8H-8V8Z'/&gt;</v>
      </c>
      <c r="BK25" t="str">
        <f t="shared" si="0"/>
        <v/>
      </c>
      <c r="BL25" s="21" t="str" cm="1">
        <f t="array" ref="BL25" xml:space="preserve"> svgPathRect(DecimalPlaces, _xlfn.SINGLE(Simple.SVG_painting_2), _xlfn.SINGLE(Simple.MaxX), _xlfn.SINGLE(Simple.MaxY))</f>
        <v>&lt;path fill='#244AA5' d='M5 5V-5H-5V5Z'/&gt;</v>
      </c>
      <c r="BM25" t="str">
        <f t="shared" si="0"/>
        <v/>
      </c>
      <c r="BN25" s="5" t="str">
        <f xml:space="preserve"> "&lt;rect " &amp; _xlfn.SINGLE(Simple.SVG_painting_2) &amp; " x='-20' y='-39.5' width='40' height='79' rx='6'/&gt;"</f>
        <v>&lt;rect fill='#D95B14' x='-20' y='-39.5' width='40' height='79' rx='6'/&gt;</v>
      </c>
      <c r="BO25" t="str">
        <f t="shared" si="0"/>
        <v/>
      </c>
      <c r="BP25" s="21" t="str">
        <f xml:space="preserve"> "&lt;ellipse rx='" &amp; _xlfn.SINGLE(Simple.MaxX) &amp; "' ry='" &amp; _xlfn.SINGLE(Simple.MaxY) &amp; "' " &amp; _xlfn.SINGLE(Simple.SVG_painting_2) &amp; "/&gt;"</f>
        <v>&lt;ellipse rx='40' ry='32' fill='#003399'/&gt;</v>
      </c>
      <c r="BQ25" t="str">
        <f t="shared" si="0"/>
        <v/>
      </c>
      <c r="BR25" s="21" t="str">
        <f xml:space="preserve"> "&lt;path " &amp; _xlfn.SINGLE(Simple.SVG_painting_2) &amp; " d='M-4 0A4 4 0 0 1 0 -4L4 0A4 4 0 0 1 0 4Z'/&gt;"</f>
        <v>&lt;path fill='#198D66' d='M-4 0A4 4 0 0 1 0 -4L4 0A4 4 0 0 1 0 4Z'/&gt;</v>
      </c>
      <c r="BS25" t="str">
        <f t="shared" si="0"/>
        <v/>
      </c>
      <c r="BT25" s="21" t="str">
        <f xml:space="preserve"> "&lt;ellipse rx='" &amp; _xlfn.SINGLE(Simple.MaxX) &amp; "' ry='" &amp; _xlfn.SINGLE(Simple.MaxY) &amp; "' " &amp; _xlfn.SINGLE(Simple.SVG_painting_2) &amp; "/&gt;"</f>
        <v>&lt;ellipse rx='2' ry='1' fill='#2A936A'/&gt;</v>
      </c>
      <c r="BU25" t="str">
        <f t="shared" si="0"/>
        <v/>
      </c>
      <c r="BV25" t="str">
        <f t="shared" si="0"/>
        <v/>
      </c>
      <c r="BW25" s="21"/>
      <c r="BX25" s="21"/>
      <c r="BY25" s="9"/>
    </row>
    <row r="26" spans="2:77">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5" t="str">
        <f xml:space="preserve"> "&lt;circle " &amp; _xlfn.SINGLE(Simple.SVG_painting_1) &amp; " r='4'/&gt;"</f>
        <v>&lt;circle fill='#FFF' r='4'/&gt;</v>
      </c>
      <c r="I26" t="str">
        <f t="shared" si="0"/>
        <v/>
      </c>
      <c r="J26" s="5" t="str">
        <f xml:space="preserve"> "&lt;circle " &amp; _xlfn.SINGLE(Simple.SVG_painting_2) &amp; " r='8'/&gt;"</f>
        <v>&lt;circle fill='#F9CF02' r='8'/&gt;</v>
      </c>
      <c r="K26" t="str">
        <f t="shared" si="0"/>
        <v/>
      </c>
      <c r="L26" s="5" t="str">
        <f xml:space="preserve"> "&lt;circle " &amp; _xlfn.SINGLE(Simple.SVG_painting_1) &amp; " r='4'/&gt;"</f>
        <v>&lt;circle fill='#0C4077' r='4'/&gt;</v>
      </c>
      <c r="M26" t="str">
        <f t="shared" si="0"/>
        <v/>
      </c>
      <c r="N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t="str">
        <f t="shared" si="0"/>
        <v/>
      </c>
      <c r="P26" s="21" t="str">
        <f xml:space="preserve"> "&lt;path " &amp; _xlfn.SINGLE(Simple.SVG_painting_1) &amp; " d='M -4 -3 H4 v2 H-4 Z   M -4 1 H4 v2 H-4 Z'/&gt;"</f>
        <v>&lt;path fill='#FFF' d='M -4 -3 H4 v2 H-4 Z   M -4 1 H4 v2 H-4 Z'/&gt;</v>
      </c>
      <c r="Q26" t="str">
        <f t="shared" si="0"/>
        <v/>
      </c>
      <c r="R26" s="21" t="str">
        <f xml:space="preserve"> "&lt;use href='#" &amp; _xlfn.SINGLE(Simple.ID) &amp; "-m' " &amp; _xlfn.SINGLE(Simple.SVG_painting_2) &amp; "/&gt;"</f>
        <v>&lt;use href='#IRR-m' fill='#239F40'/&gt;</v>
      </c>
      <c r="S26" t="str">
        <f t="shared" si="0"/>
        <v/>
      </c>
      <c r="T26" s="21" t="str">
        <f xml:space="preserve"> "&lt;path " &amp; _xlfn.SINGLE(Simple.SVG_painting_1) &amp; " transform='rotate(36)' d='M7 1V-1H-7V1Z'/&gt;"</f>
        <v>&lt;path fill='#FFCD00'  transform='rotate(36)' d='M7 1V-1H-7V1Z'/&gt;</v>
      </c>
      <c r="U26" t="str">
        <f t="shared" si="0"/>
        <v/>
      </c>
      <c r="V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t="str">
        <f t="shared" si="0"/>
        <v/>
      </c>
      <c r="X26" s="5" t="str">
        <f xml:space="preserve"> "&lt;use href='#" &amp; _xlfn.SINGLE(Star_5_2.ID) &amp; "-h' " &amp; _xlfn.SINGLE(Simple.SVG_painting_2) &amp; "/&gt;"</f>
        <v>&lt;use href='#SGD-h' fill='#00778B'/&gt;</v>
      </c>
      <c r="Y26" t="str">
        <f t="shared" si="0"/>
        <v/>
      </c>
      <c r="Z26" s="21" t="str" cm="1">
        <f t="array" ref="Z26" xml:space="preserve"> svgPathRect(DecimalPlaces, _xlfn.SINGLE(Simple.SVG_painting_1), _xlfn.SINGLE(Simple.MaxX) / 3, _xlfn.SINGLE(Simple.MaxY) - 1)</f>
        <v>&lt;path fill='#FFF' d='M2 5V-5H-2V5Z'/&gt;</v>
      </c>
      <c r="AA26" t="str">
        <f t="shared" si="0"/>
        <v/>
      </c>
      <c r="AB26" s="5" t="str">
        <f xml:space="preserve"> "&lt;path " &amp; _xlfn.SINGLE(Simple.SVG_painting_1) &amp; " d='M1 0V1H0L-1 0V-1H0Z'/&gt;"</f>
        <v>&lt;path fill='#002D62' d='M1 0V1H0L-1 0V-1H0Z'/&gt;</v>
      </c>
      <c r="AC26" t="str">
        <f t="shared" si="0"/>
        <v/>
      </c>
      <c r="AD26" s="5" t="str">
        <f xml:space="preserve"> "&lt;path " &amp; _xlfn.SINGLE(Simple.SVG_painting_1) &amp; " d='M1 2H-2V-2L2 2V-2H-1 -2Z'/&gt;"</f>
        <v>&lt;path fill='#C8102E' d='M1 2H-2V-2L2 2V-2H-1 -2Z'/&gt;</v>
      </c>
      <c r="AE26" t="str">
        <f t="shared" si="0"/>
        <v/>
      </c>
      <c r="AF26" s="5" t="str">
        <f xml:space="preserve"> "&lt;path " &amp; _xlfn.SINGLE(Simple.SVG_painting_1) &amp; " d='M1 0L8 8H-8L-1 0L-8 -8H8Z'/&gt;"</f>
        <v>&lt;path fill='#009639' d='M1 0L8 8H-8L-1 0L-8 -8H8Z'/&gt;</v>
      </c>
      <c r="AG26" t="str">
        <f t="shared" si="0"/>
        <v/>
      </c>
      <c r="AH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t="str">
        <f t="shared" si="0"/>
        <v/>
      </c>
      <c r="AJ26" s="5" t="str" cm="1">
        <f t="array" ref="AJ26" xml:space="preserve"> svgPathRect(DecimalPlaces, _xlfn.SINGLE(Simple.SVG_painting_1), _xlfn.SINGLE(Simple.MaxX), _xlfn.SINGLE(Simple.MaxY))</f>
        <v>&lt;path fill='#FCD116' d='M4 4V-4H-4V4Z'/&gt;</v>
      </c>
      <c r="AK26" t="str">
        <f t="shared" si="0"/>
        <v/>
      </c>
      <c r="AL26" s="5" t="str" cm="1">
        <f t="array" ref="AL26" xml:space="preserve"> svgPathRect(DecimalPlaces, _xlfn.SINGLE(Simple.SVG_painting_1), _xlfn.SINGLE(Simple.MaxX), _xlfn.SINGLE(Simple.MaxY))</f>
        <v>&lt;path fill='#007FFF' d='M4 4V-4H-4V4Z'/&gt;</v>
      </c>
      <c r="AM26" t="str">
        <f t="shared" si="0"/>
        <v/>
      </c>
      <c r="AN26" s="21" t="str">
        <f xml:space="preserve"> "&lt;path " &amp; _xlfn.SINGLE(Simple.SVG_painting_1) &amp; " d='M -9 -7 h 4 v 14 h -4 Z   M 5 -7 h 4 v 14 h -4 Z   M -3 -7 h 6 v 14 h -6 Z'/&gt;"</f>
        <v>&lt;path fill='#FFF' d='M -9 -7 h 4 v 14 h -4 Z   M 5 -7 h 4 v 14 h -4 Z   M -3 -7 h 6 v 14 h -6 Z'/&gt;</v>
      </c>
      <c r="AO26" t="str">
        <f t="shared" si="0"/>
        <v/>
      </c>
      <c r="AP26" s="21" t="str">
        <f xml:space="preserve"> "&lt;path " &amp; _xlfn.SINGLE(Simple.SVG_painting_1) &amp; " d='M -9 -7 h 4 v 14 h -4 Z   M 5 -7 h 4 v 14 h -4 Z   M -3 -7 h 6 v 14 h -6 Z'/&gt;"</f>
        <v>&lt;path fill='#FF0000' d='M -9 -7 h 4 v 14 h -4 Z   M 5 -7 h 4 v 14 h -4 Z   M -3 -7 h 6 v 14 h -6 Z'/&gt;</v>
      </c>
      <c r="AQ26" t="str">
        <f t="shared" si="0"/>
        <v/>
      </c>
      <c r="AR26" s="21" t="str" cm="1">
        <f t="array" ref="AR26" xml:space="preserve"> svgPathRect(DecimalPlaces, _xlfn.SINGLE(Simple.SVG_painting_1), 7, 2)</f>
        <v>&lt;path fill='#FFF' d='M7 2V-2H-7V2Z'/&gt;</v>
      </c>
      <c r="AS26" t="str">
        <f t="shared" si="0"/>
        <v/>
      </c>
      <c r="AT26" s="21" t="str" cm="1">
        <f t="array" ref="AT26" xml:space="preserve"> svgPathRect(DecimalPlaces, _xlfn.SINGLE(Simple.SVG_painting_1), 7, 2)</f>
        <v>&lt;path fill='#000' d='M7 2V-2H-7V2Z'/&gt;</v>
      </c>
      <c r="AU26" t="str">
        <f t="shared" si="0"/>
        <v/>
      </c>
      <c r="AV26" s="5" t="str">
        <f xml:space="preserve"> "&lt;path " &amp; _xlfn.SINGLE(Simple.SVG_painting_1) &amp; " d='M" &amp; (2*Thirds_M) &amp; " 0L0 " &amp; (Thirds_M) &amp; "L" &amp; (-2*Thirds_M) &amp; " 0L0 " &amp; (-Thirds_M) &amp; "Z'/&gt;"</f>
        <v>&lt;path fill='#FFF' d='M38 0L0 19L-38 0L0 -19Z'/&gt;</v>
      </c>
      <c r="AW26" t="str">
        <f t="shared" si="0"/>
        <v/>
      </c>
      <c r="AX26" s="5" t="str">
        <f xml:space="preserve"> "&lt;path " &amp; _xlfn.SINGLE(Simple.SVG_painting_1) &amp; " d='M3 1V3H1V-3H3v2H-3V-3h2V3H-3V1Z'/&gt;"</f>
        <v>&lt;path fill='red' d='M3 1V3H1V-3H3v2H-3V-3h2V3H-3V1Z'/&gt;</v>
      </c>
      <c r="AY26" t="str">
        <f t="shared" si="0"/>
        <v/>
      </c>
      <c r="AZ26" s="5" t="str">
        <f xml:space="preserve"> "&lt;path " &amp; _xlfn.SINGLE(Simple.SVG_painting_1) &amp; " d='M" &amp; (3*Thirds_M) &amp; " 0L0 " &amp; (2*Thirds_M) &amp; "L" &amp; (-3*Thirds_M) &amp; " 0L0 " &amp; (-2*Thirds_M) &amp; "Z'/&gt;"</f>
        <v>&lt;path fill='#D7141A' d='M57 0L0 38L-57 0L0 -38Z'/&gt;</v>
      </c>
      <c r="BA26" t="str">
        <f t="shared" si="0"/>
        <v/>
      </c>
      <c r="BB26" s="5" t="str">
        <f xml:space="preserve"> _xlfn.LET(_xlpm.f,69,   "&lt;path " &amp; _xlfn.SINGLE(Simple.SVG_painting_2) &amp; " d='M" &amp; (4*_xlpm.f) &amp; " 0L0 " &amp; (3*_xlpm.f) &amp; "L" &amp; (-4*_xlpm.f) &amp; " 0L0 " &amp; (-3*_xlpm.f) &amp; "Z'/&gt;")</f>
        <v>&lt;path fill='#FFF' d='M276 0L0 207L-276 0L0 -207Z'/&gt;</v>
      </c>
      <c r="BC26" t="str">
        <f t="shared" si="0"/>
        <v/>
      </c>
      <c r="BD26" s="5" t="str">
        <f xml:space="preserve"> "&lt;path " &amp; _xlfn.SINGLE(Simple.SVG_painting_1) &amp; " d='M3 1V3H-3V1L3 -1V-3H-3v2Z'/&gt;"</f>
        <v>&lt;path fill='#FFF' d='M3 1V3H-3V1L3 -1V-3H-3v2Z'/&gt;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d='M0 -187L136 0L0 187L-136 0L0 -187V187'/&gt;"</f>
        <v>&lt;path stroke-width='44' stroke-linejoin='round' stroke='#1B618C' fill='none'  d='M0 -187L136 0L0 187L-136 0L0 -187V187'/&gt;</v>
      </c>
      <c r="BI26" t="str">
        <f t="shared" si="0"/>
        <v/>
      </c>
      <c r="BJ26" s="5" t="str">
        <f xml:space="preserve"> "&lt;circle " &amp; _xlfn.SINGLE(Simple.SVG_painting_1) &amp; " r='" &amp; (_xlfn.SINGLE(Simple.MaxX) - 1) &amp; "'/&gt;"</f>
        <v>&lt;circle fill='#FFF' r='7'/&gt;</v>
      </c>
      <c r="BK26" t="str">
        <f t="shared" si="0"/>
        <v/>
      </c>
      <c r="BL26" s="5" t="str">
        <f xml:space="preserve"> "&lt;path " &amp; _xlfn.SINGLE(Simple.SVG_painting_1) &amp; " d='M4 1L-1 4L-4 -1L1 -4Z'/&gt;"</f>
        <v>&lt;path fill='#D0A650' d='M4 1L-1 4L-4 -1L1 -4Z'/&gt;</v>
      </c>
      <c r="BM26" t="str">
        <f t="shared" si="0"/>
        <v/>
      </c>
      <c r="BN26" s="5" t="str">
        <f xml:space="preserve"> "&lt;rect " &amp; _xlfn.SINGLE(Simple.SVG_painting_1) &amp; " x='-16' y='-35.5' width='32' height='71' rx='2'/&gt;"</f>
        <v>&lt;rect fill='#C7C7C7' x='-16' y='-35.5' width='32' height='71' rx='2'/&gt;</v>
      </c>
      <c r="BO26" t="str">
        <f t="shared" si="0"/>
        <v/>
      </c>
      <c r="BP26" s="5" t="str">
        <f xml:space="preserve"> "&lt;path id='" &amp; _xlfn.SINGLE(Simple.ID) &amp; "-a' " &amp; _xlfn.SINGLE(Simple.SVG_painting_1) &amp; " d='M35.9073 2C34.5565 16.5521 18.8814 28 0 28S-34.5565 16.5521 -35.9073 2Z'/&gt;"</f>
        <v>&lt;path id='_EIB-a' fill='#9D9D9C' d='M35.9073 2C34.5565 16.5521 18.8814 28 0 28S-34.5565 16.5521 -35.9073 2Z'/&gt;</v>
      </c>
      <c r="BQ26" t="str">
        <f t="shared" si="0"/>
        <v/>
      </c>
      <c r="BR26" s="21" t="str">
        <f xml:space="preserve"> "&lt;path " &amp; _xlfn.SINGLE(Simple.SVG_painting_1) &amp; " d='M0 -4A4 4 0 0 1 4 0L-4 0A4 4 0 0 0 0 4Z'/&gt;"</f>
        <v>&lt;path fill='#FCB90E' d='M0 -4A4 4 0 0 1 4 0L-4 0A4 4 0 0 0 0 4Z'/&gt;</v>
      </c>
      <c r="BS26" t="str">
        <f t="shared" si="0"/>
        <v/>
      </c>
      <c r="BT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t="str">
        <f t="shared" si="0"/>
        <v/>
      </c>
      <c r="BV26" t="str">
        <f t="shared" si="0"/>
        <v/>
      </c>
      <c r="BW26" s="21"/>
      <c r="BX26" s="21"/>
      <c r="BY26" s="9"/>
    </row>
    <row r="27" spans="2:77">
      <c r="C27" t="str">
        <f t="shared" si="0"/>
        <v/>
      </c>
      <c r="D27" s="21" t="str" cm="1">
        <f t="array" ref="D27" xml:space="preserve"> svgPathRect(DecimalPlaces, _xlfn.SINGLE(Simple.SVG_painting_2), D$36, 1)</f>
        <v>&lt;path fill='#FF33FF' d='M9 1V-1H-9V1Z'/&gt;</v>
      </c>
      <c r="E27" t="str">
        <f t="shared" si="0"/>
        <v/>
      </c>
      <c r="F27" s="21" t="str">
        <f xml:space="preserve"> "&lt;path " &amp; _xlfn.SINGLE(Simple.SVG_painting_2) &amp; " d='M" &amp; F$39 &amp; " 1V3H" &amp; (-F$39) &amp; "V1Z M" &amp; F$39 &amp; " -1V-3H" &amp; (-F$39) &amp; "V-1Z'/&gt;"</f>
        <v>&lt;path  fill='#FF33FF' d='M9 1V3H-9V1Z M9 -1V-3H-9V-1Z'/&gt;</v>
      </c>
      <c r="G27" t="str">
        <f t="shared" si="0"/>
        <v/>
      </c>
      <c r="H27" s="5"/>
      <c r="I27" t="str">
        <f t="shared" si="0"/>
        <v/>
      </c>
      <c r="J27" s="5" t="str">
        <f xml:space="preserve"> "&lt;circle " &amp; _xlfn.SINGLE(Simple.SVG_painting_1) &amp; " r='5'/&gt;"</f>
        <v>&lt;circle fill='#C4272F' r='5'/&gt;</v>
      </c>
      <c r="K27" t="str">
        <f t="shared" si="0"/>
        <v/>
      </c>
      <c r="L27" s="5"/>
      <c r="M27" t="str">
        <f t="shared" si="0"/>
        <v/>
      </c>
      <c r="N27" s="21" t="str" cm="1">
        <f t="array" ref="N27" xml:space="preserve"> svgPathRect(DecimalPlaces, _xlfn.SINGLE(Simple.SVG_painting_0), 3, 5)</f>
        <v>&lt;path fill='#CF101A' d='M3 5V-5H-3V5Z'/&gt;</v>
      </c>
      <c r="O27" t="str">
        <f t="shared" si="0"/>
        <v/>
      </c>
      <c r="P27" s="21"/>
      <c r="Q27" t="str">
        <f t="shared" si="0"/>
        <v/>
      </c>
      <c r="R27" s="21" t="str">
        <f xml:space="preserve"> "&lt;use href='#" &amp; _xlfn.SINGLE(Simple.ID) &amp; "-m' " &amp; _xlfn.SINGLE(Simple.SVG_painting_1) &amp; " transform='scale(" &amp; ROUND(Thirds_M/Thirds_O,2) &amp; ")'/&gt;"</f>
        <v>&lt;use href='#IRR-m' fill='#FFF' transform='scale(0.7)'/&gt;</v>
      </c>
      <c r="S27" t="str">
        <f t="shared" si="0"/>
        <v/>
      </c>
      <c r="T27" s="21" t="str">
        <f xml:space="preserve"> "&lt;path " &amp; _xlfn.SINGLE(Simple.SVG_painting_0) &amp; " d='M0 -8A8 8 0 0 0 0 8 8 8 0 0 0 0 -8ZM0 -6A6 6 0 0 1 0 6 6 6 0 0 1 0 -6Z'/&gt;"</f>
        <v>&lt;path fill='black' d='M0 -8A8 8 0 0 0 0 8 8 8 0 0 0 0 -8ZM0 -6A6 6 0 0 1 0 6 6 6 0 0 1 0 -6Z'/&gt;</v>
      </c>
      <c r="U27" t="str">
        <f t="shared" si="0"/>
        <v/>
      </c>
      <c r="V27" s="5"/>
      <c r="W27" t="str">
        <f t="shared" si="0"/>
        <v/>
      </c>
      <c r="X27" s="5" t="str">
        <f xml:space="preserve"> "&lt;use href='#" &amp; _xlfn.SINGLE(Star_5_2.ID) &amp; "-h' " &amp; _xlfn.SINGLE(Simple.SVG_painting_1) &amp; " transform='scale(" &amp; ROUND(Thirds_M / Thirds_O, 2) &amp; ")'/&gt;"</f>
        <v>&lt;use href='#SGD-h' fill='#FFC72C' transform='scale(0.7)'/&gt;</v>
      </c>
      <c r="Y27" t="str">
        <f t="shared" si="0"/>
        <v/>
      </c>
      <c r="AA27" t="str">
        <f t="shared" si="0"/>
        <v/>
      </c>
      <c r="AB27" s="5" t="str">
        <f xml:space="preserve"> "&lt;path " &amp; _xlfn.SINGLE(Simple.SVG_painting_0) &amp; " d='M1 0V-1H0V1H-1V0Z'/&gt;"</f>
        <v>&lt;path fill='#CE1126' d='M1 0V-1H0V1H-1V0Z'/&gt;</v>
      </c>
      <c r="AC27" t="str">
        <f t="shared" si="0"/>
        <v/>
      </c>
      <c r="AD27" s="5" t="str">
        <f xml:space="preserve"> "&lt;path " &amp; _xlfn.SINGLE(Simple.SVG_painting_0) &amp; " d='M-2 -2H-1L2 2H1Z'/&gt;"</f>
        <v>&lt;path fill='black' d='M-2 -2H-1L2 2H1Z'/&gt;</v>
      </c>
      <c r="AE27" t="str">
        <f t="shared" si="0"/>
        <v/>
      </c>
      <c r="AF27" s="5" t="str">
        <f xml:space="preserve"> "&lt;path " &amp; _xlfn.SINGLE(Simple.SVG_painting_0) &amp; " d='M8 8V-8L-8 8V-8Z'/&gt;"</f>
        <v>&lt;path fill='black' d='M8 8V-8L-8 8V-8Z'/&gt;</v>
      </c>
      <c r="AG27" t="str">
        <f t="shared" si="0"/>
        <v/>
      </c>
      <c r="AH27" s="5" t="str">
        <f xml:space="preserve"> "&lt;use href='#" &amp; _xlfn.SINGLE(Simple.ID) &amp; "-m' transform='translate(-288,0)'/&gt;"</f>
        <v>&lt;use href='#KYS-m' transform='translate(-288,0)'/&gt;</v>
      </c>
      <c r="AI27" t="str">
        <f t="shared" si="0"/>
        <v/>
      </c>
      <c r="AJ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t="str">
        <f t="shared" si="0"/>
        <v/>
      </c>
      <c r="AL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t="str">
        <f t="shared" si="0"/>
        <v/>
      </c>
      <c r="AN27" s="21"/>
      <c r="AO27" t="str">
        <f t="shared" si="0"/>
        <v/>
      </c>
      <c r="AP27" s="21"/>
      <c r="AQ27" t="str">
        <f t="shared" si="0"/>
        <v/>
      </c>
      <c r="AS27" t="str">
        <f t="shared" si="0"/>
        <v/>
      </c>
      <c r="AU27" t="str">
        <f t="shared" si="0"/>
        <v/>
      </c>
      <c r="AV27" s="5" t="str">
        <f xml:space="preserve"> "&lt;path " &amp; _xlfn.SINGLE(Simple.SVG_painting_0) &amp; " d='M" &amp; (2*Thirds_I) &amp; " 0L0 " &amp; (Thirds_I) &amp; "L" &amp; (-2*Thirds_I) &amp; " 0L0 " &amp; (-Thirds_I) &amp; "Z'/&gt;"</f>
        <v>&lt;path fill='#00A3E0' d='M20 0L0 10L-20 0L0 -10Z'/&gt;</v>
      </c>
      <c r="AW27" t="str">
        <f t="shared" si="0"/>
        <v/>
      </c>
      <c r="AX27" s="5"/>
      <c r="AY27" t="str">
        <f t="shared" si="0"/>
        <v/>
      </c>
      <c r="AZ27" s="5" t="str">
        <f xml:space="preserve"> "&lt;path " &amp; _xlfn.SINGLE(Simple.SVG_painting_0) &amp; " d='M" &amp; (3*Thirds_I) &amp; " 0L0 " &amp; (2*Thirds_I) &amp; "L" &amp; (-3*Thirds_I) &amp; " 0L0 " &amp; (-2*Thirds_I) &amp; "Z'/&gt;"</f>
        <v>&lt;path fill='#FFF' d='M30 0L0 20L-30 0L0 -20Z'/&gt;</v>
      </c>
      <c r="BA27" t="str">
        <f t="shared" si="0"/>
        <v/>
      </c>
      <c r="BB27" s="5" t="str">
        <f xml:space="preserve"> _xlfn.LET(_xlpm.f,47,   "&lt;path " &amp; _xlfn.SINGLE(Simple.SVG_painting_1) &amp; " d='M" &amp; (4*_xlpm.f) &amp; " 0L0 " &amp; (3*_xlpm.f) &amp; "L" &amp; (-4*_xlpm.f) &amp; " 0L0 " &amp; (-3*_xlpm.f) &amp; "Z'/&gt;")</f>
        <v>&lt;path fill='#000' d='M188 0L0 141L-188 0L0 -141Z'/&gt;</v>
      </c>
      <c r="BC27" t="str">
        <f t="shared" si="0"/>
        <v/>
      </c>
      <c r="BD27" s="21" t="str" cm="1">
        <f t="array" ref="BD27" xml:space="preserve"> svgPathRect(DecimalPlaces, _xlfn.SINGLE(Simple.SVG_painting_0), 3, 1)</f>
        <v>&lt;path fill='#FFD500' d='M3 1V-1H-3V1Z'/&gt;</v>
      </c>
      <c r="BE27" t="str">
        <f t="shared" si="0"/>
        <v/>
      </c>
      <c r="BF27" s="21" t="str" cm="1">
        <f t="array" ref="BF27" xml:space="preserve"> svgPathRect(DecimalPlaces, _xlfn.SINGLE(Simple.SVG_painting_0), 3, 1)</f>
        <v>&lt;path fill='#EF3340' d='M3 1V-1H-3V1Z'/&gt;</v>
      </c>
      <c r="BG27" t="str">
        <f t="shared" si="0"/>
        <v/>
      </c>
      <c r="BH27" s="5"/>
      <c r="BI27" t="str">
        <f t="shared" si="0"/>
        <v/>
      </c>
      <c r="BJ27" s="5" t="str">
        <f xml:space="preserve"> "&lt;circle " &amp; _xlfn.SINGLE(Simple.SVG_painting_0) &amp; " r='" &amp; (_xlfn.SINGLE(Simple.MaxX) - 3) &amp; "'/&gt;"</f>
        <v>&lt;circle fill='#0046C2' r='5'/&gt;</v>
      </c>
      <c r="BK27" t="str">
        <f t="shared" si="0"/>
        <v/>
      </c>
      <c r="BL27" s="5"/>
      <c r="BM27" t="str">
        <f t="shared" si="0"/>
        <v/>
      </c>
      <c r="BO27" t="str">
        <f t="shared" si="0"/>
        <v/>
      </c>
      <c r="BP27" s="5" t="str">
        <f xml:space="preserve"> "&lt;use href='#" &amp; _xlfn.SINGLE(Simple.ID) &amp; "-a' transform='rotate(180)'/&gt;"</f>
        <v>&lt;use href='#_EIB-a' transform='rotate(180)'/&gt;</v>
      </c>
      <c r="BQ27" t="str">
        <f t="shared" si="0"/>
        <v/>
      </c>
      <c r="BR27" s="62" t="str" cm="1">
        <f t="array" ref="BR27" xml:space="preserve"> IF(FALSE, svgPathRect(DecimalPlaces, _xlfn.SINGLE(Simple.SVG_painting_0),  2,  1), "")</f>
        <v/>
      </c>
      <c r="BS27" t="str">
        <f t="shared" si="0"/>
        <v/>
      </c>
      <c r="BT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t="str">
        <f t="shared" si="0"/>
        <v/>
      </c>
      <c r="BV27" t="str">
        <f t="shared" si="0"/>
        <v/>
      </c>
      <c r="BW27" s="5"/>
      <c r="BX27" s="5"/>
      <c r="BY27" s="9"/>
    </row>
    <row r="28" spans="2:77">
      <c r="C28" t="str">
        <f t="shared" si="0"/>
        <v/>
      </c>
      <c r="D28" s="21"/>
      <c r="E28" t="str">
        <f t="shared" si="0"/>
        <v/>
      </c>
      <c r="F28" s="21"/>
      <c r="G28" t="str">
        <f t="shared" si="0"/>
        <v/>
      </c>
      <c r="H28" s="5"/>
      <c r="I28" t="str">
        <f t="shared" si="0"/>
        <v/>
      </c>
      <c r="J28" s="5"/>
      <c r="K28" t="str">
        <f t="shared" si="0"/>
        <v/>
      </c>
      <c r="L28" s="5"/>
      <c r="M28" t="str">
        <f t="shared" si="0"/>
        <v/>
      </c>
      <c r="N28" s="21"/>
      <c r="O28" t="str">
        <f t="shared" si="0"/>
        <v/>
      </c>
      <c r="P28" s="21"/>
      <c r="Q28" t="str">
        <f t="shared" si="0"/>
        <v/>
      </c>
      <c r="R28" s="21" t="str">
        <f xml:space="preserve"> "&lt;use href='#" &amp; _xlfn.SINGLE(Simple.ID) &amp; "-m' " &amp; _xlfn.SINGLE(Simple.SVG_painting_0) &amp; " transform='scale(" &amp; ROUND(Thirds_I/Thirds_O,2) &amp; ")'/&gt;"</f>
        <v>&lt;use href='#IRR-m' fill='#DA0000' transform='scale(0.37)'/&gt;</v>
      </c>
      <c r="S28" t="str">
        <f t="shared" si="0"/>
        <v/>
      </c>
      <c r="T28" s="21"/>
      <c r="U28" t="str">
        <f t="shared" si="0"/>
        <v/>
      </c>
      <c r="V28" s="5"/>
      <c r="W28" t="str">
        <f t="shared" si="0"/>
        <v/>
      </c>
      <c r="X28" s="5" t="str">
        <f xml:space="preserve"> "&lt;use href='#" &amp; _xlfn.SINGLE(Star_5_2.ID) &amp; "-h' " &amp; _xlfn.SINGLE(Simple.SVG_painting_0) &amp; " transform='scale(" &amp; ROUND(Thirds_I / Thirds_O, 2) &amp; ")'/&gt;"</f>
        <v>&lt;use href='#SGD-h' fill='black' transform='scale(0.37)'/&gt;</v>
      </c>
      <c r="Y28" t="str">
        <f t="shared" si="0"/>
        <v/>
      </c>
      <c r="AA28" t="str">
        <f t="shared" si="0"/>
        <v/>
      </c>
      <c r="AB28" s="5"/>
      <c r="AC28" t="str">
        <f t="shared" si="0"/>
        <v/>
      </c>
      <c r="AD28" s="5"/>
      <c r="AE28" t="str">
        <f t="shared" si="0"/>
        <v/>
      </c>
      <c r="AF28" s="5"/>
      <c r="AG28" t="str">
        <f t="shared" si="0"/>
        <v/>
      </c>
      <c r="AH28" s="5" t="str">
        <f xml:space="preserve"> "&lt;ellipse " &amp; _xlfn.SINGLE(Simple.SVG_painting_0) &amp; " rx='48' ry='72'/&gt;"</f>
        <v>&lt;ellipse fill='#FFF' rx='48' ry='72'/&gt;</v>
      </c>
      <c r="AI28" t="str">
        <f t="shared" si="0"/>
        <v/>
      </c>
      <c r="AJ28" s="5"/>
      <c r="AK28" t="str">
        <f t="shared" si="0"/>
        <v/>
      </c>
      <c r="AL28" s="5"/>
      <c r="AM28" t="str">
        <f t="shared" si="0"/>
        <v/>
      </c>
      <c r="AN28" s="21"/>
      <c r="AO28" t="str">
        <f t="shared" si="0"/>
        <v/>
      </c>
      <c r="AP28" s="21"/>
      <c r="AQ28" t="str">
        <f t="shared" si="0"/>
        <v/>
      </c>
      <c r="AS28" t="str">
        <f t="shared" si="0"/>
        <v/>
      </c>
      <c r="AU28" t="str">
        <f t="shared" si="0"/>
        <v/>
      </c>
      <c r="AV28" s="5"/>
      <c r="AW28" t="str">
        <f t="shared" si="0"/>
        <v/>
      </c>
      <c r="AX28" s="5"/>
      <c r="AY28" t="str">
        <f t="shared" si="0"/>
        <v/>
      </c>
      <c r="AZ28" s="5"/>
      <c r="BA28" t="str">
        <f t="shared" si="0"/>
        <v/>
      </c>
      <c r="BB28" s="5" t="str">
        <f xml:space="preserve"> _xlfn.LET(_xlpm.f,24,   "&lt;path " &amp; _xlfn.SINGLE(Simple.SVG_painting_0) &amp; " d='M" &amp; (4*_xlpm.f) &amp; " 0L0 " &amp; (3*_xlpm.f) &amp; "L" &amp; (-4*_xlpm.f) &amp; " 0L0 " &amp; (-3*_xlpm.f) &amp; "Z'/&gt;")</f>
        <v>&lt;path fill='#EE2A35' d='M96 0L0 72L-96 0L0 -72Z'/&gt;</v>
      </c>
      <c r="BC28" t="str">
        <f t="shared" si="0"/>
        <v/>
      </c>
      <c r="BD28" s="21"/>
      <c r="BE28" t="str">
        <f t="shared" si="0"/>
        <v/>
      </c>
      <c r="BF28" s="21"/>
      <c r="BG28" t="str">
        <f t="shared" si="0"/>
        <v/>
      </c>
      <c r="BH28" s="5"/>
      <c r="BI28" t="str">
        <f t="shared" si="0"/>
        <v/>
      </c>
      <c r="BJ28" s="5" t="str">
        <f xml:space="preserve"> "&lt;path transform='rotate(45)' " &amp; _xlfn.SINGLE(Simple.SVG_painting_1) &amp; " d='M1 6V-6L3 -5V5Z M-1 -6V6L-3 5V-5Z'/&gt;"</f>
        <v>&lt;path transform='rotate(45)' fill='#FFF' d='M1 6V-6L3 -5V5Z M-1 -6V6L-3 5V-5Z'/&gt;</v>
      </c>
      <c r="BK28" t="str">
        <f t="shared" si="0"/>
        <v/>
      </c>
      <c r="BL28" s="5"/>
      <c r="BM28" t="str">
        <f t="shared" si="0"/>
        <v/>
      </c>
      <c r="BO28" t="str">
        <f t="shared" si="0"/>
        <v/>
      </c>
      <c r="BP28" s="5" t="str">
        <f xml:space="preserve"> "&lt;path " &amp; _xlfn.SINGLE(Simple.SVG_painting_2) &amp; " d='M31 17H-31L-34 13H34Z M-31 -17H31L34 -13H-34Z'/&gt;"</f>
        <v>&lt;path fill='#003399' d='M31 17H-31L-34 13H34Z M-31 -17H31L34 -13H-34Z'/&gt;</v>
      </c>
      <c r="BQ28" t="str">
        <f t="shared" si="0"/>
        <v/>
      </c>
      <c r="BR28" s="5"/>
      <c r="BS28" t="str">
        <f t="shared" si="0"/>
        <v/>
      </c>
      <c r="BT28" s="5"/>
      <c r="BU28" t="str">
        <f t="shared" si="0"/>
        <v/>
      </c>
      <c r="BV28" t="str">
        <f t="shared" si="0"/>
        <v/>
      </c>
      <c r="BW28" s="5"/>
      <c r="BX28" s="5"/>
      <c r="BY28" s="9"/>
    </row>
    <row r="29" spans="2:77">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24" t="s">
        <v>15</v>
      </c>
      <c r="S29" s="10" t="str">
        <f t="shared" si="0"/>
        <v/>
      </c>
      <c r="T29" s="24" t="s">
        <v>15</v>
      </c>
      <c r="U29" s="10" t="str">
        <f t="shared" si="0"/>
        <v/>
      </c>
      <c r="V29" s="15"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0" t="str">
        <f t="shared" si="0"/>
        <v/>
      </c>
      <c r="BW29" s="15"/>
      <c r="BX29" s="15"/>
      <c r="BY29" s="11"/>
    </row>
    <row r="32" spans="2:77">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c r="D34">
        <f xml:space="preserve"> SQRT((Simple.MaxX - 2)^2 - 1^2)</f>
        <v>7.9372539331937721</v>
      </c>
      <c r="F34">
        <f xml:space="preserve"> D34</f>
        <v>7.9372539331937721</v>
      </c>
    </row>
    <row r="35" spans="4:55">
      <c r="D35">
        <f xml:space="preserve"> SQRT((Simple.MaxX - 0)^2 - 1^2)</f>
        <v>9.9498743710661994</v>
      </c>
      <c r="F35">
        <f xml:space="preserve"> D35</f>
        <v>9.9498743710661994</v>
      </c>
    </row>
    <row r="36" spans="4:55">
      <c r="D36">
        <f xml:space="preserve"> MROUND(AVERAGE(D34:D35), 0.2)</f>
        <v>9</v>
      </c>
    </row>
    <row r="37" spans="4:55">
      <c r="F37">
        <f xml:space="preserve"> SQRT((Simple.MaxX - 2)^2 - 3^2)</f>
        <v>7.416198487095663</v>
      </c>
      <c r="BB37">
        <f xml:space="preserve"> 2 * BB38 - BB39 - 1</f>
        <v>66</v>
      </c>
      <c r="BC37">
        <f xml:space="preserve"> ($BB37 - $BB38) / $BB37</f>
        <v>0.22727272727272727</v>
      </c>
    </row>
    <row r="38" spans="4:55">
      <c r="F38">
        <f xml:space="preserve"> SQRT((Simple.MaxX - 0)^2 - 3^2)</f>
        <v>9.5393920141694561</v>
      </c>
      <c r="BB38">
        <f xml:space="preserve"> 2 * BB39 - BB40 - 1</f>
        <v>51</v>
      </c>
      <c r="BC38">
        <f xml:space="preserve"> ($BB38 - $BB39) / $BB37</f>
        <v>0.24242424242424243</v>
      </c>
    </row>
    <row r="39" spans="4:55">
      <c r="F39">
        <f xml:space="preserve"> MROUND(AVERAGE(MAX(F$34, F$37), MIN(F$35, F$38)), 1)</f>
        <v>9</v>
      </c>
      <c r="BB39">
        <f xml:space="preserve"> 2 * BB40 - BB41 - 1</f>
        <v>35</v>
      </c>
      <c r="BC39">
        <f xml:space="preserve"> ($BB39 - $BB40) / $BB37</f>
        <v>0.25757575757575757</v>
      </c>
    </row>
    <row r="40" spans="4:55">
      <c r="AX40" s="5"/>
      <c r="BB40">
        <v>18</v>
      </c>
      <c r="BC40">
        <f xml:space="preserve"> ($BB40 - $BB41) / $BB37</f>
        <v>0.27272727272727271</v>
      </c>
    </row>
    <row r="41" spans="4:55">
      <c r="AX41" s="5"/>
    </row>
    <row r="43" spans="4:55">
      <c r="BB43">
        <f xml:space="preserve"> 2 * BB44 - BB45 - 1</f>
        <v>90</v>
      </c>
      <c r="BC43">
        <f xml:space="preserve"> ($BB43 - $BB44) / $BB43</f>
        <v>0.23333333333333334</v>
      </c>
    </row>
    <row r="44" spans="4:55">
      <c r="BB44">
        <f xml:space="preserve"> 2 * BB45 - BB46 - 1</f>
        <v>69</v>
      </c>
      <c r="BC44">
        <f xml:space="preserve"> ($BB44 - $BB45) / $BB43</f>
        <v>0.24444444444444444</v>
      </c>
    </row>
    <row r="45" spans="4:55">
      <c r="BB45">
        <f xml:space="preserve"> 2 * BB46 - BB47 - 1</f>
        <v>47</v>
      </c>
      <c r="BC45">
        <f xml:space="preserve"> ($BB45 - $BB46) / $BB43</f>
        <v>0.25555555555555554</v>
      </c>
    </row>
    <row r="46" spans="4:55">
      <c r="BB46">
        <v>24</v>
      </c>
      <c r="BC46">
        <f xml:space="preserve"> ($BB46 - $BB47) / $BB43</f>
        <v>0.26666666666666666</v>
      </c>
    </row>
    <row r="48" spans="4:55">
      <c r="AX48" s="5"/>
    </row>
    <row r="49" spans="50:50">
      <c r="AX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1764</v>
      </c>
      <c r="P5" s="3" t="s">
        <v>478</v>
      </c>
      <c r="Q5" s="3" t="s">
        <v>479</v>
      </c>
      <c r="S5" s="3" t="s">
        <v>1765</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2088</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2252</v>
      </c>
      <c r="K41" t="s">
        <v>0</v>
      </c>
      <c r="L41" t="s">
        <v>2255</v>
      </c>
      <c r="M41" t="s">
        <v>2256</v>
      </c>
      <c r="N41" t="s">
        <v>2257</v>
      </c>
      <c r="O41" t="s">
        <v>2258</v>
      </c>
      <c r="P41" t="s">
        <v>2259</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2253</v>
      </c>
      <c r="P43" t="s">
        <v>728</v>
      </c>
    </row>
    <row r="44" spans="2:16">
      <c r="E44" s="4" t="s">
        <v>21</v>
      </c>
      <c r="F44">
        <f xml:space="preserve"> ROUND(MAX(GBP.RawY), GBP.DecimalPlaces)</f>
        <v>15</v>
      </c>
      <c r="J44" s="4" t="s">
        <v>1471</v>
      </c>
      <c r="K44" t="s">
        <v>728</v>
      </c>
      <c r="L44" t="s">
        <v>2088</v>
      </c>
      <c r="M44" t="s">
        <v>1779</v>
      </c>
      <c r="N44" t="s">
        <v>2088</v>
      </c>
      <c r="O44" t="s">
        <v>728</v>
      </c>
      <c r="P44" t="s">
        <v>2253</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1781</v>
      </c>
      <c r="D2" s="3" t="s">
        <v>1780</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1752</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2088</v>
      </c>
    </row>
    <row r="50" spans="4:7" ht="17" thickBot="1">
      <c r="F50" s="3" t="s">
        <v>92</v>
      </c>
      <c r="G50" s="3" t="s">
        <v>2280</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1782</v>
      </c>
      <c r="C2" s="3" t="s">
        <v>1783</v>
      </c>
      <c r="D2" s="3" t="s">
        <v>1687</v>
      </c>
      <c r="E2" s="3" t="s">
        <v>189</v>
      </c>
    </row>
    <row r="3" spans="2:5">
      <c r="B3" t="b">
        <v>0</v>
      </c>
      <c r="C3" t="b">
        <v>1</v>
      </c>
      <c r="D3">
        <v>1</v>
      </c>
      <c r="E3">
        <f xml:space="preserve"> DecimalPlaces - INT(LOG(HKD.Size, 10) + 0.2)</f>
        <v>5</v>
      </c>
    </row>
    <row r="5" spans="2:5" ht="17" thickBot="1">
      <c r="B5" s="3" t="s">
        <v>190</v>
      </c>
      <c r="C5" s="3" t="s">
        <v>191</v>
      </c>
      <c r="E5" s="3" t="s">
        <v>1751</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2088</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1750</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1709</v>
      </c>
      <c r="H15">
        <f xml:space="preserve"> 17/48</f>
        <v>0.35416666666666669</v>
      </c>
    </row>
    <row r="16" spans="5:8">
      <c r="G16" s="4" t="s">
        <v>1710</v>
      </c>
      <c r="H16">
        <v>8.1500000000000003E-2</v>
      </c>
    </row>
    <row r="17" spans="2:8">
      <c r="G17" s="4" t="s">
        <v>297</v>
      </c>
      <c r="H17" s="5" t="s">
        <v>762</v>
      </c>
    </row>
    <row r="18" spans="2:8">
      <c r="G18" s="4" t="s">
        <v>298</v>
      </c>
      <c r="H18" s="5" t="s">
        <v>2088</v>
      </c>
    </row>
    <row r="20" spans="2:8" ht="17" thickBot="1">
      <c r="B20" s="3" t="s">
        <v>295</v>
      </c>
      <c r="C20" s="3" t="s">
        <v>300</v>
      </c>
      <c r="D20" s="3" t="s">
        <v>301</v>
      </c>
      <c r="E20" s="3" t="s">
        <v>1766</v>
      </c>
      <c r="F20" s="3" t="s">
        <v>1767</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2260</v>
      </c>
    </row>
    <row r="26" spans="2:9">
      <c r="I26" s="21" t="s">
        <v>2261</v>
      </c>
    </row>
    <row r="27" spans="2:9">
      <c r="I27" s="21" t="s">
        <v>2262</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1749</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2088</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1748</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2074</v>
      </c>
      <c r="C2" s="3" t="s">
        <v>2075</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2070</v>
      </c>
      <c r="C5" s="3" t="s">
        <v>2071</v>
      </c>
      <c r="D5" s="3" t="s">
        <v>2072</v>
      </c>
      <c r="F5" s="3" t="s">
        <v>2073</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2079</v>
      </c>
    </row>
    <row r="26" spans="2:10">
      <c r="J26" t="s">
        <v>2080</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2081</v>
      </c>
    </row>
    <row r="29" spans="2:10">
      <c r="B29" t="s">
        <v>1026</v>
      </c>
      <c r="C29">
        <v>1</v>
      </c>
      <c r="D29">
        <f xml:space="preserve"> - MKD.Big</f>
        <v>-7</v>
      </c>
      <c r="F29" t="str">
        <v>L1 -7</v>
      </c>
      <c r="J29" t="s">
        <v>2082</v>
      </c>
    </row>
    <row r="30" spans="2:10">
      <c r="B30" t="s">
        <v>1026</v>
      </c>
      <c r="C30">
        <v>-1</v>
      </c>
      <c r="D30">
        <f xml:space="preserve"> - MKD.Big</f>
        <v>-7</v>
      </c>
      <c r="F30" t="str">
        <v>H-1Z</v>
      </c>
      <c r="J30" t="s">
        <v>2083</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2076</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2340</v>
      </c>
      <c r="D2" s="3" t="s">
        <v>2341</v>
      </c>
      <c r="F2" t="s">
        <v>2342</v>
      </c>
    </row>
    <row r="3" spans="2:6">
      <c r="C3">
        <f>AZN.SizeOuter / 2</f>
        <v>27</v>
      </c>
      <c r="D3" s="64">
        <v>54</v>
      </c>
      <c r="F3" s="34" cm="1">
        <f t="array" ref="F3" xml:space="preserve"> DecimalPlaces - INT(LOG(MIN(  AZN.MaxX - AZN.MinX,  AZN.MaxY - AZN.MinY  )/2, 10) + 0.2)</f>
        <v>4</v>
      </c>
    </row>
    <row r="5" spans="2:6" ht="17" thickBot="1">
      <c r="B5" s="3" t="s">
        <v>2357</v>
      </c>
      <c r="C5" s="3" t="s">
        <v>2343</v>
      </c>
      <c r="D5" s="3" t="s">
        <v>2344</v>
      </c>
      <c r="F5" s="3" t="s">
        <v>2345</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2346</v>
      </c>
      <c r="F23" s="64">
        <v>60</v>
      </c>
    </row>
    <row r="24" spans="2:6">
      <c r="E24" s="4" t="s">
        <v>2347</v>
      </c>
      <c r="F24">
        <f xml:space="preserve"> AZN.MaxX</f>
        <v>60</v>
      </c>
    </row>
    <row r="25" spans="2:6">
      <c r="E25" s="4" t="s">
        <v>2348</v>
      </c>
      <c r="F25">
        <f xml:space="preserve"> - AZN.MaxX</f>
        <v>-60</v>
      </c>
    </row>
    <row r="26" spans="2:6">
      <c r="E26" s="4" t="s">
        <v>2349</v>
      </c>
      <c r="F26">
        <f xml:space="preserve"> - AZN.MaxY</f>
        <v>-60</v>
      </c>
    </row>
    <row r="28" spans="2:6">
      <c r="E28" s="4" t="s">
        <v>2402</v>
      </c>
      <c r="F28" s="5" t="s">
        <v>2403</v>
      </c>
    </row>
    <row r="29" spans="2:6">
      <c r="E29" s="4" t="s">
        <v>2350</v>
      </c>
      <c r="F29" s="5" t="s">
        <v>717</v>
      </c>
    </row>
    <row r="30" spans="2:6">
      <c r="E30" s="4" t="s">
        <v>2351</v>
      </c>
      <c r="F30" s="5" t="s">
        <v>2088</v>
      </c>
    </row>
    <row r="32" spans="2:6">
      <c r="E32" s="4" t="s">
        <v>2352</v>
      </c>
      <c r="F32">
        <f xml:space="preserve"> MODE(Circles.AreaMultiplier)</f>
        <v>1</v>
      </c>
    </row>
    <row r="33" spans="4:6">
      <c r="E33" s="4" t="s">
        <v>2353</v>
      </c>
      <c r="F33" cm="1">
        <f t="array" ref="F33" xml:space="preserve">  MAX(AZN.MaxY, - AZN.MinY)   /   MAX(AZN.MaxX, - AZN.MinX)</f>
        <v>1</v>
      </c>
    </row>
    <row r="34" spans="4:6">
      <c r="E34" s="4" t="s">
        <v>2354</v>
      </c>
      <c r="F34" cm="1">
        <f t="array" ref="F34" xml:space="preserve"> VALUE(TEXT(SQRT( AZN.AreaMultiplier * BasicBBoxArea *  AZN.Aspect), SVG.NumberFormatHeight))</f>
        <v>15</v>
      </c>
    </row>
    <row r="35" spans="4:6">
      <c r="E35" s="4" t="s">
        <v>2355</v>
      </c>
      <c r="F35" cm="1">
        <f t="array" ref="F35" xml:space="preserve">  AZN.Height /  AZN.Aspect</f>
        <v>15</v>
      </c>
    </row>
    <row r="38" spans="4:6" ht="17" thickBot="1">
      <c r="F38" s="3" t="s">
        <v>2356</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2319</v>
      </c>
      <c r="C2" s="3" t="s">
        <v>2335</v>
      </c>
      <c r="E2" t="s">
        <v>2320</v>
      </c>
    </row>
    <row r="3" spans="2:5">
      <c r="B3">
        <v>1</v>
      </c>
      <c r="C3">
        <f xml:space="preserve"> AMD.SizeInner * SQRT(2)</f>
        <v>1.4142135623730951</v>
      </c>
      <c r="E3" s="34">
        <f xml:space="preserve"> DecimalPlaces - INT(LOG(MIN(  AMD.MaxX - AMD.MinX,  AMD.MaxY - AMD.MinY  )/2, 10) + 0.2)</f>
        <v>5</v>
      </c>
    </row>
    <row r="5" spans="2:5" ht="17" thickBot="1">
      <c r="B5" s="3" t="s">
        <v>2321</v>
      </c>
      <c r="C5" s="3" t="s">
        <v>2322</v>
      </c>
      <c r="E5" s="3" t="s">
        <v>2323</v>
      </c>
    </row>
    <row r="6" spans="2:5">
      <c r="E6" t="s">
        <v>2182</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2183</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2324</v>
      </c>
      <c r="E28">
        <f xml:space="preserve"> _xlfn.MAXIFS(AMD.RawX,   AMD.RawX,"&gt;0")</f>
        <v>1.4142135623730951</v>
      </c>
    </row>
    <row r="29" spans="2:6">
      <c r="D29" s="4" t="s">
        <v>2325</v>
      </c>
      <c r="E29">
        <f xml:space="preserve"> _xlfn.MAXIFS(AMD.RawY,   AMD.RawY,"&gt;0")</f>
        <v>1.4142135623730951</v>
      </c>
    </row>
    <row r="30" spans="2:6">
      <c r="D30" s="4" t="s">
        <v>2326</v>
      </c>
      <c r="E30">
        <f xml:space="preserve">  _xlfn.MINIFS(AMD.RawX,   AMD.RawX,"&lt;0")</f>
        <v>-1.4142135623730951</v>
      </c>
    </row>
    <row r="31" spans="2:6">
      <c r="D31" s="4" t="s">
        <v>2327</v>
      </c>
      <c r="E31">
        <f xml:space="preserve">  _xlfn.MINIFS(AMD.RawY,   AMD.RawY,"&lt;0")</f>
        <v>-1.4142135623730951</v>
      </c>
    </row>
    <row r="33" spans="2:6">
      <c r="D33" s="4" t="s">
        <v>2328</v>
      </c>
      <c r="E33" s="5" t="s">
        <v>2337</v>
      </c>
    </row>
    <row r="34" spans="2:6">
      <c r="D34" s="4" t="s">
        <v>2329</v>
      </c>
      <c r="E34" s="5" t="s">
        <v>781</v>
      </c>
    </row>
    <row r="35" spans="2:6">
      <c r="D35" s="4" t="s">
        <v>2336</v>
      </c>
      <c r="E35" s="5" t="s">
        <v>2338</v>
      </c>
    </row>
    <row r="37" spans="2:6">
      <c r="B37">
        <f xml:space="preserve"> 19999899241 / 50097997976</f>
        <v>0.39921553852473651</v>
      </c>
      <c r="D37" s="4" t="s">
        <v>2330</v>
      </c>
      <c r="E37">
        <f xml:space="preserve"> CHOOSE(1,   19999899241 / 50097997976,   (8 + SQRT(2)*3) * 3 / 92)   *   MODE(Circles.AreaMultiplier) * PI()</f>
        <v>1.2541726030282052</v>
      </c>
      <c r="F37" s="5" t="s">
        <v>2339</v>
      </c>
    </row>
    <row r="38" spans="2:6">
      <c r="B38">
        <f xml:space="preserve"> (8 + SQRT(2)*3) * 3 / 92</f>
        <v>0.39921654414519414</v>
      </c>
      <c r="D38" s="4" t="s">
        <v>2331</v>
      </c>
      <c r="E38" cm="1">
        <f t="array" ref="E38" xml:space="preserve">  MAX(AMD.MaxY, - AMD.MinY)   /   MAX(AMD.MaxX, - AMD.MinX)</f>
        <v>1</v>
      </c>
    </row>
    <row r="39" spans="2:6">
      <c r="B39">
        <f xml:space="preserve"> LN(B37/B38)</f>
        <v>-2.5189881004052337E-6</v>
      </c>
      <c r="D39" s="4" t="s">
        <v>2332</v>
      </c>
      <c r="E39" cm="1">
        <f t="array" ref="E39" xml:space="preserve"> VALUE(TEXT(SQRT( AMD.AreaMultiplier * BasicBBoxArea *  AMD.Aspect), SVG.NumberFormatHeight))</f>
        <v>16.8</v>
      </c>
    </row>
    <row r="40" spans="2:6">
      <c r="D40" s="4" t="s">
        <v>2333</v>
      </c>
      <c r="E40" cm="1">
        <f t="array" ref="E40" xml:space="preserve">  AMD.Height /  AMD.Aspect</f>
        <v>16.8</v>
      </c>
    </row>
    <row r="43" spans="2:6" ht="17" thickBot="1">
      <c r="E43" s="3" t="s">
        <v>2334</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2359</v>
      </c>
      <c r="D2" s="3" t="s">
        <v>2360</v>
      </c>
      <c r="F2" t="s">
        <v>2361</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2376</v>
      </c>
      <c r="C5" s="3" t="s">
        <v>2362</v>
      </c>
      <c r="D5" s="3" t="s">
        <v>2363</v>
      </c>
      <c r="F5" s="3" t="s">
        <v>2364</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2365</v>
      </c>
      <c r="F24">
        <f xml:space="preserve"> TMT.SizeOuter</f>
        <v>3.4142135623730949</v>
      </c>
    </row>
    <row r="25" spans="2:6">
      <c r="E25" s="4" t="s">
        <v>2366</v>
      </c>
      <c r="F25">
        <f xml:space="preserve"> TMT.SizeOuter</f>
        <v>3.4142135623730949</v>
      </c>
    </row>
    <row r="26" spans="2:6">
      <c r="E26" s="4" t="s">
        <v>2367</v>
      </c>
      <c r="F26">
        <f xml:space="preserve"> - TMT.MaxX</f>
        <v>-3.4142135623730949</v>
      </c>
    </row>
    <row r="27" spans="2:6">
      <c r="E27" s="4" t="s">
        <v>2368</v>
      </c>
      <c r="F27">
        <f xml:space="preserve"> - TMT.MaxY</f>
        <v>-3.4142135623730949</v>
      </c>
    </row>
    <row r="29" spans="2:6">
      <c r="E29" s="4" t="s">
        <v>2369</v>
      </c>
      <c r="F29" s="5" t="s">
        <v>1779</v>
      </c>
    </row>
    <row r="30" spans="2:6">
      <c r="E30" s="4" t="s">
        <v>2370</v>
      </c>
      <c r="F30" s="5" t="s">
        <v>2377</v>
      </c>
    </row>
    <row r="32" spans="2:6">
      <c r="E32" s="4" t="s">
        <v>2371</v>
      </c>
      <c r="F32">
        <f xml:space="preserve"> PI() / (16 * (1 - SqrtHalf) / 2)</f>
        <v>1.3407585306672443</v>
      </c>
    </row>
    <row r="33" spans="4:6">
      <c r="E33" s="4" t="s">
        <v>2372</v>
      </c>
      <c r="F33" cm="1">
        <f t="array" ref="F33" xml:space="preserve">  MAX(TMT.MaxY, - TMT.MinY)   /   MAX(TMT.MaxX, - TMT.MinX)</f>
        <v>1</v>
      </c>
    </row>
    <row r="34" spans="4:6">
      <c r="E34" s="4" t="s">
        <v>2373</v>
      </c>
      <c r="F34" cm="1">
        <f t="array" ref="F34" xml:space="preserve"> VALUE(TEXT(SQRT( TMT.AreaMultiplier * BasicBBoxArea *  TMT.Aspect), SVG.NumberFormatHeight))</f>
        <v>17.399999999999999</v>
      </c>
    </row>
    <row r="35" spans="4:6">
      <c r="E35" s="4" t="s">
        <v>2374</v>
      </c>
      <c r="F35" cm="1">
        <f t="array" ref="F35" xml:space="preserve">  TMT.Height /  TMT.Aspect</f>
        <v>17.399999999999999</v>
      </c>
    </row>
    <row r="38" spans="4:6" ht="17" thickBot="1">
      <c r="F38" s="3" t="s">
        <v>2375</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2440</v>
      </c>
      <c r="F2">
        <v>750</v>
      </c>
      <c r="H2" cm="1">
        <f t="array" ref="H2" xml:space="preserve"> GCD(IF(NPR.RawX &lt;= 0, NPR.MaxX, NPR.RawX))</f>
        <v>15</v>
      </c>
    </row>
    <row r="3" spans="2:8">
      <c r="E3" s="4" t="s">
        <v>2441</v>
      </c>
      <c r="F3">
        <f xml:space="preserve"> NPR.HalfWidth * 8 / 15</f>
        <v>400</v>
      </c>
      <c r="H3" cm="1">
        <f t="array" ref="H3" xml:space="preserve"> GCD(IF(NPR.RawY &lt;= 0, NPR.MaxY, NPR.RawY))</f>
        <v>8</v>
      </c>
    </row>
    <row r="4" spans="2:8">
      <c r="E4" s="4" t="s">
        <v>2442</v>
      </c>
      <c r="F4">
        <v>60</v>
      </c>
    </row>
    <row r="6" spans="2:8">
      <c r="E6" s="4" t="s">
        <v>2424</v>
      </c>
      <c r="F6">
        <f xml:space="preserve"> DecimalPlaces - INT(LOG(MIN(NPR.HalfWidth, NPR.HalfHeight), 10) + 0.2)</f>
        <v>3</v>
      </c>
    </row>
    <row r="8" spans="2:8" ht="17" thickBot="1">
      <c r="B8" s="3" t="s">
        <v>2438</v>
      </c>
      <c r="C8" s="3" t="s">
        <v>2425</v>
      </c>
      <c r="D8" s="3" t="s">
        <v>2426</v>
      </c>
      <c r="F8" s="3" t="s">
        <v>2427</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2430</v>
      </c>
      <c r="F22" cm="1">
        <f t="array" ref="F22" xml:space="preserve"> ROUND( MIN(NPR.RawX), NPR.DecimalPlaces)</f>
        <v>-750</v>
      </c>
    </row>
    <row r="23" spans="2:6">
      <c r="E23" s="4" t="s">
        <v>2428</v>
      </c>
      <c r="F23" cm="1">
        <f t="array" ref="F23" xml:space="preserve"> ROUND(MAX(NPR.RawX), NPR.DecimalPlaces)</f>
        <v>750</v>
      </c>
    </row>
    <row r="24" spans="2:6">
      <c r="E24" s="4" t="s">
        <v>2431</v>
      </c>
      <c r="F24" cm="1">
        <f t="array" ref="F24" xml:space="preserve"> ROUND( MIN(NPR.RawY), NPR.DecimalPlaces)</f>
        <v>-400</v>
      </c>
    </row>
    <row r="25" spans="2:6">
      <c r="E25" s="4" t="s">
        <v>2429</v>
      </c>
      <c r="F25" cm="1">
        <f t="array" ref="F25" xml:space="preserve"> ROUND(MAX(NPR.RawY), NPR.DecimalPlaces)</f>
        <v>400</v>
      </c>
    </row>
    <row r="27" spans="2:6">
      <c r="E27" s="4" t="s">
        <v>2439</v>
      </c>
      <c r="F27" s="5" t="s">
        <v>2422</v>
      </c>
    </row>
    <row r="28" spans="2:6">
      <c r="E28" s="4" t="s">
        <v>2432</v>
      </c>
      <c r="F28" s="5" t="s">
        <v>2088</v>
      </c>
    </row>
    <row r="30" spans="2:6">
      <c r="E30" s="4" t="s">
        <v>2433</v>
      </c>
      <c r="F30">
        <f xml:space="preserve"> INDEX(Simple.AreaMultiplier, MATCH("LU", Simple.ID, 0))</f>
        <v>1.3812499999999999</v>
      </c>
    </row>
    <row r="31" spans="2:6">
      <c r="E31" s="4" t="s">
        <v>2434</v>
      </c>
      <c r="F31" cm="1">
        <f t="array" ref="F31" xml:space="preserve">  MAX(NPR.MaxY, - NPR.MinY)   /   MAX(NPR.MaxX, - NPR.MinX)</f>
        <v>0.53333333333333333</v>
      </c>
    </row>
    <row r="32" spans="2:6">
      <c r="E32" s="4" t="s">
        <v>2435</v>
      </c>
      <c r="F32" cm="1">
        <f t="array" ref="F32" xml:space="preserve"> VALUE(TEXT(SQRT( NPR.AreaMultiplier * BasicBBoxArea *  NPR.Aspect), SVG.NumberFormatHeight))</f>
        <v>12.9</v>
      </c>
    </row>
    <row r="33" spans="4:6">
      <c r="E33" s="4" t="s">
        <v>2436</v>
      </c>
      <c r="F33" cm="1">
        <f t="array" ref="F33" xml:space="preserve">  NPR.Height /  NPR.Aspect</f>
        <v>24.1875</v>
      </c>
    </row>
    <row r="36" spans="4:6" ht="17" thickBot="1">
      <c r="F36" s="3" t="s">
        <v>2437</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2263</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2264</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2265</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2088</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2059</v>
      </c>
      <c r="C2" s="3" t="s">
        <v>2061</v>
      </c>
      <c r="D2" s="3" t="s">
        <v>2062</v>
      </c>
      <c r="I2" s="3" t="s">
        <v>2048</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2049</v>
      </c>
      <c r="D5" s="3" t="s">
        <v>2058</v>
      </c>
      <c r="E5" s="3" t="s">
        <v>2050</v>
      </c>
      <c r="F5" s="3" t="s">
        <v>2051</v>
      </c>
      <c r="G5" s="3" t="s">
        <v>2066</v>
      </c>
      <c r="H5" s="3" t="s">
        <v>2067</v>
      </c>
      <c r="I5" s="3" t="s">
        <v>2068</v>
      </c>
      <c r="K5" s="3" t="s">
        <v>2052</v>
      </c>
    </row>
    <row r="7" spans="2:11">
      <c r="B7" t="s">
        <v>2060</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2060</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2060</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2085</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2085</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2085</v>
      </c>
      <c r="C20">
        <v>54</v>
      </c>
      <c r="D20" s="28"/>
      <c r="E20" s="28"/>
      <c r="F20" s="28"/>
      <c r="G20" s="28"/>
      <c r="H20" s="28">
        <f xml:space="preserve"> H19</f>
        <v>0.30976000000000004</v>
      </c>
      <c r="I20" s="28">
        <f xml:space="preserve"> I21</f>
        <v>0.30902000000000002</v>
      </c>
    </row>
    <row r="21" spans="2:9">
      <c r="B21" t="s">
        <v>2085</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2085</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2085</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2085</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2085</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2085</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2085</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2085</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2085</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2085</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2085</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2085</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2084</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2130</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2130</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2130</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2130</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2130</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2063</v>
      </c>
      <c r="K75" s="5" t="s">
        <v>2065</v>
      </c>
      <c r="M75" t="str">
        <f xml:space="preserve"> DEC2HEX(INT(HEX2DEC("D4")/2),2)  &amp;  DEC2HEX(INT(HEX2DEC("AF")/2),2)  &amp;  DEC2HEX(INT(HEX2DEC("37")/2),2)</f>
        <v>6A571B</v>
      </c>
    </row>
    <row r="76" spans="10:13">
      <c r="J76" s="4" t="s">
        <v>2064</v>
      </c>
      <c r="K76" s="5" t="s">
        <v>2077</v>
      </c>
    </row>
    <row r="78" spans="10:13">
      <c r="J78" s="4" t="s">
        <v>2053</v>
      </c>
      <c r="K78" s="26">
        <v>1.55</v>
      </c>
    </row>
    <row r="79" spans="10:13">
      <c r="J79" s="4" t="s">
        <v>2054</v>
      </c>
      <c r="K79" cm="1">
        <f t="array" ref="K79" xml:space="preserve">  MAX(RUB.MaxY, - RUB.MinY)   /   MAX(RUB.MaxX, - RUB.MinX)</f>
        <v>1.0514583727630222</v>
      </c>
    </row>
    <row r="80" spans="10:13">
      <c r="J80" s="4" t="s">
        <v>2055</v>
      </c>
      <c r="K80" cm="1">
        <f t="array" ref="K80" xml:space="preserve"> VALUE(TEXT(SQRT( RUB.AreaMultiplier * BasicBBoxArea *  RUB.Aspect), SVG.NumberFormatHeight))</f>
        <v>19.100000000000001</v>
      </c>
    </row>
    <row r="81" spans="8:11">
      <c r="J81" s="4" t="s">
        <v>2056</v>
      </c>
      <c r="K81" cm="1">
        <f t="array" ref="K81" xml:space="preserve">  RUB.Height /  RUB.Aspect</f>
        <v>18.165246000000003</v>
      </c>
    </row>
    <row r="83" spans="8:11" ht="17" thickBot="1">
      <c r="K83" s="3" t="s">
        <v>2057</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1757</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1977</v>
      </c>
      <c r="C2" s="3" t="s">
        <v>1978</v>
      </c>
      <c r="E2" t="s">
        <v>1962</v>
      </c>
    </row>
    <row r="3" spans="2:5">
      <c r="B3" s="34">
        <v>5</v>
      </c>
      <c r="C3">
        <v>1</v>
      </c>
      <c r="E3" s="34">
        <f xml:space="preserve"> DecimalPlaces - INT(LOG(MIN(  MAX( OMR.RawX) - MIN( OMR.RawX),  MAX( OMR.RawY) - MIN( OMR.RawY)  )/2, 10) + 0.2)</f>
        <v>5</v>
      </c>
    </row>
    <row r="5" spans="2:5" ht="17" thickBot="1">
      <c r="B5" s="3" t="s">
        <v>1963</v>
      </c>
      <c r="C5" s="3" t="s">
        <v>1964</v>
      </c>
      <c r="E5" s="3" t="s">
        <v>1965</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1967</v>
      </c>
      <c r="E20">
        <f xml:space="preserve"> 1 + OMR.SizeInner</f>
        <v>6</v>
      </c>
    </row>
    <row r="21" spans="2:5">
      <c r="D21" s="4" t="s">
        <v>1969</v>
      </c>
      <c r="E21">
        <f xml:space="preserve"> OMR.MaxX</f>
        <v>6</v>
      </c>
    </row>
    <row r="22" spans="2:5">
      <c r="D22" s="4" t="s">
        <v>1966</v>
      </c>
      <c r="E22">
        <f xml:space="preserve"> - OMR.MaxX</f>
        <v>-6</v>
      </c>
    </row>
    <row r="23" spans="2:5">
      <c r="D23" s="4" t="s">
        <v>1968</v>
      </c>
      <c r="E23">
        <f xml:space="preserve"> - OMR.MaxY</f>
        <v>-6</v>
      </c>
    </row>
    <row r="25" spans="2:5">
      <c r="D25" s="4" t="s">
        <v>1970</v>
      </c>
      <c r="E25" s="5" t="s">
        <v>728</v>
      </c>
    </row>
    <row r="26" spans="2:5">
      <c r="D26" s="4" t="s">
        <v>1971</v>
      </c>
      <c r="E26" s="5" t="s">
        <v>1961</v>
      </c>
    </row>
    <row r="28" spans="2:5">
      <c r="D28" s="4" t="s">
        <v>1972</v>
      </c>
      <c r="E28">
        <f xml:space="preserve"> MODE(Squares.AreaMultiplier)</f>
        <v>0.85</v>
      </c>
    </row>
    <row r="29" spans="2:5">
      <c r="D29" s="4" t="s">
        <v>1973</v>
      </c>
      <c r="E29" cm="1">
        <f t="array" ref="E29" xml:space="preserve">  MAX(OMR.MaxY, - OMR.MinY)   /   MAX(OMR.MaxX, - OMR.MinX)</f>
        <v>1</v>
      </c>
    </row>
    <row r="30" spans="2:5">
      <c r="D30" s="4" t="s">
        <v>1974</v>
      </c>
      <c r="E30" cm="1">
        <f t="array" ref="E30" xml:space="preserve"> VALUE(TEXT(SQRT( OMR.AreaMultiplier * BasicBBoxArea *  OMR.Aspect), SVG.NumberFormatHeight))</f>
        <v>13.8</v>
      </c>
    </row>
    <row r="31" spans="2:5">
      <c r="D31" s="4" t="s">
        <v>1975</v>
      </c>
      <c r="E31" cm="1">
        <f t="array" ref="E31" xml:space="preserve">  OMR.Height /  OMR.Aspect</f>
        <v>13.8</v>
      </c>
    </row>
    <row r="34" spans="3:5" ht="17" thickBot="1">
      <c r="E34" s="3" t="s">
        <v>1976</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1747</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1746</v>
      </c>
      <c r="C15" s="54">
        <v>-99</v>
      </c>
      <c r="D15" s="1">
        <v>-99</v>
      </c>
      <c r="F15" t="str">
        <f t="array" ref="F15:F26" xml:space="preserve"> svgpath($C15:$C26, $D15:$D26, QAR.DecimalPlaces)</f>
        <v>M-99 -99</v>
      </c>
    </row>
    <row r="16" spans="2:6">
      <c r="B16" t="s">
        <v>1746</v>
      </c>
      <c r="C16">
        <v>-72</v>
      </c>
      <c r="D16" s="1">
        <f xml:space="preserve"> D15</f>
        <v>-99</v>
      </c>
      <c r="F16" t="str">
        <v>h27</v>
      </c>
    </row>
    <row r="17" spans="2:6">
      <c r="B17" t="s">
        <v>1746</v>
      </c>
      <c r="C17">
        <f xml:space="preserve"> -72 - C16</f>
        <v>0</v>
      </c>
      <c r="D17">
        <f xml:space="preserve"> 22 + D16</f>
        <v>-77</v>
      </c>
      <c r="F17" t="str">
        <v>L0 -77</v>
      </c>
    </row>
    <row r="18" spans="2:6">
      <c r="B18" t="s">
        <v>1746</v>
      </c>
      <c r="C18">
        <f t="shared" ref="C18:C25" si="0" xml:space="preserve"> -72 - C17</f>
        <v>-72</v>
      </c>
      <c r="D18">
        <f t="shared" ref="D18:D25" si="1" xml:space="preserve"> 22 + D17</f>
        <v>-55</v>
      </c>
      <c r="F18" t="str">
        <v>l-72 22</v>
      </c>
    </row>
    <row r="19" spans="2:6">
      <c r="B19" t="s">
        <v>1746</v>
      </c>
      <c r="C19">
        <f t="shared" si="0"/>
        <v>0</v>
      </c>
      <c r="D19">
        <f t="shared" si="1"/>
        <v>-33</v>
      </c>
      <c r="F19" t="str">
        <v>L0 -33</v>
      </c>
    </row>
    <row r="20" spans="2:6">
      <c r="B20" t="s">
        <v>1746</v>
      </c>
      <c r="C20">
        <f t="shared" si="0"/>
        <v>-72</v>
      </c>
      <c r="D20">
        <f t="shared" si="1"/>
        <v>-11</v>
      </c>
      <c r="F20" t="str">
        <v>l-72 22</v>
      </c>
    </row>
    <row r="21" spans="2:6">
      <c r="B21" t="s">
        <v>1746</v>
      </c>
      <c r="C21">
        <f t="shared" si="0"/>
        <v>0</v>
      </c>
      <c r="D21">
        <f t="shared" si="1"/>
        <v>11</v>
      </c>
      <c r="F21" t="str">
        <v>L0 11</v>
      </c>
    </row>
    <row r="22" spans="2:6">
      <c r="B22" t="s">
        <v>1746</v>
      </c>
      <c r="C22">
        <f t="shared" si="0"/>
        <v>-72</v>
      </c>
      <c r="D22">
        <f t="shared" si="1"/>
        <v>33</v>
      </c>
      <c r="F22" t="str">
        <v>L-72 33</v>
      </c>
    </row>
    <row r="23" spans="2:6">
      <c r="B23" t="s">
        <v>1746</v>
      </c>
      <c r="C23">
        <f t="shared" si="0"/>
        <v>0</v>
      </c>
      <c r="D23">
        <f t="shared" si="1"/>
        <v>55</v>
      </c>
      <c r="F23" t="str">
        <v>L0 55</v>
      </c>
    </row>
    <row r="24" spans="2:6">
      <c r="B24" t="s">
        <v>1746</v>
      </c>
      <c r="C24">
        <f t="shared" si="0"/>
        <v>-72</v>
      </c>
      <c r="D24">
        <f t="shared" si="1"/>
        <v>77</v>
      </c>
      <c r="F24" t="str">
        <v>L-72 77</v>
      </c>
    </row>
    <row r="25" spans="2:6">
      <c r="B25" t="s">
        <v>1746</v>
      </c>
      <c r="C25">
        <f t="shared" si="0"/>
        <v>0</v>
      </c>
      <c r="D25">
        <f t="shared" si="1"/>
        <v>99</v>
      </c>
      <c r="F25" t="str">
        <v>L0 99</v>
      </c>
    </row>
    <row r="26" spans="2:6">
      <c r="B26" t="s">
        <v>1746</v>
      </c>
      <c r="C26">
        <f xml:space="preserve"> C15</f>
        <v>-99</v>
      </c>
      <c r="D26">
        <f xml:space="preserve"> D25</f>
        <v>99</v>
      </c>
      <c r="F26" t="str">
        <v>H-99Z</v>
      </c>
    </row>
    <row r="28" spans="2:6">
      <c r="B28" t="s">
        <v>1746</v>
      </c>
      <c r="C28" s="54">
        <f xml:space="preserve"> - C15</f>
        <v>99</v>
      </c>
      <c r="D28">
        <f xml:space="preserve"> D15</f>
        <v>-99</v>
      </c>
      <c r="F28" t="str">
        <f t="array" ref="F28:F39" xml:space="preserve"> svgpath($C28:$C39, $D28:$D39, QAR.DecimalPlaces)</f>
        <v>M99 -99</v>
      </c>
    </row>
    <row r="29" spans="2:6">
      <c r="B29" t="s">
        <v>1746</v>
      </c>
      <c r="C29" s="1">
        <f xml:space="preserve"> 72 + C16</f>
        <v>0</v>
      </c>
      <c r="D29">
        <f t="shared" ref="D29:D39" si="2" xml:space="preserve"> D16</f>
        <v>-99</v>
      </c>
      <c r="F29" t="str">
        <v>H0</v>
      </c>
    </row>
    <row r="30" spans="2:6">
      <c r="B30" t="s">
        <v>1746</v>
      </c>
      <c r="C30" s="1">
        <f t="shared" ref="C30:C38" si="3" xml:space="preserve"> 72 + C17</f>
        <v>72</v>
      </c>
      <c r="D30">
        <f t="shared" si="2"/>
        <v>-77</v>
      </c>
      <c r="F30" t="str">
        <v>l72 22</v>
      </c>
    </row>
    <row r="31" spans="2:6">
      <c r="B31" t="s">
        <v>1746</v>
      </c>
      <c r="C31" s="1">
        <f t="shared" si="3"/>
        <v>0</v>
      </c>
      <c r="D31">
        <f t="shared" si="2"/>
        <v>-55</v>
      </c>
      <c r="F31" t="str">
        <v>L0 -55</v>
      </c>
    </row>
    <row r="32" spans="2:6">
      <c r="B32" t="s">
        <v>1746</v>
      </c>
      <c r="C32" s="1">
        <f t="shared" si="3"/>
        <v>72</v>
      </c>
      <c r="D32">
        <f t="shared" si="2"/>
        <v>-33</v>
      </c>
      <c r="F32" t="str">
        <v>l72 22</v>
      </c>
    </row>
    <row r="33" spans="2:6">
      <c r="B33" t="s">
        <v>1746</v>
      </c>
      <c r="C33" s="1">
        <f t="shared" si="3"/>
        <v>0</v>
      </c>
      <c r="D33">
        <f t="shared" si="2"/>
        <v>-11</v>
      </c>
      <c r="F33" t="str">
        <v>L0 -11</v>
      </c>
    </row>
    <row r="34" spans="2:6">
      <c r="B34" t="s">
        <v>1746</v>
      </c>
      <c r="C34" s="1">
        <f t="shared" si="3"/>
        <v>72</v>
      </c>
      <c r="D34">
        <f t="shared" si="2"/>
        <v>11</v>
      </c>
      <c r="F34" t="str">
        <v>L72 11</v>
      </c>
    </row>
    <row r="35" spans="2:6">
      <c r="B35" t="s">
        <v>1746</v>
      </c>
      <c r="C35" s="1">
        <f t="shared" si="3"/>
        <v>0</v>
      </c>
      <c r="D35">
        <f t="shared" si="2"/>
        <v>33</v>
      </c>
      <c r="F35" t="str">
        <v>L0 33</v>
      </c>
    </row>
    <row r="36" spans="2:6">
      <c r="B36" t="s">
        <v>1746</v>
      </c>
      <c r="C36" s="1">
        <f t="shared" si="3"/>
        <v>72</v>
      </c>
      <c r="D36">
        <f t="shared" si="2"/>
        <v>55</v>
      </c>
      <c r="F36" t="str">
        <v>L72 55</v>
      </c>
    </row>
    <row r="37" spans="2:6">
      <c r="B37" t="s">
        <v>1746</v>
      </c>
      <c r="C37" s="1">
        <f t="shared" si="3"/>
        <v>0</v>
      </c>
      <c r="D37">
        <f t="shared" si="2"/>
        <v>77</v>
      </c>
      <c r="F37" t="str">
        <v>L0 77</v>
      </c>
    </row>
    <row r="38" spans="2:6">
      <c r="B38" t="s">
        <v>1746</v>
      </c>
      <c r="C38" s="1">
        <f t="shared" si="3"/>
        <v>72</v>
      </c>
      <c r="D38">
        <f t="shared" si="2"/>
        <v>99</v>
      </c>
      <c r="F38" t="str">
        <v>L72 99</v>
      </c>
    </row>
    <row r="39" spans="2:6">
      <c r="B39" t="s">
        <v>1746</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2088</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2384</v>
      </c>
    </row>
    <row r="3" spans="2:6">
      <c r="F3">
        <f xml:space="preserve"> DecimalPlaces - INT(LOG(MIN(  MAX(BHD.RawX) - MIN(BHD.RawX),  MAX(BHD.RawY) - MIN(BHD.RawY)  )/2, 10) + 0.2)</f>
        <v>4</v>
      </c>
    </row>
    <row r="5" spans="2:6" ht="17" thickBot="1">
      <c r="C5" s="3" t="s">
        <v>2385</v>
      </c>
    </row>
    <row r="6" spans="2:6">
      <c r="C6" cm="1">
        <f t="array" ref="C6" xml:space="preserve"> SQRT(1417) * 45 / 88 / GoldenRatio</f>
        <v>11.896716885504146</v>
      </c>
    </row>
    <row r="8" spans="2:6" ht="17" thickBot="1">
      <c r="B8" s="3" t="s">
        <v>2386</v>
      </c>
      <c r="C8" s="3" t="s">
        <v>2387</v>
      </c>
      <c r="D8" s="3" t="s">
        <v>2388</v>
      </c>
      <c r="F8" s="3" t="s">
        <v>2389</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1746</v>
      </c>
      <c r="C15" s="54">
        <v>-48</v>
      </c>
      <c r="D15" s="1">
        <v>35</v>
      </c>
      <c r="F15" t="str" cm="1">
        <f t="array" ref="F15:F22" xml:space="preserve"> svgpath($C15:$C22, $D15:$D22, BHD.DecimalPlaces)</f>
        <v>M-48 35</v>
      </c>
    </row>
    <row r="16" spans="2:6">
      <c r="B16" t="s">
        <v>1746</v>
      </c>
      <c r="C16">
        <v>-35</v>
      </c>
      <c r="D16" s="1">
        <f xml:space="preserve"> D15</f>
        <v>35</v>
      </c>
      <c r="F16" t="str">
        <v>h13</v>
      </c>
    </row>
    <row r="17" spans="2:6">
      <c r="B17" t="s">
        <v>1746</v>
      </c>
      <c r="C17">
        <v>0</v>
      </c>
      <c r="D17">
        <f xml:space="preserve"> D16 - 14</f>
        <v>21</v>
      </c>
      <c r="F17" t="str">
        <v>L0 21</v>
      </c>
    </row>
    <row r="18" spans="2:6">
      <c r="B18" t="s">
        <v>1746</v>
      </c>
      <c r="C18">
        <f xml:space="preserve"> C16</f>
        <v>-35</v>
      </c>
      <c r="D18">
        <f t="shared" ref="D18:D21" si="0" xml:space="preserve"> D17 - 14</f>
        <v>7</v>
      </c>
      <c r="F18" t="str">
        <v>L-35 7</v>
      </c>
    </row>
    <row r="19" spans="2:6">
      <c r="B19" t="s">
        <v>1746</v>
      </c>
      <c r="C19">
        <f t="shared" ref="C19:C21" si="1" xml:space="preserve"> C17</f>
        <v>0</v>
      </c>
      <c r="D19">
        <f t="shared" si="0"/>
        <v>-7</v>
      </c>
      <c r="F19" t="str">
        <v>L0 -7</v>
      </c>
    </row>
    <row r="20" spans="2:6">
      <c r="B20" t="s">
        <v>1746</v>
      </c>
      <c r="C20">
        <f t="shared" si="1"/>
        <v>-35</v>
      </c>
      <c r="D20">
        <f t="shared" si="0"/>
        <v>-21</v>
      </c>
      <c r="F20" t="str">
        <v>L-35 -21</v>
      </c>
    </row>
    <row r="21" spans="2:6">
      <c r="B21" t="s">
        <v>1746</v>
      </c>
      <c r="C21">
        <f t="shared" si="1"/>
        <v>0</v>
      </c>
      <c r="D21">
        <f t="shared" si="0"/>
        <v>-35</v>
      </c>
      <c r="F21" t="str">
        <v>L0 -35</v>
      </c>
    </row>
    <row r="22" spans="2:6">
      <c r="B22" t="s">
        <v>1746</v>
      </c>
      <c r="C22" s="54">
        <f xml:space="preserve"> C15</f>
        <v>-48</v>
      </c>
      <c r="D22">
        <f xml:space="preserve"> D21</f>
        <v>-35</v>
      </c>
      <c r="F22" t="str">
        <v>H-48Z</v>
      </c>
    </row>
    <row r="24" spans="2:6">
      <c r="B24" t="s">
        <v>1746</v>
      </c>
      <c r="C24" s="1">
        <f t="shared" ref="C24:D31" si="2" xml:space="preserve"> - C15</f>
        <v>48</v>
      </c>
      <c r="D24" s="1">
        <f t="shared" si="2"/>
        <v>-35</v>
      </c>
      <c r="F24" t="str" cm="1">
        <f t="array" ref="F24:F31" xml:space="preserve"> svgpath($C24:$C31, $D24:$D31, BHD.DecimalPlaces)</f>
        <v>M48 -35</v>
      </c>
    </row>
    <row r="25" spans="2:6">
      <c r="B25" t="s">
        <v>1746</v>
      </c>
      <c r="C25" s="1">
        <f t="shared" si="2"/>
        <v>35</v>
      </c>
      <c r="D25" s="1">
        <f t="shared" si="2"/>
        <v>-35</v>
      </c>
      <c r="F25" t="str">
        <v>H35</v>
      </c>
    </row>
    <row r="26" spans="2:6">
      <c r="B26" t="s">
        <v>1746</v>
      </c>
      <c r="C26" s="1">
        <f t="shared" si="2"/>
        <v>0</v>
      </c>
      <c r="D26" s="1">
        <f t="shared" si="2"/>
        <v>-21</v>
      </c>
      <c r="F26" t="str">
        <v>L0 -21</v>
      </c>
    </row>
    <row r="27" spans="2:6">
      <c r="B27" t="s">
        <v>1746</v>
      </c>
      <c r="C27" s="1">
        <f t="shared" si="2"/>
        <v>35</v>
      </c>
      <c r="D27" s="1">
        <f t="shared" si="2"/>
        <v>-7</v>
      </c>
      <c r="F27" t="str">
        <v>L35 -7</v>
      </c>
    </row>
    <row r="28" spans="2:6">
      <c r="B28" t="s">
        <v>1746</v>
      </c>
      <c r="C28" s="1">
        <f t="shared" si="2"/>
        <v>0</v>
      </c>
      <c r="D28" s="1">
        <f t="shared" si="2"/>
        <v>7</v>
      </c>
      <c r="F28" t="str">
        <v>L0 7</v>
      </c>
    </row>
    <row r="29" spans="2:6">
      <c r="B29" t="s">
        <v>1746</v>
      </c>
      <c r="C29" s="1">
        <f t="shared" si="2"/>
        <v>35</v>
      </c>
      <c r="D29" s="1">
        <f t="shared" si="2"/>
        <v>21</v>
      </c>
      <c r="F29" t="str">
        <v>L35 21</v>
      </c>
    </row>
    <row r="30" spans="2:6">
      <c r="B30" t="s">
        <v>1746</v>
      </c>
      <c r="C30" s="1">
        <f t="shared" si="2"/>
        <v>0</v>
      </c>
      <c r="D30" s="1">
        <f t="shared" si="2"/>
        <v>35</v>
      </c>
      <c r="F30" t="str">
        <v>L0 35</v>
      </c>
    </row>
    <row r="31" spans="2:6">
      <c r="B31" t="s">
        <v>1746</v>
      </c>
      <c r="C31" s="1">
        <f t="shared" si="2"/>
        <v>48</v>
      </c>
      <c r="D31" s="1">
        <f t="shared" si="2"/>
        <v>35</v>
      </c>
      <c r="F31" t="str">
        <v>H48Z</v>
      </c>
    </row>
    <row r="34" spans="4:6">
      <c r="E34" s="4" t="s">
        <v>2390</v>
      </c>
      <c r="F34" cm="1">
        <f t="array" ref="F34" xml:space="preserve"> ROUND( MIN(BHD.RawX), BHD.DecimalPlaces)</f>
        <v>-61</v>
      </c>
    </row>
    <row r="35" spans="4:6">
      <c r="E35" s="4" t="s">
        <v>2391</v>
      </c>
      <c r="F35" cm="1">
        <f t="array" ref="F35" xml:space="preserve"> ROUND(MAX(BHD.RawX), BHD.DecimalPlaces)</f>
        <v>61</v>
      </c>
    </row>
    <row r="36" spans="4:6">
      <c r="E36" s="4" t="s">
        <v>2392</v>
      </c>
      <c r="F36" cm="1">
        <f t="array" ref="F36" xml:space="preserve"> ROUND( MIN(BHD.RawY), BHD.DecimalPlaces)</f>
        <v>-48</v>
      </c>
    </row>
    <row r="37" spans="4:6">
      <c r="E37" s="4" t="s">
        <v>2393</v>
      </c>
      <c r="F37" cm="1">
        <f t="array" ref="F37" xml:space="preserve"> ROUND(MAX(BHD.RawY), BHD.DecimalPlaces)</f>
        <v>48</v>
      </c>
    </row>
    <row r="39" spans="4:6">
      <c r="E39" s="4" t="s">
        <v>2394</v>
      </c>
      <c r="F39" s="26">
        <v>0.8</v>
      </c>
    </row>
    <row r="40" spans="4:6">
      <c r="E40" s="4" t="s">
        <v>2395</v>
      </c>
      <c r="F40" cm="1">
        <f t="array" ref="F40" xml:space="preserve">  MAX(BHD.MaxY, - BHD.MinY)   /   MAX(BHD.MaxX, - BHD.MinX)</f>
        <v>0.78688524590163933</v>
      </c>
    </row>
    <row r="41" spans="4:6">
      <c r="E41" s="4" t="s">
        <v>2396</v>
      </c>
      <c r="F41" cm="1">
        <f t="array" ref="F41" xml:space="preserve"> VALUE(TEXT(SQRT(BHD.AreaMultiplier * BasicBBoxArea * BHD.Aspect), SVG.NumberFormatHeight))</f>
        <v>11.9</v>
      </c>
    </row>
    <row r="42" spans="4:6">
      <c r="E42" s="4" t="s">
        <v>2397</v>
      </c>
      <c r="F42" cm="1">
        <f t="array" ref="F42" xml:space="preserve"> BHD.Height / BHD.Aspect</f>
        <v>15.122916666666667</v>
      </c>
    </row>
    <row r="43" spans="4:6">
      <c r="E43" s="4"/>
      <c r="F43" s="5"/>
    </row>
    <row r="44" spans="4:6">
      <c r="E44" s="4" t="s">
        <v>2398</v>
      </c>
      <c r="F44" s="5" t="s">
        <v>2401</v>
      </c>
    </row>
    <row r="45" spans="4:6">
      <c r="E45" s="4" t="s">
        <v>2399</v>
      </c>
      <c r="F45" s="5" t="s">
        <v>2088</v>
      </c>
    </row>
    <row r="47" spans="4:6" ht="17" thickBot="1">
      <c r="F47" s="3" t="s">
        <v>2400</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1745</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2088</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2030</v>
      </c>
      <c r="C2" s="3" t="s">
        <v>2031</v>
      </c>
    </row>
    <row r="3" spans="2:6">
      <c r="B3">
        <v>6</v>
      </c>
      <c r="C3">
        <v>16</v>
      </c>
    </row>
    <row r="5" spans="2:6" ht="17" thickBot="1">
      <c r="B5" s="3" t="s">
        <v>2028</v>
      </c>
      <c r="C5" s="3" t="s">
        <v>2029</v>
      </c>
      <c r="E5" s="3" t="s">
        <v>2007</v>
      </c>
      <c r="F5" s="35" t="s">
        <v>2008</v>
      </c>
    </row>
    <row r="6" spans="2:6">
      <c r="E6" t="s">
        <v>23</v>
      </c>
      <c r="F6" s="5" t="s">
        <v>2032</v>
      </c>
    </row>
    <row r="7" spans="2:6">
      <c r="E7" t="s">
        <v>23</v>
      </c>
      <c r="F7" s="5" t="s">
        <v>2020</v>
      </c>
    </row>
    <row r="8" spans="2:6">
      <c r="E8" t="s">
        <v>23</v>
      </c>
      <c r="F8" s="5" t="s">
        <v>2021</v>
      </c>
    </row>
    <row r="9" spans="2:6">
      <c r="F9" s="5"/>
    </row>
    <row r="10" spans="2:6">
      <c r="F10" s="5"/>
    </row>
    <row r="11" spans="2:6">
      <c r="E11" t="s">
        <v>23</v>
      </c>
      <c r="F11" s="5" t="s">
        <v>2022</v>
      </c>
    </row>
    <row r="12" spans="2:6">
      <c r="E12" t="s">
        <v>23</v>
      </c>
      <c r="F12" s="5" t="s">
        <v>2023</v>
      </c>
    </row>
    <row r="13" spans="2:6">
      <c r="E13" t="s">
        <v>23</v>
      </c>
      <c r="F13" s="5" t="s">
        <v>2024</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2009</v>
      </c>
      <c r="F30">
        <v>20</v>
      </c>
    </row>
    <row r="31" spans="2:6">
      <c r="E31" s="4" t="s">
        <v>2010</v>
      </c>
      <c r="F31">
        <v>30</v>
      </c>
    </row>
    <row r="32" spans="2:6">
      <c r="E32" s="4" t="s">
        <v>2011</v>
      </c>
      <c r="F32">
        <f xml:space="preserve"> - F30</f>
        <v>-20</v>
      </c>
    </row>
    <row r="33" spans="4:6">
      <c r="E33" s="4" t="s">
        <v>2012</v>
      </c>
      <c r="F33">
        <f xml:space="preserve"> - F31</f>
        <v>-30</v>
      </c>
    </row>
    <row r="35" spans="4:6">
      <c r="E35" s="4" t="s">
        <v>2013</v>
      </c>
      <c r="F35" s="5" t="s">
        <v>2025</v>
      </c>
    </row>
    <row r="36" spans="4:6">
      <c r="E36" s="4" t="s">
        <v>2014</v>
      </c>
      <c r="F36" s="5" t="s">
        <v>726</v>
      </c>
    </row>
    <row r="38" spans="4:6">
      <c r="E38" s="4" t="s">
        <v>2015</v>
      </c>
      <c r="F38">
        <f xml:space="preserve"> 17 / 16</f>
        <v>1.0625</v>
      </c>
    </row>
    <row r="39" spans="4:6">
      <c r="E39" s="4" t="s">
        <v>2016</v>
      </c>
      <c r="F39" cm="1">
        <f t="array" ref="F39" xml:space="preserve">  MAX(YER.MaxY, - YER.MinY)   /   MAX(YER.MaxX, - YER.MinX)</f>
        <v>1.5</v>
      </c>
    </row>
    <row r="40" spans="4:6">
      <c r="E40" s="4" t="s">
        <v>2017</v>
      </c>
      <c r="F40" cm="1">
        <f t="array" ref="F40" xml:space="preserve"> VALUE(TEXT(SQRT( YER.AreaMultiplier * BasicBBoxArea *  YER.Aspect), SVG.NumberFormatHeight))</f>
        <v>18.899999999999999</v>
      </c>
    </row>
    <row r="41" spans="4:6">
      <c r="E41" s="4" t="s">
        <v>2018</v>
      </c>
      <c r="F41" cm="1">
        <f t="array" ref="F41" xml:space="preserve">  YER.Height /  YER.Aspect</f>
        <v>12.6</v>
      </c>
    </row>
    <row r="44" spans="4:6" ht="17" thickBot="1">
      <c r="F44" s="3" t="s">
        <v>2019</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1789</v>
      </c>
      <c r="F2" s="3" t="s">
        <v>1790</v>
      </c>
    </row>
    <row r="3" spans="2:6">
      <c r="B3">
        <v>5.77</v>
      </c>
      <c r="F3">
        <f xml:space="preserve"> DecimalPlaces - INT(LOG(EGP.Multiplier, 10) + 0.2)</f>
        <v>5</v>
      </c>
    </row>
    <row r="5" spans="2:6" ht="17" thickBot="1">
      <c r="B5" s="3" t="s">
        <v>1791</v>
      </c>
      <c r="C5" s="3" t="s">
        <v>1792</v>
      </c>
      <c r="D5" s="3" t="s">
        <v>1793</v>
      </c>
      <c r="F5" s="3" t="s">
        <v>1794</v>
      </c>
    </row>
    <row r="6" spans="2:6">
      <c r="B6" t="s">
        <v>1806</v>
      </c>
      <c r="C6">
        <f xml:space="preserve"> EGP.Multiplier</f>
        <v>5.77</v>
      </c>
      <c r="D6">
        <f xml:space="preserve"> EGP.Multiplier</f>
        <v>5.77</v>
      </c>
      <c r="F6" s="42" t="str">
        <f t="array" ref="F6:F9" xml:space="preserve">  svgpath($C6:$C9, $D6:$D9, EGP.DecimalPlaces)</f>
        <v>M5.77 5.77</v>
      </c>
    </row>
    <row r="7" spans="2:6">
      <c r="B7" t="s">
        <v>1806</v>
      </c>
      <c r="C7">
        <f xml:space="preserve"> - EGP.Multiplier</f>
        <v>-5.77</v>
      </c>
      <c r="D7">
        <f xml:space="preserve"> EGP.Multiplier</f>
        <v>5.77</v>
      </c>
      <c r="F7" t="str">
        <v>H-5.77</v>
      </c>
    </row>
    <row r="8" spans="2:6">
      <c r="B8" t="s">
        <v>1806</v>
      </c>
      <c r="C8">
        <f xml:space="preserve"> - EGP.Multiplier</f>
        <v>-5.77</v>
      </c>
      <c r="D8">
        <f xml:space="preserve"> - EGP.Multiplier</f>
        <v>-5.77</v>
      </c>
      <c r="F8" t="str">
        <v>V-5.77</v>
      </c>
    </row>
    <row r="9" spans="2:6">
      <c r="B9" t="s">
        <v>1806</v>
      </c>
      <c r="C9">
        <f xml:space="preserve"> EGP.Multiplier</f>
        <v>5.77</v>
      </c>
      <c r="D9">
        <f xml:space="preserve"> - EGP.Multiplier</f>
        <v>-5.77</v>
      </c>
      <c r="F9" t="str">
        <v>H5.77Z</v>
      </c>
    </row>
    <row r="11" spans="2:6">
      <c r="B11" t="s">
        <v>1807</v>
      </c>
      <c r="C11">
        <f xml:space="preserve"> EGP.Multiplier * Sqrt2 / 10</f>
        <v>0.81600122548927578</v>
      </c>
      <c r="D11">
        <v>0</v>
      </c>
      <c r="F11" s="42" t="str">
        <f t="array" ref="F11:F13" xml:space="preserve">  svgpath($C11:$C13, $D11:$D13, EGP.DecimalPlaces)</f>
        <v>M.816 0</v>
      </c>
    </row>
    <row r="12" spans="2:6">
      <c r="B12" t="s">
        <v>1807</v>
      </c>
      <c r="C12">
        <f xml:space="preserve"> EGP.Multiplier * 4 / 5</f>
        <v>4.6159999999999997</v>
      </c>
      <c r="D12">
        <f xml:space="preserve"> EGP.Multiplier * (4 / 5  -  Sqrt2 / 10)</f>
        <v>3.7999987745107244</v>
      </c>
      <c r="F12" t="str">
        <v>l3.8 3.8</v>
      </c>
    </row>
    <row r="13" spans="2:6">
      <c r="B13" t="s">
        <v>1807</v>
      </c>
      <c r="C13">
        <f xml:space="preserve"> EGP.Multiplier * 4 / 5</f>
        <v>4.6159999999999997</v>
      </c>
      <c r="D13">
        <f xml:space="preserve"> EGP.Multiplier * (Sqrt2 / 10  -  4 / 5)</f>
        <v>-3.7999987745107244</v>
      </c>
      <c r="F13" t="str">
        <v>V-3.8Z</v>
      </c>
    </row>
    <row r="15" spans="2:6">
      <c r="B15" t="s">
        <v>1807</v>
      </c>
      <c r="C15">
        <f xml:space="preserve"> D11</f>
        <v>0</v>
      </c>
      <c r="D15">
        <f xml:space="preserve"> C11</f>
        <v>0.81600122548927578</v>
      </c>
      <c r="F15" s="42" t="str">
        <f t="array" ref="F15:F17" xml:space="preserve">  svgpath($C15:$C17, $D15:$D17, EGP.DecimalPlaces)</f>
        <v>M0 .816</v>
      </c>
    </row>
    <row r="16" spans="2:6">
      <c r="B16" t="s">
        <v>1807</v>
      </c>
      <c r="C16">
        <f t="shared" ref="C16:C17" si="0" xml:space="preserve"> D12</f>
        <v>3.7999987745107244</v>
      </c>
      <c r="D16">
        <f t="shared" ref="D16:D17" si="1" xml:space="preserve"> C12</f>
        <v>4.6159999999999997</v>
      </c>
      <c r="F16" t="str">
        <v>l3.8 3.8</v>
      </c>
    </row>
    <row r="17" spans="2:6">
      <c r="B17" t="s">
        <v>1807</v>
      </c>
      <c r="C17">
        <f t="shared" si="0"/>
        <v>-3.7999987745107244</v>
      </c>
      <c r="D17">
        <f t="shared" si="1"/>
        <v>4.6159999999999997</v>
      </c>
      <c r="F17" t="str">
        <v>H-3.8Z</v>
      </c>
    </row>
    <row r="18" spans="2:6">
      <c r="F18" s="42"/>
    </row>
    <row r="19" spans="2:6">
      <c r="B19" t="s">
        <v>1807</v>
      </c>
      <c r="C19">
        <f xml:space="preserve"> - C11</f>
        <v>-0.81600122548927578</v>
      </c>
      <c r="D19">
        <f xml:space="preserve"> - D11</f>
        <v>0</v>
      </c>
      <c r="F19" s="42" t="str">
        <f t="array" ref="F19:F21" xml:space="preserve">  svgpath($C19:$C21, $D19:$D21, EGP.DecimalPlaces)</f>
        <v>M-.816 0</v>
      </c>
    </row>
    <row r="20" spans="2:6">
      <c r="B20" t="s">
        <v>1807</v>
      </c>
      <c r="C20">
        <f t="shared" ref="C20:D21" si="2" xml:space="preserve"> - C12</f>
        <v>-4.6159999999999997</v>
      </c>
      <c r="D20">
        <f t="shared" si="2"/>
        <v>-3.7999987745107244</v>
      </c>
      <c r="F20" t="str">
        <v>l-3.8 -3.8</v>
      </c>
    </row>
    <row r="21" spans="2:6">
      <c r="B21" t="s">
        <v>1807</v>
      </c>
      <c r="C21">
        <f t="shared" si="2"/>
        <v>-4.6159999999999997</v>
      </c>
      <c r="D21">
        <f t="shared" si="2"/>
        <v>3.7999987745107244</v>
      </c>
      <c r="F21" t="str">
        <v>V3.8Z</v>
      </c>
    </row>
    <row r="23" spans="2:6">
      <c r="B23" t="s">
        <v>1807</v>
      </c>
      <c r="C23">
        <f xml:space="preserve"> - C15</f>
        <v>0</v>
      </c>
      <c r="D23">
        <f xml:space="preserve"> - D15</f>
        <v>-0.81600122548927578</v>
      </c>
      <c r="F23" s="42" t="str">
        <f t="array" ref="F23:F25" xml:space="preserve">  svgpath($C23:$C25, $D23:$D25, EGP.DecimalPlaces)</f>
        <v>M0 -.816</v>
      </c>
    </row>
    <row r="24" spans="2:6">
      <c r="B24" t="s">
        <v>1807</v>
      </c>
      <c r="C24">
        <f t="shared" ref="C24:D24" si="3" xml:space="preserve"> - C16</f>
        <v>-3.7999987745107244</v>
      </c>
      <c r="D24">
        <f t="shared" si="3"/>
        <v>-4.6159999999999997</v>
      </c>
      <c r="F24" t="str">
        <v>l-3.8 -3.8</v>
      </c>
    </row>
    <row r="25" spans="2:6">
      <c r="B25" t="s">
        <v>1807</v>
      </c>
      <c r="C25">
        <f t="shared" ref="C25:D25" si="4" xml:space="preserve"> - C17</f>
        <v>3.7999987745107244</v>
      </c>
      <c r="D25">
        <f t="shared" si="4"/>
        <v>-4.6159999999999997</v>
      </c>
      <c r="F25" t="str">
        <v>H3.8Z</v>
      </c>
    </row>
    <row r="28" spans="2:6">
      <c r="E28" s="4" t="s">
        <v>1795</v>
      </c>
      <c r="F28" cm="1">
        <f t="array" ref="F28" xml:space="preserve"> ROUND( MIN(EGP.RawX), EGP.DecimalPlaces)</f>
        <v>-5.77</v>
      </c>
    </row>
    <row r="29" spans="2:6">
      <c r="E29" s="4" t="s">
        <v>1796</v>
      </c>
      <c r="F29" cm="1">
        <f t="array" ref="F29" xml:space="preserve"> ROUND(MAX(EGP.RawX), EGP.DecimalPlaces)</f>
        <v>5.77</v>
      </c>
    </row>
    <row r="30" spans="2:6">
      <c r="E30" s="4" t="s">
        <v>1797</v>
      </c>
      <c r="F30" cm="1">
        <f t="array" ref="F30" xml:space="preserve"> ROUND( MIN(EGP.RawY), EGP.DecimalPlaces)</f>
        <v>-5.77</v>
      </c>
    </row>
    <row r="31" spans="2:6">
      <c r="E31" s="4" t="s">
        <v>1798</v>
      </c>
      <c r="F31" cm="1">
        <f t="array" ref="F31" xml:space="preserve"> ROUND(MAX(EGP.RawY), EGP.DecimalPlaces)</f>
        <v>5.77</v>
      </c>
    </row>
    <row r="33" spans="4:6">
      <c r="E33" s="4" t="s">
        <v>1799</v>
      </c>
      <c r="F33" s="26">
        <f xml:space="preserve"> MODE(Squares.AreaMultiplier)</f>
        <v>0.85</v>
      </c>
    </row>
    <row r="34" spans="4:6">
      <c r="E34" s="4" t="s">
        <v>1800</v>
      </c>
      <c r="F34" cm="1">
        <f t="array" ref="F34" xml:space="preserve">  MAX(EGP.MaxY, - EGP.MinY)   /   MAX(EGP.MaxX, - EGP.MinX)</f>
        <v>1</v>
      </c>
    </row>
    <row r="35" spans="4:6">
      <c r="E35" s="4" t="s">
        <v>1801</v>
      </c>
      <c r="F35" cm="1">
        <f t="array" ref="F35" xml:space="preserve"> VALUE(TEXT(SQRT(EGP.AreaMultiplier* BasicBBoxArea * EGP.Aspect), SVG.NumberFormatHeight))</f>
        <v>13.8</v>
      </c>
    </row>
    <row r="36" spans="4:6">
      <c r="E36" s="4" t="s">
        <v>1802</v>
      </c>
      <c r="F36" cm="1">
        <f t="array" ref="F36" xml:space="preserve"> EGP.Height / EGP.Aspect</f>
        <v>13.8</v>
      </c>
    </row>
    <row r="38" spans="4:6">
      <c r="E38" s="4" t="s">
        <v>1803</v>
      </c>
      <c r="F38" t="s">
        <v>726</v>
      </c>
    </row>
    <row r="39" spans="4:6">
      <c r="E39" s="4" t="s">
        <v>1804</v>
      </c>
      <c r="F39" t="s">
        <v>2088</v>
      </c>
    </row>
    <row r="41" spans="4:6" ht="17" thickBot="1">
      <c r="F41" s="3" t="s">
        <v>1805</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2266</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1758</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2088</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1744</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1989</v>
      </c>
    </row>
    <row r="3" spans="2:6">
      <c r="F3">
        <f xml:space="preserve"> DecimalPlaces - INT(LOG(MAX(SDG.RawX, SDG.RawY), 10) + 0.2)</f>
        <v>5</v>
      </c>
    </row>
    <row r="5" spans="2:6" ht="17" thickBot="1">
      <c r="B5" s="3" t="s">
        <v>1990</v>
      </c>
      <c r="C5" s="3" t="s">
        <v>1991</v>
      </c>
      <c r="D5" s="3" t="s">
        <v>1992</v>
      </c>
      <c r="F5" s="3" t="s">
        <v>1993</v>
      </c>
    </row>
    <row r="6" spans="2:6">
      <c r="B6" t="s">
        <v>1806</v>
      </c>
      <c r="C6">
        <v>5</v>
      </c>
      <c r="D6">
        <f xml:space="preserve"> $C$6</f>
        <v>5</v>
      </c>
      <c r="F6" s="42"/>
    </row>
    <row r="7" spans="2:6">
      <c r="B7" t="s">
        <v>1806</v>
      </c>
      <c r="C7">
        <f xml:space="preserve"> C6</f>
        <v>5</v>
      </c>
      <c r="D7">
        <f xml:space="preserve"> - D6</f>
        <v>-5</v>
      </c>
    </row>
    <row r="8" spans="2:6">
      <c r="B8" t="s">
        <v>1806</v>
      </c>
      <c r="C8">
        <f xml:space="preserve"> - C7</f>
        <v>-5</v>
      </c>
      <c r="D8">
        <f xml:space="preserve"> D7</f>
        <v>-5</v>
      </c>
    </row>
    <row r="9" spans="2:6">
      <c r="B9" t="s">
        <v>1806</v>
      </c>
      <c r="C9">
        <f xml:space="preserve"> C8</f>
        <v>-5</v>
      </c>
      <c r="D9">
        <f xml:space="preserve"> - D8</f>
        <v>5</v>
      </c>
    </row>
    <row r="11" spans="2:6">
      <c r="B11" t="s">
        <v>2005</v>
      </c>
      <c r="C11">
        <f xml:space="preserve"> $C$6 - 1</f>
        <v>4</v>
      </c>
      <c r="D11">
        <f xml:space="preserve"> $C$6 - 2</f>
        <v>3</v>
      </c>
      <c r="F11" s="42" t="str">
        <f t="array" ref="F11:F14" xml:space="preserve">  svgpath($C11:$C14, $D11:$D14, SDG.DecimalPlaces, 1, -1)</f>
        <v>M4 -3</v>
      </c>
    </row>
    <row r="12" spans="2:6">
      <c r="B12" t="s">
        <v>2005</v>
      </c>
      <c r="C12">
        <f xml:space="preserve"> $C$6 - 1</f>
        <v>4</v>
      </c>
      <c r="D12">
        <f xml:space="preserve"> D11 - 2</f>
        <v>1</v>
      </c>
      <c r="F12" t="str">
        <v>v2</v>
      </c>
    </row>
    <row r="13" spans="2:6">
      <c r="B13" t="s">
        <v>2005</v>
      </c>
      <c r="C13">
        <f xml:space="preserve"> - $D12</f>
        <v>-1</v>
      </c>
      <c r="D13">
        <f xml:space="preserve"> - $C11</f>
        <v>-4</v>
      </c>
      <c r="F13" t="str">
        <v>L-1 4</v>
      </c>
    </row>
    <row r="14" spans="2:6">
      <c r="B14" t="s">
        <v>2005</v>
      </c>
      <c r="C14">
        <f xml:space="preserve"> - D11</f>
        <v>-3</v>
      </c>
      <c r="D14">
        <f xml:space="preserve"> - C11</f>
        <v>-4</v>
      </c>
      <c r="F14" t="str">
        <v>H-3Z</v>
      </c>
    </row>
    <row r="15" spans="2:6">
      <c r="F15" s="42"/>
    </row>
    <row r="16" spans="2:6">
      <c r="B16" t="s">
        <v>2005</v>
      </c>
      <c r="C16">
        <f xml:space="preserve"> $C$6 - 1</f>
        <v>4</v>
      </c>
      <c r="D16">
        <f xml:space="preserve"> D12 - 2</f>
        <v>-1</v>
      </c>
      <c r="F16" s="42" t="str">
        <f t="array" ref="F16:F19" xml:space="preserve">  svgpath($C16:$C19, $D16:$D19, SDG.DecimalPlaces, 1, -1)</f>
        <v>M4 1</v>
      </c>
    </row>
    <row r="17" spans="2:6">
      <c r="B17" t="s">
        <v>2005</v>
      </c>
      <c r="C17">
        <f xml:space="preserve"> $C$6 - 1</f>
        <v>4</v>
      </c>
      <c r="D17">
        <f xml:space="preserve"> D16 - 2</f>
        <v>-3</v>
      </c>
      <c r="F17" t="str">
        <v>V3</v>
      </c>
    </row>
    <row r="18" spans="2:6">
      <c r="B18" t="s">
        <v>2005</v>
      </c>
      <c r="C18">
        <f xml:space="preserve"> - $D17</f>
        <v>3</v>
      </c>
      <c r="D18">
        <f xml:space="preserve"> - $C16</f>
        <v>-4</v>
      </c>
      <c r="F18" t="str">
        <v>L3 4</v>
      </c>
    </row>
    <row r="19" spans="2:6">
      <c r="B19" t="s">
        <v>2005</v>
      </c>
      <c r="C19">
        <f xml:space="preserve"> - D16</f>
        <v>1</v>
      </c>
      <c r="D19">
        <f xml:space="preserve"> - C16</f>
        <v>-4</v>
      </c>
      <c r="F19" t="str">
        <v>H1Z</v>
      </c>
    </row>
    <row r="21" spans="2:6">
      <c r="B21" t="s">
        <v>2005</v>
      </c>
      <c r="C21">
        <f t="shared" ref="C21:D24" si="0" xml:space="preserve"> - C11</f>
        <v>-4</v>
      </c>
      <c r="D21">
        <f t="shared" si="0"/>
        <v>-3</v>
      </c>
      <c r="F21" s="42" t="str">
        <f t="array" ref="F21:F24" xml:space="preserve">  svgpath($C21:$C24, $D21:$D24, SDG.DecimalPlaces, 1, -1)</f>
        <v>M-4 3</v>
      </c>
    </row>
    <row r="22" spans="2:6">
      <c r="B22" t="s">
        <v>2005</v>
      </c>
      <c r="C22">
        <f t="shared" si="0"/>
        <v>-4</v>
      </c>
      <c r="D22">
        <f t="shared" si="0"/>
        <v>-1</v>
      </c>
      <c r="F22" t="str">
        <v>V1</v>
      </c>
    </row>
    <row r="23" spans="2:6">
      <c r="B23" t="s">
        <v>2005</v>
      </c>
      <c r="C23">
        <f t="shared" si="0"/>
        <v>1</v>
      </c>
      <c r="D23">
        <f t="shared" si="0"/>
        <v>4</v>
      </c>
      <c r="F23" t="str">
        <v>L1 -4</v>
      </c>
    </row>
    <row r="24" spans="2:6">
      <c r="B24" t="s">
        <v>2005</v>
      </c>
      <c r="C24">
        <f t="shared" si="0"/>
        <v>3</v>
      </c>
      <c r="D24">
        <f t="shared" si="0"/>
        <v>4</v>
      </c>
      <c r="F24" t="str">
        <v>H3Z</v>
      </c>
    </row>
    <row r="26" spans="2:6">
      <c r="B26" t="s">
        <v>2005</v>
      </c>
      <c r="C26">
        <f t="shared" ref="C26:D29" si="1" xml:space="preserve"> - C16</f>
        <v>-4</v>
      </c>
      <c r="D26">
        <f t="shared" si="1"/>
        <v>1</v>
      </c>
      <c r="F26" s="42" t="str">
        <f t="array" ref="F26:F29" xml:space="preserve">  svgpath($C26:$C29, $D26:$D29, SDG.DecimalPlaces, 1, -1)</f>
        <v>M-4 -1</v>
      </c>
    </row>
    <row r="27" spans="2:6">
      <c r="B27" t="s">
        <v>2005</v>
      </c>
      <c r="C27">
        <f t="shared" si="1"/>
        <v>-4</v>
      </c>
      <c r="D27">
        <f t="shared" si="1"/>
        <v>3</v>
      </c>
      <c r="F27" t="str">
        <v>V-3</v>
      </c>
    </row>
    <row r="28" spans="2:6">
      <c r="B28" t="s">
        <v>2005</v>
      </c>
      <c r="C28">
        <f t="shared" si="1"/>
        <v>-3</v>
      </c>
      <c r="D28">
        <f t="shared" si="1"/>
        <v>4</v>
      </c>
      <c r="F28" t="str">
        <v>l1 -1</v>
      </c>
    </row>
    <row r="29" spans="2:6">
      <c r="B29" t="s">
        <v>2005</v>
      </c>
      <c r="C29">
        <f t="shared" si="1"/>
        <v>-1</v>
      </c>
      <c r="D29">
        <f t="shared" si="1"/>
        <v>4</v>
      </c>
      <c r="F29" t="str">
        <v>h2Z</v>
      </c>
    </row>
    <row r="32" spans="2:6">
      <c r="E32" s="4" t="s">
        <v>1994</v>
      </c>
      <c r="F32" cm="1">
        <f t="array" ref="F32" xml:space="preserve"> ROUND( MIN(SDG.RawX), SDG.DecimalPlaces)</f>
        <v>-5</v>
      </c>
    </row>
    <row r="33" spans="4:6">
      <c r="E33" s="4" t="s">
        <v>1995</v>
      </c>
      <c r="F33" cm="1">
        <f t="array" ref="F33" xml:space="preserve"> ROUND(MAX(SDG.RawX), SDG.DecimalPlaces)</f>
        <v>5</v>
      </c>
    </row>
    <row r="34" spans="4:6">
      <c r="E34" s="4" t="s">
        <v>1996</v>
      </c>
      <c r="F34" cm="1">
        <f t="array" ref="F34" xml:space="preserve"> ROUND( MIN(SDG.RawY), SDG.DecimalPlaces)</f>
        <v>-5</v>
      </c>
    </row>
    <row r="35" spans="4:6">
      <c r="E35" s="4" t="s">
        <v>1997</v>
      </c>
      <c r="F35" cm="1">
        <f t="array" ref="F35" xml:space="preserve"> ROUND(MAX(SDG.RawY), SDG.DecimalPlaces)</f>
        <v>5</v>
      </c>
    </row>
    <row r="37" spans="4:6">
      <c r="E37" s="4" t="s">
        <v>1998</v>
      </c>
      <c r="F37" s="26">
        <f xml:space="preserve"> MODE(Squares.AreaMultiplier)</f>
        <v>0.85</v>
      </c>
    </row>
    <row r="38" spans="4:6">
      <c r="E38" s="4" t="s">
        <v>1999</v>
      </c>
      <c r="F38" cm="1">
        <f t="array" ref="F38" xml:space="preserve">  MAX(SDG.MaxY, - SDG.MinY)   /   MAX(SDG.MaxX, - SDG.MinX)</f>
        <v>1</v>
      </c>
    </row>
    <row r="39" spans="4:6">
      <c r="E39" s="4" t="s">
        <v>2000</v>
      </c>
      <c r="F39" cm="1">
        <f t="array" ref="F39" xml:space="preserve"> VALUE(TEXT(SQRT(SDG.AreaMultiplier* BasicBBoxArea * SDG.Aspect), SVG.NumberFormatHeight))</f>
        <v>13.8</v>
      </c>
    </row>
    <row r="40" spans="4:6">
      <c r="E40" s="4" t="s">
        <v>2001</v>
      </c>
      <c r="F40" cm="1">
        <f t="array" ref="F40" xml:space="preserve"> SDG.Height / SDG.Aspect</f>
        <v>13.8</v>
      </c>
    </row>
    <row r="42" spans="4:6">
      <c r="E42" s="4" t="s">
        <v>2002</v>
      </c>
      <c r="F42" t="s">
        <v>726</v>
      </c>
    </row>
    <row r="43" spans="4:6">
      <c r="E43" s="4" t="s">
        <v>2003</v>
      </c>
      <c r="F43" t="s">
        <v>2088</v>
      </c>
    </row>
    <row r="45" spans="4:6" ht="17" thickBot="1">
      <c r="F45" s="3" t="s">
        <v>2004</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1759</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2088</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2088</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1743</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2088</v>
      </c>
    </row>
    <row r="25" spans="2:8">
      <c r="E25" s="4" t="s">
        <v>592</v>
      </c>
      <c r="F25" t="s">
        <v>777</v>
      </c>
    </row>
    <row r="27" spans="2:8" ht="17" thickBot="1">
      <c r="F27" s="3" t="s">
        <v>597</v>
      </c>
      <c r="H27" s="3" t="s">
        <v>2270</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1716</v>
      </c>
      <c r="D2" s="2" t="s">
        <v>1717</v>
      </c>
      <c r="F2" s="3" t="s">
        <v>1718</v>
      </c>
    </row>
    <row r="3" spans="2:16">
      <c r="C3" t="b">
        <v>1</v>
      </c>
      <c r="D3" t="b" cm="1">
        <f t="array" ref="D3" xml:space="preserve"> NL.ReflectX</f>
        <v>1</v>
      </c>
      <c r="F3">
        <f xml:space="preserve"> DecimalPlaces - INT(LOG(MIN(  MAX(NL.RawX) - MIN(NL.RawX),  MAX(NL.RawY) - MIN(NL.RawY)  )/2, 10) + 0.2)</f>
        <v>4</v>
      </c>
    </row>
    <row r="5" spans="2:16" ht="17" thickBot="1">
      <c r="B5" s="3" t="s">
        <v>1719</v>
      </c>
      <c r="C5" s="3" t="s">
        <v>1720</v>
      </c>
      <c r="D5" s="3" t="s">
        <v>1721</v>
      </c>
      <c r="F5" s="3" t="s">
        <v>1742</v>
      </c>
      <c r="K5" s="3" t="s">
        <v>1722</v>
      </c>
      <c r="L5" s="3" t="s">
        <v>1723</v>
      </c>
      <c r="M5" s="3" t="s">
        <v>1724</v>
      </c>
      <c r="N5" s="3" t="s">
        <v>1725</v>
      </c>
      <c r="O5" s="3" t="s">
        <v>1726</v>
      </c>
      <c r="P5" s="3" t="s">
        <v>1727</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1728</v>
      </c>
      <c r="I23">
        <v>-1</v>
      </c>
    </row>
    <row r="24" spans="2:16">
      <c r="H24" s="4" t="s">
        <v>1729</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1730</v>
      </c>
      <c r="F43">
        <f xml:space="preserve"> ROUND( MIN(NL.RawX), NL.DecimalPlaces)</f>
        <v>-10</v>
      </c>
    </row>
    <row r="44" spans="2:16">
      <c r="E44" s="4" t="s">
        <v>1731</v>
      </c>
      <c r="F44">
        <f xml:space="preserve"> ROUND(MAX(NL.RawX), NL.DecimalPlaces)</f>
        <v>10</v>
      </c>
    </row>
    <row r="45" spans="2:16">
      <c r="E45" s="4" t="s">
        <v>1732</v>
      </c>
      <c r="F45">
        <f xml:space="preserve"> ROUND( MIN(NL.RawY), NL.DecimalPlaces)</f>
        <v>-7</v>
      </c>
    </row>
    <row r="46" spans="2:16">
      <c r="E46" s="4" t="s">
        <v>1733</v>
      </c>
      <c r="F46">
        <f xml:space="preserve"> ROUND(MAX(NL.RawY), NL.DecimalPlaces)</f>
        <v>7</v>
      </c>
    </row>
    <row r="48" spans="2:16">
      <c r="E48" s="4" t="s">
        <v>1734</v>
      </c>
      <c r="F48" s="26">
        <v>0.875</v>
      </c>
    </row>
    <row r="49" spans="4:7">
      <c r="E49" s="4" t="s">
        <v>1735</v>
      </c>
      <c r="F49" cm="1">
        <f t="array" ref="F49" xml:space="preserve">  MAX(NL.MaxY, - NL.MinY)   /   MAX(NL.MaxX, - NL.MinX)</f>
        <v>0.7</v>
      </c>
    </row>
    <row r="50" spans="4:7">
      <c r="E50" s="4" t="s">
        <v>1736</v>
      </c>
      <c r="F50" cm="1">
        <f t="array" ref="F50" xml:space="preserve"> VALUE(TEXT(SQRT(NL.AreaMultiplier* BasicBBoxArea * NL.Aspect), SVG.NumberFormatHeight))</f>
        <v>11.7</v>
      </c>
    </row>
    <row r="51" spans="4:7">
      <c r="E51" s="4" t="s">
        <v>1737</v>
      </c>
      <c r="F51" cm="1">
        <f t="array" ref="F51" xml:space="preserve"> NL.Height / NL.Aspect</f>
        <v>16.714285714285715</v>
      </c>
    </row>
    <row r="53" spans="4:7">
      <c r="E53" s="4" t="s">
        <v>1738</v>
      </c>
      <c r="F53" t="s">
        <v>721</v>
      </c>
    </row>
    <row r="54" spans="4:7">
      <c r="E54" s="4" t="s">
        <v>1739</v>
      </c>
      <c r="F54" t="s">
        <v>1741</v>
      </c>
    </row>
    <row r="55" spans="4:7">
      <c r="E55" s="4" t="s">
        <v>2284</v>
      </c>
      <c r="F55" t="s">
        <v>2286</v>
      </c>
    </row>
    <row r="57" spans="4:7" ht="17" thickBot="1">
      <c r="F57" s="3" t="s">
        <v>1740</v>
      </c>
      <c r="G57" s="3" t="s">
        <v>2285</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2288</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2283</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2133</v>
      </c>
    </row>
    <row r="3" spans="2:5">
      <c r="E3">
        <f xml:space="preserve"> DecimalPlaces - INT(LOG(MIN(  MAX(GR.RawX) - MIN(GR.RawX),  MAX(GR.RawY) - MIN(GR.RawY)  )/2, 10) + 0.2)</f>
        <v>5</v>
      </c>
    </row>
    <row r="5" spans="2:5" ht="17" thickBot="1">
      <c r="B5" s="3" t="s">
        <v>2134</v>
      </c>
      <c r="C5" s="3" t="s">
        <v>2135</v>
      </c>
      <c r="E5" s="3" t="s">
        <v>2136</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2138</v>
      </c>
      <c r="E20">
        <f xml:space="preserve"> ROUND(MAX(GR.RawX), GR.DecimalPlaces) + 1</f>
        <v>6</v>
      </c>
    </row>
    <row r="21" spans="2:5">
      <c r="D21" s="4" t="s">
        <v>2140</v>
      </c>
      <c r="E21">
        <f xml:space="preserve"> GR.MaxX</f>
        <v>6</v>
      </c>
    </row>
    <row r="22" spans="2:5">
      <c r="D22" s="4" t="s">
        <v>2137</v>
      </c>
      <c r="E22">
        <f xml:space="preserve"> - GR.MaxX</f>
        <v>-6</v>
      </c>
    </row>
    <row r="23" spans="2:5">
      <c r="D23" s="4" t="s">
        <v>2139</v>
      </c>
      <c r="E23">
        <f xml:space="preserve"> - GR.MaxY</f>
        <v>-6</v>
      </c>
    </row>
    <row r="25" spans="2:5">
      <c r="D25" s="4" t="s">
        <v>2141</v>
      </c>
      <c r="E25" s="26">
        <f xml:space="preserve"> MODE(Squares.AreaMultiplier)</f>
        <v>0.85</v>
      </c>
    </row>
    <row r="26" spans="2:5">
      <c r="D26" s="4" t="s">
        <v>2142</v>
      </c>
      <c r="E26" cm="1">
        <f t="array" ref="E26" xml:space="preserve">  MAX(GR.MaxY, - GR.MinY)   /   MAX(GR.MaxX, - GR.MinX)</f>
        <v>1</v>
      </c>
    </row>
    <row r="27" spans="2:5">
      <c r="D27" s="4" t="s">
        <v>2143</v>
      </c>
      <c r="E27" cm="1">
        <f t="array" ref="E27" xml:space="preserve"> VALUE(TEXT(SQRT(GR.AreaMultiplier * BasicBBoxArea * GR.Aspect), SVG.NumberFormatHeight))</f>
        <v>13.8</v>
      </c>
    </row>
    <row r="28" spans="2:5">
      <c r="D28" s="4" t="s">
        <v>2144</v>
      </c>
      <c r="E28" cm="1">
        <f t="array" ref="E28" xml:space="preserve"> GR.Height / GR.Aspect</f>
        <v>13.8</v>
      </c>
    </row>
    <row r="29" spans="2:5">
      <c r="D29" s="4"/>
      <c r="E29" s="5"/>
    </row>
    <row r="30" spans="2:5">
      <c r="D30" s="4" t="s">
        <v>2145</v>
      </c>
      <c r="E30" s="5" t="s">
        <v>790</v>
      </c>
    </row>
    <row r="31" spans="2:5">
      <c r="D31" s="4" t="s">
        <v>2146</v>
      </c>
      <c r="E31" s="5" t="s">
        <v>2088</v>
      </c>
    </row>
    <row r="32" spans="2:5">
      <c r="D32" s="4" t="s">
        <v>2295</v>
      </c>
      <c r="E32" s="5" t="s">
        <v>2301</v>
      </c>
    </row>
    <row r="34" spans="5:6">
      <c r="E34" cm="1">
        <f t="array" ref="E34" xml:space="preserve"> SVG_length(GR.svg)</f>
        <v>225</v>
      </c>
    </row>
    <row r="36" spans="5:6" ht="17" thickBot="1">
      <c r="E36" s="3" t="s">
        <v>2147</v>
      </c>
      <c r="F36" s="3" t="s">
        <v>2296</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1760</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2088</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2088</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1761</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2088</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1762</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2088</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2180</v>
      </c>
      <c r="D2" s="3" t="s">
        <v>2181</v>
      </c>
      <c r="E2" s="3" t="s">
        <v>2212</v>
      </c>
      <c r="I2" t="s">
        <v>2164</v>
      </c>
    </row>
    <row r="3" spans="3:36">
      <c r="C3">
        <v>60</v>
      </c>
      <c r="D3">
        <f xml:space="preserve"> FLOOR(_IADB.RadiusI * 6/5, 1)</f>
        <v>72</v>
      </c>
      <c r="E3">
        <f xml:space="preserve"> _IADB.RadiusI * -0.073722838915784</f>
        <v>-4.4233703349470401</v>
      </c>
      <c r="I3" s="34">
        <f xml:space="preserve"> DecimalPlaces - INT(LOG(_IADB.RadiusO, 10) + 0.2)</f>
        <v>3</v>
      </c>
      <c r="T3" s="4" t="s">
        <v>2187</v>
      </c>
      <c r="U3">
        <f t="array" ref="U3:V5" xml:space="preserve"> $D$22:$E$24</f>
        <v>34.778228978880634</v>
      </c>
      <c r="V3">
        <v>17.493275692479227</v>
      </c>
      <c r="Z3" s="4" t="s">
        <v>2197</v>
      </c>
      <c r="AA3" cm="1">
        <f t="array" ref="AA3:AB6" xml:space="preserve"> D25:E28</f>
        <v>17.693481339788161</v>
      </c>
      <c r="AB3">
        <v>0</v>
      </c>
    </row>
    <row r="4" spans="3:36">
      <c r="T4" s="4" t="s">
        <v>2188</v>
      </c>
      <c r="U4">
        <v>43.759270416190446</v>
      </c>
      <c r="V4">
        <v>6.5164472691005715</v>
      </c>
      <c r="Z4" s="4" t="s">
        <v>2198</v>
      </c>
      <c r="AA4">
        <v>0</v>
      </c>
      <c r="AB4">
        <v>-4.4233703349470401</v>
      </c>
    </row>
    <row r="5" spans="3:36">
      <c r="T5" s="4" t="s">
        <v>2189</v>
      </c>
      <c r="U5">
        <v>30.000000000000004</v>
      </c>
      <c r="V5">
        <v>3.0766296650529608</v>
      </c>
      <c r="Z5" s="4" t="s">
        <v>2199</v>
      </c>
      <c r="AA5">
        <v>0</v>
      </c>
      <c r="AB5">
        <v>-4.4233703349470401</v>
      </c>
    </row>
    <row r="6" spans="3:36">
      <c r="E6">
        <v>-6.1629474202226898E-2</v>
      </c>
      <c r="F6">
        <v>5.0115259951281468</v>
      </c>
      <c r="Z6" s="4" t="s">
        <v>2208</v>
      </c>
      <c r="AA6">
        <v>0</v>
      </c>
      <c r="AB6">
        <v>-22.700000000000003</v>
      </c>
    </row>
    <row r="7" spans="3:36">
      <c r="E7">
        <v>-7.4999999999999997E-2</v>
      </c>
      <c r="F7">
        <v>6.1043176067272302</v>
      </c>
    </row>
    <row r="8" spans="3:36">
      <c r="E8">
        <f xml:space="preserve"> ( (F7-6)*E6 + (6-F6)*E7 ) / (F7 - F6)</f>
        <v>-7.3723653039514642E-2</v>
      </c>
      <c r="F8">
        <v>6.0000523400182324</v>
      </c>
      <c r="T8" s="4" t="s">
        <v>2190</v>
      </c>
      <c r="U8" cm="1">
        <f t="array" ref="U8:V8" xml:space="preserve"> _IADB.Quartic_Z0</f>
        <v>34.778228978880634</v>
      </c>
      <c r="V8">
        <v>17.493275692479227</v>
      </c>
      <c r="Z8" s="4" t="s">
        <v>2200</v>
      </c>
      <c r="AA8" cm="1">
        <f t="array" ref="AA8:AB8" xml:space="preserve"> _IADB.Cubic_Z0</f>
        <v>17.693481339788161</v>
      </c>
      <c r="AB8">
        <v>0</v>
      </c>
    </row>
    <row r="9" spans="3:36">
      <c r="E9">
        <f xml:space="preserve"> ( (F8-6)*E7 + (6-F7)*E8 ) / (F8 - F7)</f>
        <v>-7.3723012327364834E-2</v>
      </c>
      <c r="F9">
        <v>6.0000111486410219</v>
      </c>
      <c r="T9" s="4" t="s">
        <v>2191</v>
      </c>
      <c r="U9" cm="1">
        <f t="array" ref="U9:V9" xml:space="preserve"> 2 * (_IADB.Quartic_Z1 - _IADB.Quartic_Z0)</f>
        <v>17.962082874619625</v>
      </c>
      <c r="V9">
        <v>-21.953656846757312</v>
      </c>
      <c r="Z9" s="4" t="s">
        <v>2201</v>
      </c>
      <c r="AA9" cm="1">
        <f t="array" ref="AA9:AB9" xml:space="preserve"> 3 * (_IADB.Cubic_Z1 - _IADB.Cubic_Z0)</f>
        <v>-53.080444019364478</v>
      </c>
      <c r="AB9">
        <v>-13.270111004841119</v>
      </c>
    </row>
    <row r="10" spans="3:36">
      <c r="E10">
        <f xml:space="preserve"> ( (F9-6)*E8 + (6-F8)*E9 ) / (F9 - F8)</f>
        <v>-7.3722838915591796E-2</v>
      </c>
      <c r="F10">
        <v>5.999999999987641</v>
      </c>
      <c r="T10" s="4" t="s">
        <v>2192</v>
      </c>
      <c r="U10" cm="1">
        <f t="array" ref="U10:V10" xml:space="preserve"> _IADB.Quartic_Z2 + _IADB.Quartic_Z0 - 2*_IADB.Quartic_Z1</f>
        <v>-22.740311853500259</v>
      </c>
      <c r="V10">
        <v>7.5370108193310426</v>
      </c>
      <c r="Z10" s="4" t="s">
        <v>2202</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2209</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2218</v>
      </c>
      <c r="Z13" s="3" t="s">
        <v>2219</v>
      </c>
      <c r="AA13" s="3" t="s">
        <v>2220</v>
      </c>
      <c r="AB13" s="3" t="s">
        <v>2221</v>
      </c>
      <c r="AC13" s="3" t="s">
        <v>2222</v>
      </c>
      <c r="AG13" s="3" t="s">
        <v>2225</v>
      </c>
      <c r="AJ13" s="3" t="s">
        <v>2224</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2179</v>
      </c>
      <c r="D20" s="3" t="s">
        <v>2165</v>
      </c>
      <c r="E20" s="3" t="s">
        <v>2166</v>
      </c>
      <c r="F20" s="3" t="s">
        <v>2186</v>
      </c>
      <c r="I20" s="3" t="s">
        <v>2167</v>
      </c>
      <c r="S20" s="3" t="s">
        <v>2196</v>
      </c>
      <c r="T20" s="3" t="s">
        <v>2195</v>
      </c>
      <c r="U20" s="3" t="s">
        <v>2193</v>
      </c>
      <c r="V20" s="3" t="s">
        <v>2194</v>
      </c>
      <c r="Y20" s="3" t="s">
        <v>2203</v>
      </c>
      <c r="Z20" s="3" t="s">
        <v>2204</v>
      </c>
      <c r="AA20" s="3" t="s">
        <v>2205</v>
      </c>
      <c r="AB20" s="3" t="s">
        <v>2206</v>
      </c>
      <c r="AC20" s="3" t="s">
        <v>2207</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2182</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2183</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2184</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2185</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2223</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2184</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2183</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2185</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2223</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2169</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2171</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2168</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2170</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2172</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2173</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2174</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2175</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2176</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2177</v>
      </c>
      <c r="I50" s="5" t="s">
        <v>2088</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2211</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2178</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2210</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2213</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2214</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2215</v>
      </c>
      <c r="I57" s="5" t="s">
        <v>15</v>
      </c>
    </row>
    <row r="58" spans="3:29">
      <c r="C58" t="s">
        <v>2215</v>
      </c>
    </row>
    <row r="59" spans="3:29">
      <c r="C59" t="s">
        <v>2216</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2217</v>
      </c>
      <c r="E65">
        <f xml:space="preserve"> ($E23 - $E21) / ($D23 - $D21)</f>
        <v>0.14891581160113579</v>
      </c>
    </row>
    <row r="66" spans="3:5">
      <c r="C66" t="s">
        <v>2217</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2239</v>
      </c>
      <c r="D2" t="s">
        <v>2240</v>
      </c>
      <c r="E2" t="s">
        <v>2241</v>
      </c>
      <c r="G2" t="s">
        <v>2226</v>
      </c>
    </row>
    <row r="3" spans="2:7">
      <c r="C3" s="34">
        <v>8</v>
      </c>
      <c r="D3" s="34">
        <v>7</v>
      </c>
      <c r="E3" s="34">
        <v>2.5</v>
      </c>
      <c r="G3" s="34">
        <f xml:space="preserve"> DecimalPlaces - INT(LOG(_CoEDB.Radius_1, 10) + 0.2)</f>
        <v>4</v>
      </c>
    </row>
    <row r="5" spans="2:7" ht="17" thickBot="1">
      <c r="B5" s="3" t="s">
        <v>2242</v>
      </c>
      <c r="C5" s="3" t="s">
        <v>2243</v>
      </c>
      <c r="D5" s="3" t="s">
        <v>2227</v>
      </c>
      <c r="E5" s="3" t="s">
        <v>2228</v>
      </c>
      <c r="G5" s="3" t="s">
        <v>2229</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2231</v>
      </c>
      <c r="G26">
        <f xml:space="preserve"> _CoEDB.Radius_1</f>
        <v>8</v>
      </c>
    </row>
    <row r="27" spans="2:7">
      <c r="F27" s="4" t="s">
        <v>2233</v>
      </c>
      <c r="G27">
        <f xml:space="preserve"> _CoEDB.MaxX</f>
        <v>8</v>
      </c>
    </row>
    <row r="28" spans="2:7">
      <c r="F28" s="4" t="s">
        <v>2230</v>
      </c>
      <c r="G28">
        <f xml:space="preserve"> - G26</f>
        <v>-8</v>
      </c>
    </row>
    <row r="29" spans="2:7">
      <c r="F29" s="4" t="s">
        <v>2232</v>
      </c>
      <c r="G29">
        <f xml:space="preserve"> - G27</f>
        <v>-8</v>
      </c>
    </row>
    <row r="31" spans="2:7">
      <c r="F31" s="4" t="s">
        <v>2234</v>
      </c>
      <c r="G31" s="26">
        <f xml:space="preserve"> MODE(Circles.AreaMultiplier)</f>
        <v>1</v>
      </c>
    </row>
    <row r="32" spans="2:7">
      <c r="F32" s="4" t="s">
        <v>2235</v>
      </c>
      <c r="G32" cm="1">
        <f t="array" ref="G32" xml:space="preserve">  MAX(_CoEDB.MaxY, - _CoEDB.MinY)   /   MAX(_CoEDB.MaxX, - _CoEDB.MinX)</f>
        <v>1</v>
      </c>
    </row>
    <row r="33" spans="5:7">
      <c r="F33" s="4" t="s">
        <v>2236</v>
      </c>
      <c r="G33" cm="1">
        <f t="array" ref="G33" xml:space="preserve"> VALUE(TEXT(SQRT(_CoEDB.AreaMultiplier * BasicBBoxArea * _CoEDB.Aspect), SVG.NumberFormatHeight))</f>
        <v>15</v>
      </c>
    </row>
    <row r="34" spans="5:7">
      <c r="F34" s="4" t="s">
        <v>2237</v>
      </c>
      <c r="G34" cm="1">
        <f t="array" ref="G34" xml:space="preserve"> _CoEDB.Height / _CoEDB.Aspect</f>
        <v>15</v>
      </c>
    </row>
    <row r="36" spans="5:7">
      <c r="F36" s="4" t="s">
        <v>2244</v>
      </c>
      <c r="G36" s="5" t="s">
        <v>2246</v>
      </c>
    </row>
    <row r="37" spans="5:7">
      <c r="F37" s="4" t="s">
        <v>2245</v>
      </c>
      <c r="G37" s="5" t="s">
        <v>2088</v>
      </c>
    </row>
    <row r="39" spans="5:7" ht="17" thickBot="1">
      <c r="G39" s="3" t="s">
        <v>2238</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2089</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1763</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Q344"/>
  <sheetViews>
    <sheetView workbookViewId="0">
      <pane ySplit="2" topLeftCell="A3" activePane="bottomLeft" state="frozenSplit"/>
      <selection pane="bottomLeft" activeCell="B2" sqref="B2"/>
    </sheetView>
  </sheetViews>
  <sheetFormatPr baseColWidth="10" defaultRowHeight="16"/>
  <sheetData>
    <row r="2" spans="2:17" ht="17" thickBot="1">
      <c r="B2" s="3" t="s">
        <v>1828</v>
      </c>
      <c r="C2" s="3" t="s">
        <v>1829</v>
      </c>
      <c r="E2" s="3" t="s">
        <v>1830</v>
      </c>
      <c r="F2" s="3" t="s">
        <v>1831</v>
      </c>
      <c r="G2" s="3" t="s">
        <v>1984</v>
      </c>
      <c r="H2" s="3" t="s">
        <v>1832</v>
      </c>
      <c r="I2" s="3" t="s">
        <v>1833</v>
      </c>
      <c r="J2" s="3" t="s">
        <v>1834</v>
      </c>
      <c r="K2" s="3" t="s">
        <v>1835</v>
      </c>
    </row>
    <row r="3" spans="2:17">
      <c r="B3" t="s">
        <v>2</v>
      </c>
      <c r="C3" t="str">
        <f xml:space="preserve"> "000000"</f>
        <v>000000</v>
      </c>
      <c r="E3">
        <f t="shared" ref="E3" si="0" xml:space="preserve"> IF(AND(LEN(ChartLines.ID)&gt;0,"Unused"&lt;&gt;ChartLines.ID), COUNTIFS(ChartLines.ID,ChartLines.ID), "·")</f>
        <v>1</v>
      </c>
      <c r="F3">
        <f t="shared" ref="F3"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 si="2" xml:space="preserve"> IF(LEN(ChartLines.Hex6)=6, HEX2DEC(LEFT(ChartLines.Hex6, 2)), "·")</f>
        <v>0</v>
      </c>
      <c r="I3">
        <f t="shared" ref="I3" si="3" xml:space="preserve"> IF(LEN(ChartLines.Hex6)=6, HEX2DEC(MID(ChartLines.Hex6, 3, 2)), "·")</f>
        <v>0</v>
      </c>
      <c r="J3">
        <f t="shared" ref="J3" si="4" xml:space="preserve"> IF(LEN(ChartLines.Hex6)=6, HEX2DEC(RIGHT(ChartLines.Hex6, 2)), "·")</f>
        <v>0</v>
      </c>
      <c r="K3" cm="1">
        <f t="array" ref="K3" xml:space="preserve"> 1 + ROW() - _xlfn.SINGLE(ROW(ChartLines.RowNum))</f>
        <v>1</v>
      </c>
    </row>
    <row r="4" spans="2:17">
      <c r="B4" t="s">
        <v>1836</v>
      </c>
      <c r="E4" t="str">
        <f t="shared" ref="E4" si="5" xml:space="preserve"> IF(AND(LEN(ChartLines.ID)&gt;0,"Unused"&lt;&gt;ChartLines.ID), COUNTIFS(ChartLines.ID,ChartLines.ID), "·")</f>
        <v>·</v>
      </c>
      <c r="F4" t="str">
        <f t="shared" ref="F4" si="6" xml:space="preserve"> IF(AND(LEN(ChartLines.ID)&gt;0,"Unused"&lt;&gt;ChartLines.ID), COUNTIFS(ChartLines.ID,ChartLines.ID,   ChartLines.RowNum,"&lt;="&amp;ChartLines.RowNum), "·")</f>
        <v>·</v>
      </c>
      <c r="G4" t="str" cm="1">
        <f t="array" ref="G4" xml:space="preserve"> _xlfn.IFS(OR(LEN(_xlfn.SINGLE(ChartLines.ID))=0,"Unused"=_xlfn.SINGLE(ChartLines.ID)), "·",   1=_xlfn.SINGLE(ChartLines.NumInstances), IF("USD"=_xlfn.SINGLE(ChartLines.ID), "SoleBig", "SoleOrdinary"),   1=_xlfn.SINGLE(ChartLines.InstanceNum), "Outer",   TRUE, "Inner")</f>
        <v>·</v>
      </c>
      <c r="H4" t="str">
        <f t="shared" ref="H4" si="7" xml:space="preserve"> IF(LEN(ChartLines.Hex6)=6, HEX2DEC(LEFT(ChartLines.Hex6, 2)), "·")</f>
        <v>·</v>
      </c>
      <c r="I4" t="str">
        <f t="shared" ref="I4" si="8" xml:space="preserve"> IF(LEN(ChartLines.Hex6)=6, HEX2DEC(MID(ChartLines.Hex6, 3, 2)), "·")</f>
        <v>·</v>
      </c>
      <c r="J4" t="str">
        <f t="shared" ref="J4" si="9" xml:space="preserve"> IF(LEN(ChartLines.Hex6)=6, HEX2DEC(RIGHT(ChartLines.Hex6, 2)), "·")</f>
        <v>·</v>
      </c>
      <c r="K4" cm="1">
        <f t="array" ref="K4" xml:space="preserve"> 1 + ROW() - _xlfn.SINGLE(ROW(ChartLines.RowNum))</f>
        <v>2</v>
      </c>
    </row>
    <row r="5" spans="2:17">
      <c r="B5" t="s">
        <v>405</v>
      </c>
      <c r="C5" t="s">
        <v>1837</v>
      </c>
      <c r="E5">
        <f t="shared" ref="E5" si="10" xml:space="preserve"> IF(AND(LEN(ChartLines.ID)&gt;0,"Unused"&lt;&gt;ChartLines.ID), COUNTIFS(ChartLines.ID,ChartLines.ID), "·")</f>
        <v>1</v>
      </c>
      <c r="F5">
        <f t="shared" ref="F5" si="11" xml:space="preserve"> IF(AND(LEN(ChartLines.ID)&gt;0,"Unused"&lt;&gt;ChartLines.ID), COUNTIFS(ChartLines.ID,ChartLines.ID,   ChartLines.RowNum,"&lt;="&amp;ChartLines.RowNum), "·")</f>
        <v>1</v>
      </c>
      <c r="G5" t="str" cm="1">
        <f t="array" ref="G5" xml:space="preserve"> _xlfn.IFS(OR(LEN(_xlfn.SINGLE(ChartLines.ID))=0,"Unused"=_xlfn.SINGLE(ChartLines.ID)), "·",   1=_xlfn.SINGLE(ChartLines.NumInstances), IF("USD"=_xlfn.SINGLE(ChartLines.ID), "SoleBig", "SoleOrdinary"),   1=_xlfn.SINGLE(ChartLines.InstanceNum), "Outer",   TRUE, "Inner")</f>
        <v>SoleOrdinary</v>
      </c>
      <c r="H5">
        <f t="shared" ref="H5" si="12" xml:space="preserve"> IF(LEN(ChartLines.Hex6)=6, HEX2DEC(LEFT(ChartLines.Hex6, 2)), "·")</f>
        <v>255</v>
      </c>
      <c r="I5">
        <f t="shared" ref="I5" si="13" xml:space="preserve"> IF(LEN(ChartLines.Hex6)=6, HEX2DEC(MID(ChartLines.Hex6, 3, 2)), "·")</f>
        <v>51</v>
      </c>
      <c r="J5">
        <f t="shared" ref="J5" si="14" xml:space="preserve"> IF(LEN(ChartLines.Hex6)=6, HEX2DEC(RIGHT(ChartLines.Hex6, 2)), "·")</f>
        <v>255</v>
      </c>
      <c r="K5" cm="1">
        <f t="array" ref="K5" xml:space="preserve"> 1 + ROW() - _xlfn.SINGLE(ROW(ChartLines.RowNum))</f>
        <v>3</v>
      </c>
    </row>
    <row r="6" spans="2:17">
      <c r="B6" t="s">
        <v>1836</v>
      </c>
      <c r="E6" t="str">
        <f t="shared" ref="E6" si="15" xml:space="preserve"> IF(AND(LEN(ChartLines.ID)&gt;0,"Unused"&lt;&gt;ChartLines.ID), COUNTIFS(ChartLines.ID,ChartLines.ID), "·")</f>
        <v>·</v>
      </c>
      <c r="F6" t="str">
        <f t="shared" ref="F6" si="16" xml:space="preserve"> IF(AND(LEN(ChartLines.ID)&gt;0,"Unused"&lt;&gt;ChartLines.ID), COUNTIFS(ChartLines.ID,ChartLines.ID,   ChartLines.RowNum,"&lt;="&amp;ChartLines.RowNum), "·")</f>
        <v>·</v>
      </c>
      <c r="G6" t="str" cm="1">
        <f t="array" ref="G6" xml:space="preserve"> _xlfn.IFS(OR(LEN(_xlfn.SINGLE(ChartLines.ID))=0,"Unused"=_xlfn.SINGLE(ChartLines.ID)), "·",   1=_xlfn.SINGLE(ChartLines.NumInstances), IF("USD"=_xlfn.SINGLE(ChartLines.ID), "SoleBig", "SoleOrdinary"),   1=_xlfn.SINGLE(ChartLines.InstanceNum), "Outer",   TRUE, "Inner")</f>
        <v>·</v>
      </c>
      <c r="H6" t="str">
        <f t="shared" ref="H6" si="17" xml:space="preserve"> IF(LEN(ChartLines.Hex6)=6, HEX2DEC(LEFT(ChartLines.Hex6, 2)), "·")</f>
        <v>·</v>
      </c>
      <c r="I6" t="str">
        <f t="shared" ref="I6" si="18" xml:space="preserve"> IF(LEN(ChartLines.Hex6)=6, HEX2DEC(MID(ChartLines.Hex6, 3, 2)), "·")</f>
        <v>·</v>
      </c>
      <c r="J6" t="str">
        <f t="shared" ref="J6" si="19" xml:space="preserve"> IF(LEN(ChartLines.Hex6)=6, HEX2DEC(RIGHT(ChartLines.Hex6, 2)), "·")</f>
        <v>·</v>
      </c>
      <c r="K6" cm="1">
        <f t="array" ref="K6" xml:space="preserve"> 1 + ROW() - _xlfn.SINGLE(ROW(ChartLines.RowNum))</f>
        <v>4</v>
      </c>
    </row>
    <row r="7" spans="2:17">
      <c r="B7" t="s">
        <v>0</v>
      </c>
      <c r="C7" t="str">
        <f xml:space="preserve"> "012169"</f>
        <v>012169</v>
      </c>
      <c r="E7">
        <f t="shared" ref="E7" si="20" xml:space="preserve"> IF(AND(LEN(ChartLines.ID)&gt;0,"Unused"&lt;&gt;ChartLines.ID), COUNTIFS(ChartLines.ID,ChartLines.ID), "·")</f>
        <v>1</v>
      </c>
      <c r="F7">
        <f t="shared" ref="F7" si="21" xml:space="preserve"> IF(AND(LEN(ChartLines.ID)&gt;0,"Unused"&lt;&gt;ChartLines.ID), COUNTIFS(ChartLines.ID,ChartLines.ID,   ChartLines.RowNum,"&lt;="&amp;ChartLines.RowNum), "·")</f>
        <v>1</v>
      </c>
      <c r="G7" t="str" cm="1">
        <f t="array" ref="G7" xml:space="preserve"> _xlfn.IFS(OR(LEN(_xlfn.SINGLE(ChartLines.ID))=0,"Unused"=_xlfn.SINGLE(ChartLines.ID)), "·",   1=_xlfn.SINGLE(ChartLines.NumInstances), IF("USD"=_xlfn.SINGLE(ChartLines.ID), "SoleBig", "SoleOrdinary"),   1=_xlfn.SINGLE(ChartLines.InstanceNum), "Outer",   TRUE, "Inner")</f>
        <v>SoleOrdinary</v>
      </c>
      <c r="H7">
        <f t="shared" ref="H7" si="22" xml:space="preserve"> IF(LEN(ChartLines.Hex6)=6, HEX2DEC(LEFT(ChartLines.Hex6, 2)), "·")</f>
        <v>1</v>
      </c>
      <c r="I7">
        <f t="shared" ref="I7" si="23" xml:space="preserve"> IF(LEN(ChartLines.Hex6)=6, HEX2DEC(MID(ChartLines.Hex6, 3, 2)), "·")</f>
        <v>33</v>
      </c>
      <c r="J7">
        <f t="shared" ref="J7" si="24" xml:space="preserve"> IF(LEN(ChartLines.Hex6)=6, HEX2DEC(RIGHT(ChartLines.Hex6, 2)), "·")</f>
        <v>105</v>
      </c>
      <c r="K7" cm="1">
        <f t="array" ref="K7" xml:space="preserve"> 1 + ROW() - _xlfn.SINGLE(ROW(ChartLines.RowNum))</f>
        <v>5</v>
      </c>
      <c r="M7" s="4" t="s">
        <v>1982</v>
      </c>
      <c r="N7" t="s">
        <v>23</v>
      </c>
      <c r="O7" t="s">
        <v>24</v>
      </c>
      <c r="P7" t="s">
        <v>1986</v>
      </c>
      <c r="Q7" t="s">
        <v>1987</v>
      </c>
    </row>
    <row r="8" spans="2:17">
      <c r="B8" t="s">
        <v>1836</v>
      </c>
      <c r="E8" t="str">
        <f t="shared" ref="E8:E29" si="25" xml:space="preserve"> IF(AND(LEN(ChartLines.ID)&gt;0,"Unused"&lt;&gt;ChartLines.ID), COUNTIFS(ChartLines.ID,ChartLines.ID), "·")</f>
        <v>·</v>
      </c>
      <c r="F8" t="str">
        <f t="shared" ref="F8:F29" si="2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H29" si="27" xml:space="preserve"> IF(LEN(ChartLines.Hex6)=6, HEX2DEC(LEFT(ChartLines.Hex6, 2)), "·")</f>
        <v>·</v>
      </c>
      <c r="I8" t="str">
        <f t="shared" ref="I8:I29" si="28" xml:space="preserve"> IF(LEN(ChartLines.Hex6)=6, HEX2DEC(MID(ChartLines.Hex6, 3, 2)), "·")</f>
        <v>·</v>
      </c>
      <c r="J8" t="str">
        <f t="shared" ref="J8:J29" si="29" xml:space="preserve"> IF(LEN(ChartLines.Hex6)=6, HEX2DEC(RIGHT(ChartLines.Hex6, 2)), "·")</f>
        <v>·</v>
      </c>
      <c r="K8" cm="1">
        <f t="array" ref="K8" xml:space="preserve"> 1 + ROW() - _xlfn.SINGLE(ROW(ChartLines.RowNum))</f>
        <v>6</v>
      </c>
      <c r="M8" s="4" t="s">
        <v>1983</v>
      </c>
      <c r="N8">
        <v>3.6</v>
      </c>
      <c r="O8">
        <v>1.2</v>
      </c>
      <c r="P8">
        <f xml:space="preserve"> $N8 - $O8</f>
        <v>2.4000000000000004</v>
      </c>
      <c r="Q8">
        <f xml:space="preserve"> MAX($N8:$P8)</f>
        <v>3.6</v>
      </c>
    </row>
    <row r="9" spans="2:17">
      <c r="B9" t="s">
        <v>2255</v>
      </c>
      <c r="C9" t="str">
        <f xml:space="preserve"> "012169"</f>
        <v>012169</v>
      </c>
      <c r="E9">
        <f t="shared" si="25"/>
        <v>2</v>
      </c>
      <c r="F9">
        <f t="shared" si="26"/>
        <v>1</v>
      </c>
      <c r="G9" t="str" cm="1">
        <f t="array" ref="G9" xml:space="preserve"> _xlfn.IFS(OR(LEN(_xlfn.SINGLE(ChartLines.ID))=0,"Unused"=_xlfn.SINGLE(ChartLines.ID)), "·",   1=_xlfn.SINGLE(ChartLines.NumInstances), IF("USD"=_xlfn.SINGLE(ChartLines.ID), "SoleBig", "SoleOrdinary"),   1=_xlfn.SINGLE(ChartLines.InstanceNum), "Outer",   TRUE, "Inner")</f>
        <v>Outer</v>
      </c>
      <c r="H9">
        <f t="shared" si="27"/>
        <v>1</v>
      </c>
      <c r="I9">
        <f t="shared" si="28"/>
        <v>33</v>
      </c>
      <c r="J9">
        <f t="shared" si="29"/>
        <v>105</v>
      </c>
      <c r="K9" cm="1">
        <f t="array" ref="K9" xml:space="preserve"> 1 + ROW() - _xlfn.SINGLE(ROW(ChartLines.RowNum))</f>
        <v>7</v>
      </c>
      <c r="M9" s="4" t="s">
        <v>1988</v>
      </c>
      <c r="N9">
        <v>3</v>
      </c>
      <c r="O9">
        <v>1</v>
      </c>
      <c r="P9">
        <f xml:space="preserve"> $N9 - $O9</f>
        <v>2</v>
      </c>
      <c r="Q9">
        <f xml:space="preserve"> MAX($N9:$P9)</f>
        <v>3</v>
      </c>
    </row>
    <row r="10" spans="2:17">
      <c r="B10" t="s">
        <v>2255</v>
      </c>
      <c r="C10" t="s">
        <v>1840</v>
      </c>
      <c r="E10">
        <f t="shared" si="25"/>
        <v>2</v>
      </c>
      <c r="F10">
        <f t="shared" si="26"/>
        <v>2</v>
      </c>
      <c r="G10" t="str" cm="1">
        <f t="array" ref="G10" xml:space="preserve"> _xlfn.IFS(OR(LEN(_xlfn.SINGLE(ChartLines.ID))=0,"Unused"=_xlfn.SINGLE(ChartLines.ID)), "·",   1=_xlfn.SINGLE(ChartLines.NumInstances), IF("USD"=_xlfn.SINGLE(ChartLines.ID), "SoleBig", "SoleOrdinary"),   1=_xlfn.SINGLE(ChartLines.InstanceNum), "Outer",   TRUE, "Inner")</f>
        <v>Inner</v>
      </c>
      <c r="H10">
        <f t="shared" si="27"/>
        <v>255</v>
      </c>
      <c r="I10">
        <f t="shared" si="28"/>
        <v>255</v>
      </c>
      <c r="J10">
        <f t="shared" si="29"/>
        <v>255</v>
      </c>
      <c r="K10" cm="1">
        <f t="array" ref="K10" xml:space="preserve"> 1 + ROW() - _xlfn.SINGLE(ROW(ChartLines.RowNum))</f>
        <v>8</v>
      </c>
    </row>
    <row r="11" spans="2:17">
      <c r="B11" t="s">
        <v>2256</v>
      </c>
      <c r="C11" t="s">
        <v>1858</v>
      </c>
      <c r="E11">
        <f t="shared" si="25"/>
        <v>2</v>
      </c>
      <c r="F11">
        <f t="shared" si="26"/>
        <v>1</v>
      </c>
      <c r="G11" t="str" cm="1">
        <f t="array" ref="G11" xml:space="preserve"> _xlfn.IFS(OR(LEN(_xlfn.SINGLE(ChartLines.ID))=0,"Unused"=_xlfn.SINGLE(ChartLines.ID)), "·",   1=_xlfn.SINGLE(ChartLines.NumInstances), IF("USD"=_xlfn.SINGLE(ChartLines.ID), "SoleBig", "SoleOrdinary"),   1=_xlfn.SINGLE(ChartLines.InstanceNum), "Outer",   TRUE, "Inner")</f>
        <v>Outer</v>
      </c>
      <c r="H11">
        <f t="shared" si="27"/>
        <v>218</v>
      </c>
      <c r="I11">
        <f t="shared" si="28"/>
        <v>41</v>
      </c>
      <c r="J11">
        <f t="shared" si="29"/>
        <v>28</v>
      </c>
      <c r="K11" cm="1">
        <f t="array" ref="K11" xml:space="preserve"> 1 + ROW() - _xlfn.SINGLE(ROW(ChartLines.RowNum))</f>
        <v>9</v>
      </c>
      <c r="M11" s="4" t="s">
        <v>1985</v>
      </c>
      <c r="N11">
        <f xml:space="preserve"> _xlfn.MAXIFS(ChartLines_Thicknesses.StrokeWidth,   ChartLines_Thicknesses.StrokeWidth,"&gt;0")</f>
        <v>3.6</v>
      </c>
    </row>
    <row r="12" spans="2:17">
      <c r="B12" t="s">
        <v>2256</v>
      </c>
      <c r="C12" t="s">
        <v>1941</v>
      </c>
      <c r="E12">
        <f t="shared" si="25"/>
        <v>2</v>
      </c>
      <c r="F12">
        <f t="shared" si="26"/>
        <v>2</v>
      </c>
      <c r="G12" t="str" cm="1">
        <f t="array" ref="G12" xml:space="preserve"> _xlfn.IFS(OR(LEN(_xlfn.SINGLE(ChartLines.ID))=0,"Unused"=_xlfn.SINGLE(ChartLines.ID)), "·",   1=_xlfn.SINGLE(ChartLines.NumInstances), IF("USD"=_xlfn.SINGLE(ChartLines.ID), "SoleBig", "SoleOrdinary"),   1=_xlfn.SINGLE(ChartLines.InstanceNum), "Outer",   TRUE, "Inner")</f>
        <v>Inner</v>
      </c>
      <c r="H12">
        <f t="shared" si="27"/>
        <v>255</v>
      </c>
      <c r="I12">
        <f t="shared" si="28"/>
        <v>199</v>
      </c>
      <c r="J12">
        <f t="shared" si="29"/>
        <v>44</v>
      </c>
      <c r="K12" cm="1">
        <f t="array" ref="K12" xml:space="preserve"> 1 + ROW() - _xlfn.SINGLE(ROW(ChartLines.RowNum))</f>
        <v>10</v>
      </c>
      <c r="M12" s="4" t="s">
        <v>1959</v>
      </c>
      <c r="N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c r="B13" t="s">
        <v>2257</v>
      </c>
      <c r="C13" t="s">
        <v>1845</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200</v>
      </c>
      <c r="I13">
        <f t="shared" si="28"/>
        <v>16</v>
      </c>
      <c r="J13">
        <f t="shared" si="29"/>
        <v>46</v>
      </c>
      <c r="K13" cm="1">
        <f t="array" ref="K13" xml:space="preserve"> 1 + ROW() - _xlfn.SINGLE(ROW(ChartLines.RowNum))</f>
        <v>11</v>
      </c>
      <c r="M13" s="4" t="s">
        <v>1956</v>
      </c>
      <c r="N13" s="5" t="s">
        <v>1957</v>
      </c>
    </row>
    <row r="14" spans="2:17">
      <c r="B14" t="s">
        <v>2257</v>
      </c>
      <c r="C14" t="s">
        <v>1840</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1958</v>
      </c>
      <c r="N14" s="5" t="s">
        <v>15</v>
      </c>
    </row>
    <row r="15" spans="2:17">
      <c r="B15" t="s">
        <v>2258</v>
      </c>
      <c r="C15" t="s">
        <v>2254</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0</v>
      </c>
      <c r="I15">
        <f t="shared" si="28"/>
        <v>177</v>
      </c>
      <c r="J15">
        <f t="shared" si="29"/>
        <v>64</v>
      </c>
      <c r="K15" cm="1">
        <f t="array" ref="K15" xml:space="preserve"> 1 + ROW() - _xlfn.SINGLE(ROW(ChartLines.RowNum))</f>
        <v>13</v>
      </c>
    </row>
    <row r="16" spans="2:17">
      <c r="B16" t="s">
        <v>2258</v>
      </c>
      <c r="C16" t="s">
        <v>1845</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200</v>
      </c>
      <c r="I16">
        <f t="shared" si="28"/>
        <v>16</v>
      </c>
      <c r="J16">
        <f t="shared" si="29"/>
        <v>46</v>
      </c>
      <c r="K16" cm="1">
        <f t="array" ref="K16" xml:space="preserve"> 1 + ROW() - _xlfn.SINGLE(ROW(ChartLines.RowNum))</f>
        <v>14</v>
      </c>
    </row>
    <row r="17" spans="2:11">
      <c r="B17" t="s">
        <v>2259</v>
      </c>
      <c r="C17" t="s">
        <v>1845</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1">
      <c r="B18" t="s">
        <v>2259</v>
      </c>
      <c r="C18" t="s">
        <v>2254</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0</v>
      </c>
      <c r="I18">
        <f t="shared" si="28"/>
        <v>177</v>
      </c>
      <c r="J18">
        <f t="shared" si="29"/>
        <v>64</v>
      </c>
      <c r="K18" cm="1">
        <f t="array" ref="K18" xml:space="preserve"> 1 + ROW() - _xlfn.SINGLE(ROW(ChartLines.RowNum))</f>
        <v>16</v>
      </c>
    </row>
    <row r="19" spans="2:11">
      <c r="B19" t="s">
        <v>7</v>
      </c>
      <c r="C19" t="s">
        <v>1838</v>
      </c>
      <c r="E19">
        <f t="shared" si="25"/>
        <v>1</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SoleOrdinary</v>
      </c>
      <c r="H19">
        <f t="shared" si="27"/>
        <v>239</v>
      </c>
      <c r="I19">
        <f t="shared" si="28"/>
        <v>51</v>
      </c>
      <c r="J19">
        <f t="shared" si="29"/>
        <v>64</v>
      </c>
      <c r="K19" cm="1">
        <f t="array" ref="K19" xml:space="preserve"> 1 + ROW() - _xlfn.SINGLE(ROW(ChartLines.RowNum))</f>
        <v>17</v>
      </c>
    </row>
    <row r="20" spans="2:11">
      <c r="B20" t="s">
        <v>1836</v>
      </c>
      <c r="E20" t="str">
        <f t="shared" si="25"/>
        <v>·</v>
      </c>
      <c r="F20" t="str">
        <f t="shared" si="26"/>
        <v>·</v>
      </c>
      <c r="G20" t="str" cm="1">
        <f t="array" ref="G20" xml:space="preserve"> _xlfn.IFS(OR(LEN(_xlfn.SINGLE(ChartLines.ID))=0,"Unused"=_xlfn.SINGLE(ChartLines.ID)), "·",   1=_xlfn.SINGLE(ChartLines.NumInstances), IF("USD"=_xlfn.SINGLE(ChartLines.ID), "SoleBig", "SoleOrdinary"),   1=_xlfn.SINGLE(ChartLines.InstanceNum), "Outer",   TRUE, "Inner")</f>
        <v>·</v>
      </c>
      <c r="H20" t="str">
        <f t="shared" si="27"/>
        <v>·</v>
      </c>
      <c r="I20" t="str">
        <f t="shared" si="28"/>
        <v>·</v>
      </c>
      <c r="J20" t="str">
        <f t="shared" si="29"/>
        <v>·</v>
      </c>
      <c r="K20" cm="1">
        <f t="array" ref="K20" xml:space="preserve"> 1 + ROW() - _xlfn.SINGLE(ROW(ChartLines.RowNum))</f>
        <v>18</v>
      </c>
    </row>
    <row r="21" spans="2:11">
      <c r="B21" t="s">
        <v>1539</v>
      </c>
      <c r="C21" t="s">
        <v>1839</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255</v>
      </c>
      <c r="I21">
        <f t="shared" si="28"/>
        <v>0</v>
      </c>
      <c r="J21">
        <f t="shared" si="29"/>
        <v>0</v>
      </c>
      <c r="K21" cm="1">
        <f t="array" ref="K21" xml:space="preserve"> 1 + ROW() - _xlfn.SINGLE(ROW(ChartLines.RowNum))</f>
        <v>19</v>
      </c>
    </row>
    <row r="22" spans="2:11">
      <c r="B22" t="s">
        <v>1539</v>
      </c>
      <c r="C22" t="s">
        <v>1840</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255</v>
      </c>
      <c r="I22">
        <f t="shared" si="28"/>
        <v>255</v>
      </c>
      <c r="J22">
        <f t="shared" si="29"/>
        <v>255</v>
      </c>
      <c r="K22" cm="1">
        <f t="array" ref="K22" xml:space="preserve"> 1 + ROW() - _xlfn.SINGLE(ROW(ChartLines.RowNum))</f>
        <v>20</v>
      </c>
    </row>
    <row r="23" spans="2:11">
      <c r="B23" t="s">
        <v>2282</v>
      </c>
      <c r="C23" t="s">
        <v>1839</v>
      </c>
      <c r="E23">
        <f t="shared" si="25"/>
        <v>2</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Outer</v>
      </c>
      <c r="H23">
        <f t="shared" si="27"/>
        <v>255</v>
      </c>
      <c r="I23">
        <f t="shared" si="28"/>
        <v>0</v>
      </c>
      <c r="J23">
        <f t="shared" si="29"/>
        <v>0</v>
      </c>
      <c r="K23" cm="1">
        <f t="array" ref="K23" xml:space="preserve"> 1 + ROW() - _xlfn.SINGLE(ROW(ChartLines.RowNum))</f>
        <v>21</v>
      </c>
    </row>
    <row r="24" spans="2:11">
      <c r="B24" t="s">
        <v>2282</v>
      </c>
      <c r="C24" t="s">
        <v>2289</v>
      </c>
      <c r="E24">
        <f t="shared" si="25"/>
        <v>2</v>
      </c>
      <c r="F24">
        <f t="shared" si="26"/>
        <v>2</v>
      </c>
      <c r="G24" t="str" cm="1">
        <f t="array" ref="G24" xml:space="preserve"> _xlfn.IFS(OR(LEN(_xlfn.SINGLE(ChartLines.ID))=0,"Unused"=_xlfn.SINGLE(ChartLines.ID)), "·",   1=_xlfn.SINGLE(ChartLines.NumInstances), IF("USD"=_xlfn.SINGLE(ChartLines.ID), "SoleBig", "SoleOrdinary"),   1=_xlfn.SINGLE(ChartLines.InstanceNum), "Outer",   TRUE, "Inner")</f>
        <v>Inner</v>
      </c>
      <c r="H24">
        <f t="shared" si="27"/>
        <v>102</v>
      </c>
      <c r="I24">
        <f t="shared" si="28"/>
        <v>204</v>
      </c>
      <c r="J24">
        <f t="shared" si="29"/>
        <v>102</v>
      </c>
      <c r="K24" cm="1">
        <f t="array" ref="K24" xml:space="preserve"> 1 + ROW() - _xlfn.SINGLE(ROW(ChartLines.RowNum))</f>
        <v>22</v>
      </c>
    </row>
    <row r="25" spans="2:11">
      <c r="B25" t="s">
        <v>1841</v>
      </c>
      <c r="C25" t="s">
        <v>1839</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1">
      <c r="B26" t="s">
        <v>1841</v>
      </c>
      <c r="C26" t="str">
        <f xml:space="preserve"> "000000"</f>
        <v>000000</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0</v>
      </c>
      <c r="I26">
        <f t="shared" si="28"/>
        <v>0</v>
      </c>
      <c r="J26">
        <f t="shared" si="29"/>
        <v>0</v>
      </c>
      <c r="K26" cm="1">
        <f t="array" ref="K26" xml:space="preserve"> 1 + ROW() - _xlfn.SINGLE(ROW(ChartLines.RowNum))</f>
        <v>24</v>
      </c>
    </row>
    <row r="27" spans="2:11">
      <c r="B27" t="s">
        <v>2300</v>
      </c>
      <c r="C27" t="s">
        <v>1839</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1">
      <c r="B28" t="s">
        <v>2300</v>
      </c>
      <c r="C28" t="str">
        <f xml:space="preserve"> "666666"</f>
        <v>666666</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102</v>
      </c>
      <c r="J28">
        <f t="shared" si="29"/>
        <v>102</v>
      </c>
      <c r="K28" cm="1">
        <f t="array" ref="K28" xml:space="preserve"> 1 + ROW() - _xlfn.SINGLE(ROW(ChartLines.RowNum))</f>
        <v>26</v>
      </c>
    </row>
    <row r="29" spans="2:11">
      <c r="B29" t="s">
        <v>1842</v>
      </c>
      <c r="C29" t="s">
        <v>1843</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0</v>
      </c>
      <c r="I29">
        <f t="shared" si="28"/>
        <v>132</v>
      </c>
      <c r="J29">
        <f t="shared" si="29"/>
        <v>61</v>
      </c>
      <c r="K29" cm="1">
        <f t="array" ref="K29" xml:space="preserve"> 1 + ROW() - _xlfn.SINGLE(ROW(ChartLines.RowNum))</f>
        <v>27</v>
      </c>
    </row>
    <row r="30" spans="2:11">
      <c r="B30" t="s">
        <v>1842</v>
      </c>
      <c r="C30" t="s">
        <v>1844</v>
      </c>
      <c r="E30">
        <f t="shared" ref="E30" si="30" xml:space="preserve"> IF(AND(LEN(ChartLines.ID)&gt;0,"Unused"&lt;&gt;ChartLines.ID), COUNTIFS(ChartLines.ID,ChartLines.ID), "·")</f>
        <v>2</v>
      </c>
      <c r="F30">
        <f t="shared" ref="F30" si="31" xml:space="preserve"> IF(AND(LEN(ChartLines.ID)&gt;0,"Unused"&lt;&gt;ChartLines.ID), COUNTIFS(ChartLines.ID,ChartLines.ID,   ChartLines.RowNum,"&lt;="&amp;ChartLines.RowNum), "·")</f>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ref="H30" si="32" xml:space="preserve"> IF(LEN(ChartLines.Hex6)=6, HEX2DEC(LEFT(ChartLines.Hex6, 2)), "·")</f>
        <v>255</v>
      </c>
      <c r="I30">
        <f t="shared" ref="I30" si="33" xml:space="preserve"> IF(LEN(ChartLines.Hex6)=6, HEX2DEC(MID(ChartLines.Hex6, 3, 2)), "·")</f>
        <v>205</v>
      </c>
      <c r="J30">
        <f t="shared" ref="J30" si="34" xml:space="preserve"> IF(LEN(ChartLines.Hex6)=6, HEX2DEC(RIGHT(ChartLines.Hex6, 2)), "·")</f>
        <v>0</v>
      </c>
      <c r="K30" cm="1">
        <f t="array" ref="K30" xml:space="preserve"> 1 + ROW() - _xlfn.SINGLE(ROW(ChartLines.RowNum))</f>
        <v>28</v>
      </c>
    </row>
    <row r="31" spans="2:11">
      <c r="B31" t="s">
        <v>122</v>
      </c>
      <c r="C31" t="str">
        <f xml:space="preserve"> "012169"</f>
        <v>012169</v>
      </c>
      <c r="E31">
        <f t="shared" ref="E31" si="35" xml:space="preserve"> IF(AND(LEN(ChartLines.ID)&gt;0,"Unused"&lt;&gt;ChartLines.ID), COUNTIFS(ChartLines.ID,ChartLines.ID), "·")</f>
        <v>2</v>
      </c>
      <c r="F31">
        <f t="shared" ref="F31" si="36" xml:space="preserve"> IF(AND(LEN(ChartLines.ID)&gt;0,"Unused"&lt;&gt;ChartLines.ID), COUNTIFS(ChartLines.ID,ChartLines.ID,   ChartLines.RowNum,"&lt;="&amp;ChartLines.RowNum), "·")</f>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ref="H31" si="37" xml:space="preserve"> IF(LEN(ChartLines.Hex6)=6, HEX2DEC(LEFT(ChartLines.Hex6, 2)), "·")</f>
        <v>1</v>
      </c>
      <c r="I31">
        <f t="shared" ref="I31" si="38" xml:space="preserve"> IF(LEN(ChartLines.Hex6)=6, HEX2DEC(MID(ChartLines.Hex6, 3, 2)), "·")</f>
        <v>33</v>
      </c>
      <c r="J31">
        <f t="shared" ref="J31" si="39" xml:space="preserve"> IF(LEN(ChartLines.Hex6)=6, HEX2DEC(RIGHT(ChartLines.Hex6, 2)), "·")</f>
        <v>105</v>
      </c>
      <c r="K31" cm="1">
        <f t="array" ref="K31" xml:space="preserve"> 1 + ROW() - _xlfn.SINGLE(ROW(ChartLines.RowNum))</f>
        <v>29</v>
      </c>
    </row>
    <row r="32" spans="2:11">
      <c r="B32" t="s">
        <v>122</v>
      </c>
      <c r="C32" t="s">
        <v>1845</v>
      </c>
      <c r="E32">
        <f t="shared" ref="E32" si="40" xml:space="preserve"> IF(AND(LEN(ChartLines.ID)&gt;0,"Unused"&lt;&gt;ChartLines.ID), COUNTIFS(ChartLines.ID,ChartLines.ID), "·")</f>
        <v>2</v>
      </c>
      <c r="F32">
        <f t="shared" ref="F32" si="41" xml:space="preserve"> IF(AND(LEN(ChartLines.ID)&gt;0,"Unused"&lt;&gt;ChartLines.ID), COUNTIFS(ChartLines.ID,ChartLines.ID,   ChartLines.RowNum,"&lt;="&amp;ChartLines.RowNum), "·")</f>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ref="H32" si="42" xml:space="preserve"> IF(LEN(ChartLines.Hex6)=6, HEX2DEC(LEFT(ChartLines.Hex6, 2)), "·")</f>
        <v>200</v>
      </c>
      <c r="I32">
        <f t="shared" ref="I32" si="43" xml:space="preserve"> IF(LEN(ChartLines.Hex6)=6, HEX2DEC(MID(ChartLines.Hex6, 3, 2)), "·")</f>
        <v>16</v>
      </c>
      <c r="J32">
        <f t="shared" ref="J32" si="44" xml:space="preserve"> IF(LEN(ChartLines.Hex6)=6, HEX2DEC(RIGHT(ChartLines.Hex6, 2)), "·")</f>
        <v>46</v>
      </c>
      <c r="K32" cm="1">
        <f t="array" ref="K32" xml:space="preserve"> 1 + ROW() - _xlfn.SINGLE(ROW(ChartLines.RowNum))</f>
        <v>30</v>
      </c>
    </row>
    <row r="33" spans="2:11">
      <c r="B33" t="s">
        <v>126</v>
      </c>
      <c r="C33" t="str">
        <f xml:space="preserve"> "004B87"</f>
        <v>004B87</v>
      </c>
      <c r="E33">
        <f t="shared" ref="E33" si="45" xml:space="preserve"> IF(AND(LEN(ChartLines.ID)&gt;0,"Unused"&lt;&gt;ChartLines.ID), COUNTIFS(ChartLines.ID,ChartLines.ID), "·")</f>
        <v>2</v>
      </c>
      <c r="F33">
        <f t="shared" ref="F33" si="46" xml:space="preserve"> IF(AND(LEN(ChartLines.ID)&gt;0,"Unused"&lt;&gt;ChartLines.ID), COUNTIFS(ChartLines.ID,ChartLines.ID,   ChartLines.RowNum,"&lt;="&amp;ChartLines.RowNum), "·")</f>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ref="H33" si="47" xml:space="preserve"> IF(LEN(ChartLines.Hex6)=6, HEX2DEC(LEFT(ChartLines.Hex6, 2)), "·")</f>
        <v>0</v>
      </c>
      <c r="I33">
        <f t="shared" ref="I33" si="48" xml:space="preserve"> IF(LEN(ChartLines.Hex6)=6, HEX2DEC(MID(ChartLines.Hex6, 3, 2)), "·")</f>
        <v>75</v>
      </c>
      <c r="J33">
        <f t="shared" ref="J33" si="49" xml:space="preserve"> IF(LEN(ChartLines.Hex6)=6, HEX2DEC(RIGHT(ChartLines.Hex6, 2)), "·")</f>
        <v>135</v>
      </c>
      <c r="K33" cm="1">
        <f t="array" ref="K33" xml:space="preserve"> 1 + ROW() - _xlfn.SINGLE(ROW(ChartLines.RowNum))</f>
        <v>31</v>
      </c>
    </row>
    <row r="34" spans="2:11">
      <c r="B34" t="s">
        <v>126</v>
      </c>
      <c r="C34" t="s">
        <v>1846</v>
      </c>
      <c r="E34">
        <f t="shared" ref="E34" si="50" xml:space="preserve"> IF(AND(LEN(ChartLines.ID)&gt;0,"Unused"&lt;&gt;ChartLines.ID), COUNTIFS(ChartLines.ID,ChartLines.ID), "·")</f>
        <v>2</v>
      </c>
      <c r="F34">
        <f t="shared" ref="F34" si="5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52" xml:space="preserve"> IF(LEN(ChartLines.Hex6)=6, HEX2DEC(LEFT(ChartLines.Hex6, 2)), "·")</f>
        <v>255</v>
      </c>
      <c r="I34">
        <f t="shared" ref="I34" si="53" xml:space="preserve"> IF(LEN(ChartLines.Hex6)=6, HEX2DEC(MID(ChartLines.Hex6, 3, 2)), "·")</f>
        <v>209</v>
      </c>
      <c r="J34">
        <f t="shared" ref="J34" si="54" xml:space="preserve"> IF(LEN(ChartLines.Hex6)=6, HEX2DEC(RIGHT(ChartLines.Hex6, 2)), "·")</f>
        <v>0</v>
      </c>
      <c r="K34" cm="1">
        <f t="array" ref="K34" xml:space="preserve"> 1 + ROW() - _xlfn.SINGLE(ROW(ChartLines.RowNum))</f>
        <v>32</v>
      </c>
    </row>
    <row r="35" spans="2:11">
      <c r="B35" t="s">
        <v>128</v>
      </c>
      <c r="C35" t="s">
        <v>1847</v>
      </c>
      <c r="E35">
        <f t="shared" ref="E35" si="55" xml:space="preserve"> IF(AND(LEN(ChartLines.ID)&gt;0,"Unused"&lt;&gt;ChartLines.ID), COUNTIFS(ChartLines.ID,ChartLines.ID), "·")</f>
        <v>2</v>
      </c>
      <c r="F35">
        <f t="shared" ref="F35" si="5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57" xml:space="preserve"> IF(LEN(ChartLines.Hex6)=6, HEX2DEC(LEFT(ChartLines.Hex6, 2)), "·")</f>
        <v>186</v>
      </c>
      <c r="I35">
        <f t="shared" ref="I35" si="58" xml:space="preserve"> IF(LEN(ChartLines.Hex6)=6, HEX2DEC(MID(ChartLines.Hex6, 3, 2)), "·")</f>
        <v>12</v>
      </c>
      <c r="J35">
        <f t="shared" ref="J35" si="59" xml:space="preserve"> IF(LEN(ChartLines.Hex6)=6, HEX2DEC(RIGHT(ChartLines.Hex6, 2)), "·")</f>
        <v>47</v>
      </c>
      <c r="K35" cm="1">
        <f t="array" ref="K35" xml:space="preserve"> 1 + ROW() - _xlfn.SINGLE(ROW(ChartLines.RowNum))</f>
        <v>33</v>
      </c>
    </row>
    <row r="36" spans="2:11">
      <c r="B36" t="s">
        <v>128</v>
      </c>
      <c r="C36" t="s">
        <v>1848</v>
      </c>
      <c r="E36">
        <f t="shared" ref="E36" si="60" xml:space="preserve"> IF(AND(LEN(ChartLines.ID)&gt;0,"Unused"&lt;&gt;ChartLines.ID), COUNTIFS(ChartLines.ID,ChartLines.ID), "·")</f>
        <v>2</v>
      </c>
      <c r="F36">
        <f t="shared" ref="F36" si="6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62" xml:space="preserve"> IF(LEN(ChartLines.Hex6)=6, HEX2DEC(LEFT(ChartLines.Hex6, 2)), "·")</f>
        <v>0</v>
      </c>
      <c r="I36">
        <f t="shared" ref="I36" si="63" xml:space="preserve"> IF(LEN(ChartLines.Hex6)=6, HEX2DEC(MID(ChartLines.Hex6, 3, 2)), "·")</f>
        <v>32</v>
      </c>
      <c r="J36">
        <f t="shared" ref="J36" si="64" xml:space="preserve"> IF(LEN(ChartLines.Hex6)=6, HEX2DEC(RIGHT(ChartLines.Hex6, 2)), "·")</f>
        <v>91</v>
      </c>
      <c r="K36" cm="1">
        <f t="array" ref="K36" xml:space="preserve"> 1 + ROW() - _xlfn.SINGLE(ROW(ChartLines.RowNum))</f>
        <v>34</v>
      </c>
    </row>
    <row r="37" spans="2:11">
      <c r="E37" t="str">
        <f t="shared" ref="E37" si="65" xml:space="preserve"> IF(AND(LEN(ChartLines.ID)&gt;0,"Unused"&lt;&gt;ChartLines.ID), COUNTIFS(ChartLines.ID,ChartLines.ID), "·")</f>
        <v>·</v>
      </c>
      <c r="F37" t="str">
        <f t="shared" ref="F37" si="66" xml:space="preserve"> IF(AND(LEN(ChartLines.ID)&gt;0,"Unused"&lt;&gt;ChartLines.ID), COUNTIFS(ChartLines.ID,ChartLines.ID,   ChartLines.RowNum,"&lt;="&amp;ChartLines.RowNum), "·")</f>
        <v>·</v>
      </c>
      <c r="G37" t="str" cm="1">
        <f t="array" ref="G37" xml:space="preserve"> _xlfn.IFS(OR(LEN(_xlfn.SINGLE(ChartLines.ID))=0,"Unused"=_xlfn.SINGLE(ChartLines.ID)), "·",   1=_xlfn.SINGLE(ChartLines.NumInstances), IF("USD"=_xlfn.SINGLE(ChartLines.ID), "SoleBig", "SoleOrdinary"),   1=_xlfn.SINGLE(ChartLines.InstanceNum), "Outer",   TRUE, "Inner")</f>
        <v>·</v>
      </c>
      <c r="H37" t="str">
        <f t="shared" ref="H37" si="67" xml:space="preserve"> IF(LEN(ChartLines.Hex6)=6, HEX2DEC(LEFT(ChartLines.Hex6, 2)), "·")</f>
        <v>·</v>
      </c>
      <c r="I37" t="str">
        <f t="shared" ref="I37" si="68" xml:space="preserve"> IF(LEN(ChartLines.Hex6)=6, HEX2DEC(MID(ChartLines.Hex6, 3, 2)), "·")</f>
        <v>·</v>
      </c>
      <c r="J37" t="str">
        <f t="shared" ref="J37" si="69" xml:space="preserve"> IF(LEN(ChartLines.Hex6)=6, HEX2DEC(RIGHT(ChartLines.Hex6, 2)), "·")</f>
        <v>·</v>
      </c>
      <c r="K37" cm="1">
        <f t="array" ref="K37" xml:space="preserve"> 1 + ROW() - _xlfn.SINGLE(ROW(ChartLines.RowNum))</f>
        <v>35</v>
      </c>
    </row>
    <row r="38" spans="2:11">
      <c r="B38" t="s">
        <v>794</v>
      </c>
      <c r="C38" t="s">
        <v>1837</v>
      </c>
      <c r="E38">
        <f t="shared" ref="E38" si="70" xml:space="preserve"> IF(AND(LEN(ChartLines.ID)&gt;0,"Unused"&lt;&gt;ChartLines.ID), COUNTIFS(ChartLines.ID,ChartLines.ID), "·")</f>
        <v>2</v>
      </c>
      <c r="F38">
        <f t="shared" ref="F38" si="71" xml:space="preserve"> IF(AND(LEN(ChartLines.ID)&gt;0,"Unused"&lt;&gt;ChartLines.ID), COUNTIFS(ChartLines.ID,ChartLines.ID,   ChartLines.RowNum,"&lt;="&amp;ChartLines.RowNum), "·")</f>
        <v>1</v>
      </c>
      <c r="G38" t="str" cm="1">
        <f t="array" ref="G38" xml:space="preserve"> _xlfn.IFS(OR(LEN(_xlfn.SINGLE(ChartLines.ID))=0,"Unused"=_xlfn.SINGLE(ChartLines.ID)), "·",   1=_xlfn.SINGLE(ChartLines.NumInstances), IF("USD"=_xlfn.SINGLE(ChartLines.ID), "SoleBig", "SoleOrdinary"),   1=_xlfn.SINGLE(ChartLines.InstanceNum), "Outer",   TRUE, "Inner")</f>
        <v>Outer</v>
      </c>
      <c r="H38">
        <f t="shared" ref="H38" si="72" xml:space="preserve"> IF(LEN(ChartLines.Hex6)=6, HEX2DEC(LEFT(ChartLines.Hex6, 2)), "·")</f>
        <v>255</v>
      </c>
      <c r="I38">
        <f t="shared" ref="I38" si="73" xml:space="preserve"> IF(LEN(ChartLines.Hex6)=6, HEX2DEC(MID(ChartLines.Hex6, 3, 2)), "·")</f>
        <v>51</v>
      </c>
      <c r="J38">
        <f t="shared" ref="J38" si="74" xml:space="preserve"> IF(LEN(ChartLines.Hex6)=6, HEX2DEC(RIGHT(ChartLines.Hex6, 2)), "·")</f>
        <v>255</v>
      </c>
      <c r="K38" cm="1">
        <f t="array" ref="K38" xml:space="preserve"> 1 + ROW() - _xlfn.SINGLE(ROW(ChartLines.RowNum))</f>
        <v>36</v>
      </c>
    </row>
    <row r="39" spans="2:11">
      <c r="B39" t="s">
        <v>794</v>
      </c>
      <c r="C39" t="s">
        <v>1840</v>
      </c>
      <c r="E39">
        <f t="shared" ref="E39" si="75" xml:space="preserve"> IF(AND(LEN(ChartLines.ID)&gt;0,"Unused"&lt;&gt;ChartLines.ID), COUNTIFS(ChartLines.ID,ChartLines.ID), "·")</f>
        <v>2</v>
      </c>
      <c r="F39">
        <f t="shared" ref="F39" si="76" xml:space="preserve"> IF(AND(LEN(ChartLines.ID)&gt;0,"Unused"&lt;&gt;ChartLines.ID), COUNTIFS(ChartLines.ID,ChartLines.ID,   ChartLines.RowNum,"&lt;="&amp;ChartLines.RowNum), "·")</f>
        <v>2</v>
      </c>
      <c r="G39" t="str" cm="1">
        <f t="array" ref="G39" xml:space="preserve"> _xlfn.IFS(OR(LEN(_xlfn.SINGLE(ChartLines.ID))=0,"Unused"=_xlfn.SINGLE(ChartLines.ID)), "·",   1=_xlfn.SINGLE(ChartLines.NumInstances), IF("USD"=_xlfn.SINGLE(ChartLines.ID), "SoleBig", "SoleOrdinary"),   1=_xlfn.SINGLE(ChartLines.InstanceNum), "Outer",   TRUE, "Inner")</f>
        <v>Inner</v>
      </c>
      <c r="H39">
        <f t="shared" ref="H39" si="77" xml:space="preserve"> IF(LEN(ChartLines.Hex6)=6, HEX2DEC(LEFT(ChartLines.Hex6, 2)), "·")</f>
        <v>255</v>
      </c>
      <c r="I39">
        <f t="shared" ref="I39" si="78" xml:space="preserve"> IF(LEN(ChartLines.Hex6)=6, HEX2DEC(MID(ChartLines.Hex6, 3, 2)), "·")</f>
        <v>255</v>
      </c>
      <c r="J39">
        <f t="shared" ref="J39" si="79" xml:space="preserve"> IF(LEN(ChartLines.Hex6)=6, HEX2DEC(RIGHT(ChartLines.Hex6, 2)), "·")</f>
        <v>255</v>
      </c>
      <c r="K39" cm="1">
        <f t="array" ref="K39" xml:space="preserve"> 1 + ROW() - _xlfn.SINGLE(ROW(ChartLines.RowNum))</f>
        <v>37</v>
      </c>
    </row>
    <row r="40" spans="2:11">
      <c r="B40" t="s">
        <v>796</v>
      </c>
      <c r="C40" t="str">
        <f xml:space="preserve"> "000000"</f>
        <v>000000</v>
      </c>
      <c r="E40">
        <f t="shared" ref="E40" si="80" xml:space="preserve"> IF(AND(LEN(ChartLines.ID)&gt;0,"Unused"&lt;&gt;ChartLines.ID), COUNTIFS(ChartLines.ID,ChartLines.ID), "·")</f>
        <v>2</v>
      </c>
      <c r="F40">
        <f t="shared" ref="F40" si="81" xml:space="preserve"> IF(AND(LEN(ChartLines.ID)&gt;0,"Unused"&lt;&gt;ChartLines.ID), COUNTIFS(ChartLines.ID,ChartLines.ID,   ChartLines.RowNum,"&lt;="&amp;ChartLines.RowNum), "·")</f>
        <v>1</v>
      </c>
      <c r="G40" t="str" cm="1">
        <f t="array" ref="G40" xml:space="preserve"> _xlfn.IFS(OR(LEN(_xlfn.SINGLE(ChartLines.ID))=0,"Unused"=_xlfn.SINGLE(ChartLines.ID)), "·",   1=_xlfn.SINGLE(ChartLines.NumInstances), IF("USD"=_xlfn.SINGLE(ChartLines.ID), "SoleBig", "SoleOrdinary"),   1=_xlfn.SINGLE(ChartLines.InstanceNum), "Outer",   TRUE, "Inner")</f>
        <v>Outer</v>
      </c>
      <c r="H40">
        <f t="shared" ref="H40" si="82" xml:space="preserve"> IF(LEN(ChartLines.Hex6)=6, HEX2DEC(LEFT(ChartLines.Hex6, 2)), "·")</f>
        <v>0</v>
      </c>
      <c r="I40">
        <f t="shared" ref="I40" si="83" xml:space="preserve"> IF(LEN(ChartLines.Hex6)=6, HEX2DEC(MID(ChartLines.Hex6, 3, 2)), "·")</f>
        <v>0</v>
      </c>
      <c r="J40">
        <f t="shared" ref="J40" si="84" xml:space="preserve"> IF(LEN(ChartLines.Hex6)=6, HEX2DEC(RIGHT(ChartLines.Hex6, 2)), "·")</f>
        <v>0</v>
      </c>
      <c r="K40" cm="1">
        <f t="array" ref="K40" xml:space="preserve"> 1 + ROW() - _xlfn.SINGLE(ROW(ChartLines.RowNum))</f>
        <v>38</v>
      </c>
    </row>
    <row r="41" spans="2:11">
      <c r="B41" t="s">
        <v>796</v>
      </c>
      <c r="C41" t="s">
        <v>1837</v>
      </c>
      <c r="E41">
        <f t="shared" ref="E41" si="85" xml:space="preserve"> IF(AND(LEN(ChartLines.ID)&gt;0,"Unused"&lt;&gt;ChartLines.ID), COUNTIFS(ChartLines.ID,ChartLines.ID), "·")</f>
        <v>2</v>
      </c>
      <c r="F41">
        <f t="shared" ref="F41" si="86" xml:space="preserve"> IF(AND(LEN(ChartLines.ID)&gt;0,"Unused"&lt;&gt;ChartLines.ID), COUNTIFS(ChartLines.ID,ChartLines.ID,   ChartLines.RowNum,"&lt;="&amp;ChartLines.RowNum), "·")</f>
        <v>2</v>
      </c>
      <c r="G41" t="str" cm="1">
        <f t="array" ref="G41" xml:space="preserve"> _xlfn.IFS(OR(LEN(_xlfn.SINGLE(ChartLines.ID))=0,"Unused"=_xlfn.SINGLE(ChartLines.ID)), "·",   1=_xlfn.SINGLE(ChartLines.NumInstances), IF("USD"=_xlfn.SINGLE(ChartLines.ID), "SoleBig", "SoleOrdinary"),   1=_xlfn.SINGLE(ChartLines.InstanceNum), "Outer",   TRUE, "Inner")</f>
        <v>Inner</v>
      </c>
      <c r="H41">
        <f t="shared" ref="H41" si="87" xml:space="preserve"> IF(LEN(ChartLines.Hex6)=6, HEX2DEC(LEFT(ChartLines.Hex6, 2)), "·")</f>
        <v>255</v>
      </c>
      <c r="I41">
        <f t="shared" ref="I41" si="88" xml:space="preserve"> IF(LEN(ChartLines.Hex6)=6, HEX2DEC(MID(ChartLines.Hex6, 3, 2)), "·")</f>
        <v>51</v>
      </c>
      <c r="J41">
        <f t="shared" ref="J41" si="89" xml:space="preserve"> IF(LEN(ChartLines.Hex6)=6, HEX2DEC(RIGHT(ChartLines.Hex6, 2)), "·")</f>
        <v>255</v>
      </c>
      <c r="K41" cm="1">
        <f t="array" ref="K41" xml:space="preserve"> 1 + ROW() - _xlfn.SINGLE(ROW(ChartLines.RowNum))</f>
        <v>39</v>
      </c>
    </row>
    <row r="42" spans="2:11">
      <c r="B42" t="s">
        <v>581</v>
      </c>
      <c r="C42" t="str">
        <f xml:space="preserve"> "000000"</f>
        <v>000000</v>
      </c>
      <c r="E42">
        <f t="shared" ref="E42:E44" si="90" xml:space="preserve"> IF(AND(LEN(ChartLines.ID)&gt;0,"Unused"&lt;&gt;ChartLines.ID), COUNTIFS(ChartLines.ID,ChartLines.ID), "·")</f>
        <v>2</v>
      </c>
      <c r="F42">
        <f t="shared" ref="F42:F44" si="9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4" si="92" xml:space="preserve"> IF(LEN(ChartLines.Hex6)=6, HEX2DEC(LEFT(ChartLines.Hex6, 2)), "·")</f>
        <v>0</v>
      </c>
      <c r="I42">
        <f t="shared" ref="I42:I44" si="93" xml:space="preserve"> IF(LEN(ChartLines.Hex6)=6, HEX2DEC(MID(ChartLines.Hex6, 3, 2)), "·")</f>
        <v>0</v>
      </c>
      <c r="J42">
        <f t="shared" ref="J42:J44" si="94" xml:space="preserve"> IF(LEN(ChartLines.Hex6)=6, HEX2DEC(RIGHT(ChartLines.Hex6, 2)), "·")</f>
        <v>0</v>
      </c>
      <c r="K42" cm="1">
        <f t="array" ref="K42" xml:space="preserve"> 1 + ROW() - _xlfn.SINGLE(ROW(ChartLines.RowNum))</f>
        <v>40</v>
      </c>
    </row>
    <row r="43" spans="2:11">
      <c r="B43" t="s">
        <v>581</v>
      </c>
      <c r="C43" t="s">
        <v>1840</v>
      </c>
      <c r="E43">
        <f t="shared" ref="E43:E45" si="95" xml:space="preserve"> IF(AND(LEN(ChartLines.ID)&gt;0,"Unused"&lt;&gt;ChartLines.ID), COUNTIFS(ChartLines.ID,ChartLines.ID), "·")</f>
        <v>2</v>
      </c>
      <c r="F43">
        <f t="shared" ref="F43:F45" si="9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5" si="97" xml:space="preserve"> IF(LEN(ChartLines.Hex6)=6, HEX2DEC(LEFT(ChartLines.Hex6, 2)), "·")</f>
        <v>255</v>
      </c>
      <c r="I43">
        <f t="shared" ref="I43:I45" si="98" xml:space="preserve"> IF(LEN(ChartLines.Hex6)=6, HEX2DEC(MID(ChartLines.Hex6, 3, 2)), "·")</f>
        <v>255</v>
      </c>
      <c r="J43">
        <f t="shared" ref="J43:J45" si="99" xml:space="preserve"> IF(LEN(ChartLines.Hex6)=6, HEX2DEC(RIGHT(ChartLines.Hex6, 2)), "·")</f>
        <v>255</v>
      </c>
      <c r="K43" cm="1">
        <f t="array" ref="K43" xml:space="preserve"> 1 + ROW() - _xlfn.SINGLE(ROW(ChartLines.RowNum))</f>
        <v>41</v>
      </c>
    </row>
    <row r="44" spans="2:11">
      <c r="B44" t="s">
        <v>2275</v>
      </c>
      <c r="C44" t="str">
        <f xml:space="preserve"> "000000"</f>
        <v>000000</v>
      </c>
      <c r="E44">
        <f t="shared" si="90"/>
        <v>2</v>
      </c>
      <c r="F44">
        <f t="shared" si="9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92"/>
        <v>0</v>
      </c>
      <c r="I44">
        <f t="shared" si="93"/>
        <v>0</v>
      </c>
      <c r="J44">
        <f t="shared" si="94"/>
        <v>0</v>
      </c>
      <c r="K44" cm="1">
        <f t="array" ref="K44" xml:space="preserve"> 1 + ROW() - _xlfn.SINGLE(ROW(ChartLines.RowNum))</f>
        <v>42</v>
      </c>
    </row>
    <row r="45" spans="2:11">
      <c r="B45" t="s">
        <v>2275</v>
      </c>
      <c r="C45" t="s">
        <v>1839</v>
      </c>
      <c r="E45">
        <f t="shared" si="95"/>
        <v>2</v>
      </c>
      <c r="F45">
        <f t="shared" si="9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97"/>
        <v>255</v>
      </c>
      <c r="I45">
        <f t="shared" si="98"/>
        <v>0</v>
      </c>
      <c r="J45">
        <f t="shared" si="99"/>
        <v>0</v>
      </c>
      <c r="K45" cm="1">
        <f t="array" ref="K45" xml:space="preserve"> 1 + ROW() - _xlfn.SINGLE(ROW(ChartLines.RowNum))</f>
        <v>43</v>
      </c>
    </row>
    <row r="46" spans="2:11">
      <c r="B46" t="s">
        <v>598</v>
      </c>
      <c r="C46" t="s">
        <v>1849</v>
      </c>
      <c r="E46">
        <f t="shared" ref="E46:E48" si="100" xml:space="preserve"> IF(AND(LEN(ChartLines.ID)&gt;0,"Unused"&lt;&gt;ChartLines.ID), COUNTIFS(ChartLines.ID,ChartLines.ID), "·")</f>
        <v>2</v>
      </c>
      <c r="F46">
        <f t="shared" ref="F46:F48" si="101" xml:space="preserve"> IF(AND(LEN(ChartLines.ID)&gt;0,"Unused"&lt;&gt;ChartLines.ID), COUNTIFS(ChartLines.ID,ChartLines.ID,   ChartLines.RowNum,"&lt;="&amp;ChartLines.RowNum), "·")</f>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ref="H46:H48" si="102" xml:space="preserve"> IF(LEN(ChartLines.Hex6)=6, HEX2DEC(LEFT(ChartLines.Hex6, 2)), "·")</f>
        <v>0</v>
      </c>
      <c r="I46">
        <f t="shared" ref="I46:I48" si="103" xml:space="preserve"> IF(LEN(ChartLines.Hex6)=6, HEX2DEC(MID(ChartLines.Hex6, 3, 2)), "·")</f>
        <v>85</v>
      </c>
      <c r="J46">
        <f t="shared" ref="J46:J48" si="104" xml:space="preserve"> IF(LEN(ChartLines.Hex6)=6, HEX2DEC(RIGHT(ChartLines.Hex6, 2)), "·")</f>
        <v>164</v>
      </c>
      <c r="K46" cm="1">
        <f t="array" ref="K46" xml:space="preserve"> 1 + ROW() - _xlfn.SINGLE(ROW(ChartLines.RowNum))</f>
        <v>44</v>
      </c>
    </row>
    <row r="47" spans="2:11">
      <c r="B47" t="s">
        <v>598</v>
      </c>
      <c r="C47" t="s">
        <v>1850</v>
      </c>
      <c r="E47">
        <f t="shared" ref="E47:E49" si="105" xml:space="preserve"> IF(AND(LEN(ChartLines.ID)&gt;0,"Unused"&lt;&gt;ChartLines.ID), COUNTIFS(ChartLines.ID,ChartLines.ID), "·")</f>
        <v>2</v>
      </c>
      <c r="F47">
        <f t="shared" ref="F47:F49" si="106" xml:space="preserve"> IF(AND(LEN(ChartLines.ID)&gt;0,"Unused"&lt;&gt;ChartLines.ID), COUNTIFS(ChartLines.ID,ChartLines.ID,   ChartLines.RowNum,"&lt;="&amp;ChartLines.RowNum), "·")</f>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ref="H47:H49" si="107" xml:space="preserve"> IF(LEN(ChartLines.Hex6)=6, HEX2DEC(LEFT(ChartLines.Hex6, 2)), "·")</f>
        <v>239</v>
      </c>
      <c r="I47">
        <f t="shared" ref="I47:I49" si="108" xml:space="preserve"> IF(LEN(ChartLines.Hex6)=6, HEX2DEC(MID(ChartLines.Hex6, 3, 2)), "·")</f>
        <v>65</v>
      </c>
      <c r="J47">
        <f t="shared" ref="J47:J49" si="109" xml:space="preserve"> IF(LEN(ChartLines.Hex6)=6, HEX2DEC(RIGHT(ChartLines.Hex6, 2)), "·")</f>
        <v>53</v>
      </c>
      <c r="K47" cm="1">
        <f t="array" ref="K47" xml:space="preserve"> 1 + ROW() - _xlfn.SINGLE(ROW(ChartLines.RowNum))</f>
        <v>45</v>
      </c>
    </row>
    <row r="48" spans="2:11">
      <c r="B48" t="s">
        <v>2277</v>
      </c>
      <c r="C48" t="s">
        <v>1849</v>
      </c>
      <c r="E48">
        <f t="shared" si="100"/>
        <v>2</v>
      </c>
      <c r="F48">
        <f t="shared" si="10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102"/>
        <v>0</v>
      </c>
      <c r="I48">
        <f t="shared" si="103"/>
        <v>85</v>
      </c>
      <c r="J48">
        <f t="shared" si="104"/>
        <v>164</v>
      </c>
      <c r="K48" cm="1">
        <f t="array" ref="K48" xml:space="preserve"> 1 + ROW() - _xlfn.SINGLE(ROW(ChartLines.RowNum))</f>
        <v>46</v>
      </c>
    </row>
    <row r="49" spans="2:11">
      <c r="B49" t="s">
        <v>2277</v>
      </c>
      <c r="C49" t="str">
        <f xml:space="preserve"> "000000"</f>
        <v>000000</v>
      </c>
      <c r="E49">
        <f t="shared" si="105"/>
        <v>2</v>
      </c>
      <c r="F49">
        <f t="shared" si="10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107"/>
        <v>0</v>
      </c>
      <c r="I49">
        <f t="shared" si="108"/>
        <v>0</v>
      </c>
      <c r="J49">
        <f t="shared" si="109"/>
        <v>0</v>
      </c>
      <c r="K49" cm="1">
        <f t="array" ref="K49" xml:space="preserve"> 1 + ROW() - _xlfn.SINGLE(ROW(ChartLines.RowNum))</f>
        <v>47</v>
      </c>
    </row>
    <row r="50" spans="2:11">
      <c r="B50" t="s">
        <v>635</v>
      </c>
      <c r="C50" t="s">
        <v>1851</v>
      </c>
      <c r="E50">
        <f t="shared" ref="E50:E52" si="110" xml:space="preserve"> IF(AND(LEN(ChartLines.ID)&gt;0,"Unused"&lt;&gt;ChartLines.ID), COUNTIFS(ChartLines.ID,ChartLines.ID), "·")</f>
        <v>2</v>
      </c>
      <c r="F50">
        <f t="shared" ref="F50:F52" si="11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H52" si="112" xml:space="preserve"> IF(LEN(ChartLines.Hex6)=6, HEX2DEC(LEFT(ChartLines.Hex6, 2)), "·")</f>
        <v>0</v>
      </c>
      <c r="I50">
        <f t="shared" ref="I50:I52" si="113" xml:space="preserve"> IF(LEN(ChartLines.Hex6)=6, HEX2DEC(MID(ChartLines.Hex6, 3, 2)), "·")</f>
        <v>140</v>
      </c>
      <c r="J50">
        <f t="shared" ref="J50:J52" si="114" xml:space="preserve"> IF(LEN(ChartLines.Hex6)=6, HEX2DEC(RIGHT(ChartLines.Hex6, 2)), "·")</f>
        <v>69</v>
      </c>
      <c r="K50" cm="1">
        <f t="array" ref="K50" xml:space="preserve"> 1 + ROW() - _xlfn.SINGLE(ROW(ChartLines.RowNum))</f>
        <v>48</v>
      </c>
    </row>
    <row r="51" spans="2:11">
      <c r="B51" t="s">
        <v>635</v>
      </c>
      <c r="C51" t="s">
        <v>1852</v>
      </c>
      <c r="E51">
        <f t="shared" ref="E51:E53" si="115" xml:space="preserve"> IF(AND(LEN(ChartLines.ID)&gt;0,"Unused"&lt;&gt;ChartLines.ID), COUNTIFS(ChartLines.ID,ChartLines.ID), "·")</f>
        <v>2</v>
      </c>
      <c r="F51">
        <f t="shared" ref="F51:F53" si="11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H53" si="117" xml:space="preserve"> IF(LEN(ChartLines.Hex6)=6, HEX2DEC(LEFT(ChartLines.Hex6, 2)), "·")</f>
        <v>205</v>
      </c>
      <c r="I51">
        <f t="shared" ref="I51:I53" si="118" xml:space="preserve"> IF(LEN(ChartLines.Hex6)=6, HEX2DEC(MID(ChartLines.Hex6, 3, 2)), "·")</f>
        <v>33</v>
      </c>
      <c r="J51">
        <f t="shared" ref="J51:J53" si="119" xml:space="preserve"> IF(LEN(ChartLines.Hex6)=6, HEX2DEC(RIGHT(ChartLines.Hex6, 2)), "·")</f>
        <v>42</v>
      </c>
      <c r="K51" cm="1">
        <f t="array" ref="K51" xml:space="preserve"> 1 + ROW() - _xlfn.SINGLE(ROW(ChartLines.RowNum))</f>
        <v>49</v>
      </c>
    </row>
    <row r="52" spans="2:11">
      <c r="B52" t="s">
        <v>2278</v>
      </c>
      <c r="C52" t="s">
        <v>1851</v>
      </c>
      <c r="E52">
        <f t="shared" si="110"/>
        <v>2</v>
      </c>
      <c r="F52">
        <f t="shared" si="111"/>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si="112"/>
        <v>0</v>
      </c>
      <c r="I52">
        <f t="shared" si="113"/>
        <v>140</v>
      </c>
      <c r="J52">
        <f t="shared" si="114"/>
        <v>69</v>
      </c>
      <c r="K52" cm="1">
        <f t="array" ref="K52" xml:space="preserve"> 1 + ROW() - _xlfn.SINGLE(ROW(ChartLines.RowNum))</f>
        <v>50</v>
      </c>
    </row>
    <row r="53" spans="2:11">
      <c r="B53" t="s">
        <v>2278</v>
      </c>
      <c r="C53" t="str">
        <f xml:space="preserve"> "000000"</f>
        <v>000000</v>
      </c>
      <c r="E53">
        <f t="shared" si="115"/>
        <v>2</v>
      </c>
      <c r="F53">
        <f t="shared" si="116"/>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si="117"/>
        <v>0</v>
      </c>
      <c r="I53">
        <f t="shared" si="118"/>
        <v>0</v>
      </c>
      <c r="J53">
        <f t="shared" si="119"/>
        <v>0</v>
      </c>
      <c r="K53" cm="1">
        <f t="array" ref="K53" xml:space="preserve"> 1 + ROW() - _xlfn.SINGLE(ROW(ChartLines.RowNum))</f>
        <v>51</v>
      </c>
    </row>
    <row r="54" spans="2:11">
      <c r="B54" t="s">
        <v>170</v>
      </c>
      <c r="C54" t="s">
        <v>2148</v>
      </c>
      <c r="E54">
        <f t="shared" ref="E54:E56" si="120" xml:space="preserve"> IF(AND(LEN(ChartLines.ID)&gt;0,"Unused"&lt;&gt;ChartLines.ID), COUNTIFS(ChartLines.ID,ChartLines.ID), "·")</f>
        <v>2</v>
      </c>
      <c r="F54">
        <f t="shared" ref="F54:F56" si="121"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ref="H54:H56" si="122" xml:space="preserve"> IF(LEN(ChartLines.Hex6)=6, HEX2DEC(LEFT(ChartLines.Hex6, 2)), "·")</f>
        <v>173</v>
      </c>
      <c r="I54">
        <f t="shared" ref="I54:I56" si="123" xml:space="preserve"> IF(LEN(ChartLines.Hex6)=6, HEX2DEC(MID(ChartLines.Hex6, 3, 2)), "·")</f>
        <v>21</v>
      </c>
      <c r="J54">
        <f t="shared" ref="J54:J56" si="124" xml:space="preserve"> IF(LEN(ChartLines.Hex6)=6, HEX2DEC(RIGHT(ChartLines.Hex6, 2)), "·")</f>
        <v>25</v>
      </c>
      <c r="K54" cm="1">
        <f t="array" ref="K54" xml:space="preserve"> 1 + ROW() - _xlfn.SINGLE(ROW(ChartLines.RowNum))</f>
        <v>52</v>
      </c>
    </row>
    <row r="55" spans="2:11">
      <c r="B55" t="s">
        <v>170</v>
      </c>
      <c r="C55" t="s">
        <v>2149</v>
      </c>
      <c r="E55">
        <f t="shared" ref="E55:E57" si="125" xml:space="preserve"> IF(AND(LEN(ChartLines.ID)&gt;0,"Unused"&lt;&gt;ChartLines.ID), COUNTIFS(ChartLines.ID,ChartLines.ID), "·")</f>
        <v>2</v>
      </c>
      <c r="F55">
        <f t="shared" ref="F55:F57" si="126"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ref="H55:H57" si="127" xml:space="preserve"> IF(LEN(ChartLines.Hex6)=6, HEX2DEC(LEFT(ChartLines.Hex6, 2)), "·")</f>
        <v>250</v>
      </c>
      <c r="I55">
        <f t="shared" ref="I55:I57" si="128" xml:space="preserve"> IF(LEN(ChartLines.Hex6)=6, HEX2DEC(MID(ChartLines.Hex6, 3, 2)), "·")</f>
        <v>189</v>
      </c>
      <c r="J55">
        <f t="shared" ref="J55:J57" si="129" xml:space="preserve"> IF(LEN(ChartLines.Hex6)=6, HEX2DEC(RIGHT(ChartLines.Hex6, 2)), "·")</f>
        <v>0</v>
      </c>
      <c r="K55" cm="1">
        <f t="array" ref="K55" xml:space="preserve"> 1 + ROW() - _xlfn.SINGLE(ROW(ChartLines.RowNum))</f>
        <v>53</v>
      </c>
    </row>
    <row r="56" spans="2:11">
      <c r="B56" t="s">
        <v>2279</v>
      </c>
      <c r="C56" t="s">
        <v>2148</v>
      </c>
      <c r="E56">
        <f t="shared" si="120"/>
        <v>2</v>
      </c>
      <c r="F56">
        <f t="shared" si="121"/>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si="122"/>
        <v>173</v>
      </c>
      <c r="I56">
        <f t="shared" si="123"/>
        <v>21</v>
      </c>
      <c r="J56">
        <f t="shared" si="124"/>
        <v>25</v>
      </c>
      <c r="K56" cm="1">
        <f t="array" ref="K56" xml:space="preserve"> 1 + ROW() - _xlfn.SINGLE(ROW(ChartLines.RowNum))</f>
        <v>54</v>
      </c>
    </row>
    <row r="57" spans="2:11">
      <c r="B57" t="s">
        <v>2279</v>
      </c>
      <c r="C57" t="s">
        <v>2289</v>
      </c>
      <c r="E57">
        <f t="shared" si="125"/>
        <v>2</v>
      </c>
      <c r="F57">
        <f t="shared" si="126"/>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si="127"/>
        <v>102</v>
      </c>
      <c r="I57">
        <f t="shared" si="128"/>
        <v>204</v>
      </c>
      <c r="J57">
        <f t="shared" si="129"/>
        <v>102</v>
      </c>
      <c r="K57" cm="1">
        <f t="array" ref="K57" xml:space="preserve"> 1 + ROW() - _xlfn.SINGLE(ROW(ChartLines.RowNum))</f>
        <v>55</v>
      </c>
    </row>
    <row r="58" spans="2:11">
      <c r="B58" t="s">
        <v>636</v>
      </c>
      <c r="C58" t="s">
        <v>1853</v>
      </c>
      <c r="E58">
        <f t="shared" ref="E58:E60" si="130" xml:space="preserve"> IF(AND(LEN(ChartLines.ID)&gt;0,"Unused"&lt;&gt;ChartLines.ID), COUNTIFS(ChartLines.ID,ChartLines.ID), "·")</f>
        <v>2</v>
      </c>
      <c r="F58">
        <f t="shared" ref="F58:F60" si="13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ref="H58:H60" si="132" xml:space="preserve"> IF(LEN(ChartLines.Hex6)=6, HEX2DEC(LEFT(ChartLines.Hex6, 2)), "·")</f>
        <v>0</v>
      </c>
      <c r="I58">
        <f t="shared" ref="I58:I60" si="133" xml:space="preserve"> IF(LEN(ChartLines.Hex6)=6, HEX2DEC(MID(ChartLines.Hex6, 3, 2)), "·")</f>
        <v>61</v>
      </c>
      <c r="J58">
        <f t="shared" ref="J58:J60" si="134" xml:space="preserve"> IF(LEN(ChartLines.Hex6)=6, HEX2DEC(RIGHT(ChartLines.Hex6, 2)), "·")</f>
        <v>165</v>
      </c>
      <c r="K58" cm="1">
        <f t="array" ref="K58" xml:space="preserve"> 1 + ROW() - _xlfn.SINGLE(ROW(ChartLines.RowNum))</f>
        <v>56</v>
      </c>
    </row>
    <row r="59" spans="2:11">
      <c r="B59" t="s">
        <v>636</v>
      </c>
      <c r="C59" t="s">
        <v>1854</v>
      </c>
      <c r="E59">
        <f t="shared" ref="E59:E61" si="135" xml:space="preserve"> IF(AND(LEN(ChartLines.ID)&gt;0,"Unused"&lt;&gt;ChartLines.ID), COUNTIFS(ChartLines.ID,ChartLines.ID), "·")</f>
        <v>2</v>
      </c>
      <c r="F59">
        <f t="shared" ref="F59:F61" si="136"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ref="H59:H61" si="137" xml:space="preserve"> IF(LEN(ChartLines.Hex6)=6, HEX2DEC(LEFT(ChartLines.Hex6, 2)), "·")</f>
        <v>250</v>
      </c>
      <c r="I59">
        <f t="shared" ref="I59:I61" si="138" xml:space="preserve"> IF(LEN(ChartLines.Hex6)=6, HEX2DEC(MID(ChartLines.Hex6, 3, 2)), "·")</f>
        <v>155</v>
      </c>
      <c r="J59">
        <f t="shared" ref="J59:J61" si="139" xml:space="preserve"> IF(LEN(ChartLines.Hex6)=6, HEX2DEC(RIGHT(ChartLines.Hex6, 2)), "·")</f>
        <v>30</v>
      </c>
      <c r="K59" cm="1">
        <f t="array" ref="K59" xml:space="preserve"> 1 + ROW() - _xlfn.SINGLE(ROW(ChartLines.RowNum))</f>
        <v>57</v>
      </c>
    </row>
    <row r="60" spans="2:11">
      <c r="B60" t="s">
        <v>2290</v>
      </c>
      <c r="C60" t="s">
        <v>2291</v>
      </c>
      <c r="E60">
        <f t="shared" si="130"/>
        <v>2</v>
      </c>
      <c r="F60">
        <f t="shared" si="131"/>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si="132"/>
        <v>173</v>
      </c>
      <c r="I60">
        <f t="shared" si="133"/>
        <v>29</v>
      </c>
      <c r="J60">
        <f t="shared" si="134"/>
        <v>37</v>
      </c>
      <c r="K60" cm="1">
        <f t="array" ref="K60" xml:space="preserve"> 1 + ROW() - _xlfn.SINGLE(ROW(ChartLines.RowNum))</f>
        <v>58</v>
      </c>
    </row>
    <row r="61" spans="2:11">
      <c r="B61" t="s">
        <v>2290</v>
      </c>
      <c r="C61" t="s">
        <v>1854</v>
      </c>
      <c r="E61">
        <f t="shared" si="135"/>
        <v>2</v>
      </c>
      <c r="F61">
        <f t="shared" si="136"/>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si="137"/>
        <v>250</v>
      </c>
      <c r="I61">
        <f t="shared" si="138"/>
        <v>155</v>
      </c>
      <c r="J61">
        <f t="shared" si="139"/>
        <v>30</v>
      </c>
      <c r="K61" cm="1">
        <f t="array" ref="K61" xml:space="preserve"> 1 + ROW() - _xlfn.SINGLE(ROW(ChartLines.RowNum))</f>
        <v>59</v>
      </c>
    </row>
    <row r="62" spans="2:11">
      <c r="B62" t="s">
        <v>655</v>
      </c>
      <c r="C62">
        <v>663319</v>
      </c>
      <c r="E62">
        <f t="shared" ref="E62:E64" si="140" xml:space="preserve"> IF(AND(LEN(ChartLines.ID)&gt;0,"Unused"&lt;&gt;ChartLines.ID), COUNTIFS(ChartLines.ID,ChartLines.ID), "·")</f>
        <v>2</v>
      </c>
      <c r="F62">
        <f t="shared" ref="F62:F64" si="141"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ref="H62:H64" si="142" xml:space="preserve"> IF(LEN(ChartLines.Hex6)=6, HEX2DEC(LEFT(ChartLines.Hex6, 2)), "·")</f>
        <v>102</v>
      </c>
      <c r="I62">
        <f t="shared" ref="I62:I64" si="143" xml:space="preserve"> IF(LEN(ChartLines.Hex6)=6, HEX2DEC(MID(ChartLines.Hex6, 3, 2)), "·")</f>
        <v>51</v>
      </c>
      <c r="J62">
        <f t="shared" ref="J62:J64" si="144" xml:space="preserve"> IF(LEN(ChartLines.Hex6)=6, HEX2DEC(RIGHT(ChartLines.Hex6, 2)), "·")</f>
        <v>25</v>
      </c>
      <c r="K62" cm="1">
        <f t="array" ref="K62" xml:space="preserve"> 1 + ROW() - _xlfn.SINGLE(ROW(ChartLines.RowNum))</f>
        <v>60</v>
      </c>
    </row>
    <row r="63" spans="2:11">
      <c r="B63" t="s">
        <v>655</v>
      </c>
      <c r="C63" t="s">
        <v>1855</v>
      </c>
      <c r="E63">
        <f t="shared" ref="E63:E65" si="145" xml:space="preserve"> IF(AND(LEN(ChartLines.ID)&gt;0,"Unused"&lt;&gt;ChartLines.ID), COUNTIFS(ChartLines.ID,ChartLines.ID), "·")</f>
        <v>2</v>
      </c>
      <c r="F63">
        <f t="shared" ref="F63:F65" si="146"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ref="H63:H65" si="147" xml:space="preserve"> IF(LEN(ChartLines.Hex6)=6, HEX2DEC(LEFT(ChartLines.Hex6, 2)), "·")</f>
        <v>255</v>
      </c>
      <c r="I63">
        <f t="shared" ref="I63:I65" si="148" xml:space="preserve"> IF(LEN(ChartLines.Hex6)=6, HEX2DEC(MID(ChartLines.Hex6, 3, 2)), "·")</f>
        <v>204</v>
      </c>
      <c r="J63">
        <f t="shared" ref="J63:J65" si="149" xml:space="preserve"> IF(LEN(ChartLines.Hex6)=6, HEX2DEC(RIGHT(ChartLines.Hex6, 2)), "·")</f>
        <v>51</v>
      </c>
      <c r="K63" cm="1">
        <f t="array" ref="K63" xml:space="preserve"> 1 + ROW() - _xlfn.SINGLE(ROW(ChartLines.RowNum))</f>
        <v>61</v>
      </c>
    </row>
    <row r="64" spans="2:11">
      <c r="B64" t="s">
        <v>2292</v>
      </c>
      <c r="C64" t="s">
        <v>1855</v>
      </c>
      <c r="E64">
        <f t="shared" si="140"/>
        <v>2</v>
      </c>
      <c r="F64">
        <f t="shared" si="141"/>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si="142"/>
        <v>255</v>
      </c>
      <c r="I64">
        <f t="shared" si="143"/>
        <v>204</v>
      </c>
      <c r="J64">
        <f t="shared" si="144"/>
        <v>51</v>
      </c>
      <c r="K64" cm="1">
        <f t="array" ref="K64" xml:space="preserve"> 1 + ROW() - _xlfn.SINGLE(ROW(ChartLines.RowNum))</f>
        <v>62</v>
      </c>
    </row>
    <row r="65" spans="2:11">
      <c r="B65" t="s">
        <v>2292</v>
      </c>
      <c r="C65">
        <v>663319</v>
      </c>
      <c r="E65">
        <f t="shared" si="145"/>
        <v>2</v>
      </c>
      <c r="F65">
        <f t="shared" si="146"/>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si="147"/>
        <v>102</v>
      </c>
      <c r="I65">
        <f t="shared" si="148"/>
        <v>51</v>
      </c>
      <c r="J65">
        <f t="shared" si="149"/>
        <v>25</v>
      </c>
      <c r="K65" cm="1">
        <f t="array" ref="K65" xml:space="preserve"> 1 + ROW() - _xlfn.SINGLE(ROW(ChartLines.RowNum))</f>
        <v>63</v>
      </c>
    </row>
    <row r="66" spans="2:11">
      <c r="B66" t="s">
        <v>656</v>
      </c>
      <c r="C66" t="s">
        <v>1845</v>
      </c>
      <c r="E66">
        <f t="shared" ref="E66:E68" si="150" xml:space="preserve"> IF(AND(LEN(ChartLines.ID)&gt;0,"Unused"&lt;&gt;ChartLines.ID), COUNTIFS(ChartLines.ID,ChartLines.ID), "·")</f>
        <v>2</v>
      </c>
      <c r="F66">
        <f t="shared" ref="F66:F68" si="151"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ref="H66:H68" si="152" xml:space="preserve"> IF(LEN(ChartLines.Hex6)=6, HEX2DEC(LEFT(ChartLines.Hex6, 2)), "·")</f>
        <v>200</v>
      </c>
      <c r="I66">
        <f t="shared" ref="I66:I68" si="153" xml:space="preserve"> IF(LEN(ChartLines.Hex6)=6, HEX2DEC(MID(ChartLines.Hex6, 3, 2)), "·")</f>
        <v>16</v>
      </c>
      <c r="J66">
        <f t="shared" ref="J66:J68" si="154" xml:space="preserve"> IF(LEN(ChartLines.Hex6)=6, HEX2DEC(RIGHT(ChartLines.Hex6, 2)), "·")</f>
        <v>46</v>
      </c>
      <c r="K66" cm="1">
        <f t="array" ref="K66" xml:space="preserve"> 1 + ROW() - _xlfn.SINGLE(ROW(ChartLines.RowNum))</f>
        <v>64</v>
      </c>
    </row>
    <row r="67" spans="2:11">
      <c r="B67" t="s">
        <v>656</v>
      </c>
      <c r="C67" t="s">
        <v>1840</v>
      </c>
      <c r="E67">
        <f t="shared" ref="E67:E69" si="155" xml:space="preserve"> IF(AND(LEN(ChartLines.ID)&gt;0,"Unused"&lt;&gt;ChartLines.ID), COUNTIFS(ChartLines.ID,ChartLines.ID), "·")</f>
        <v>2</v>
      </c>
      <c r="F67">
        <f t="shared" ref="F67:F69" si="156"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ref="H67:H69" si="157" xml:space="preserve"> IF(LEN(ChartLines.Hex6)=6, HEX2DEC(LEFT(ChartLines.Hex6, 2)), "·")</f>
        <v>255</v>
      </c>
      <c r="I67">
        <f t="shared" ref="I67:I69" si="158" xml:space="preserve"> IF(LEN(ChartLines.Hex6)=6, HEX2DEC(MID(ChartLines.Hex6, 3, 2)), "·")</f>
        <v>255</v>
      </c>
      <c r="J67">
        <f t="shared" ref="J67:J69" si="159" xml:space="preserve"> IF(LEN(ChartLines.Hex6)=6, HEX2DEC(RIGHT(ChartLines.Hex6, 2)), "·")</f>
        <v>255</v>
      </c>
      <c r="K67" cm="1">
        <f t="array" ref="K67" xml:space="preserve"> 1 + ROW() - _xlfn.SINGLE(ROW(ChartLines.RowNum))</f>
        <v>65</v>
      </c>
    </row>
    <row r="68" spans="2:11">
      <c r="B68" t="s">
        <v>2281</v>
      </c>
      <c r="C68" t="s">
        <v>1845</v>
      </c>
      <c r="E68">
        <f t="shared" si="150"/>
        <v>2</v>
      </c>
      <c r="F68">
        <f t="shared" si="151"/>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si="152"/>
        <v>200</v>
      </c>
      <c r="I68">
        <f t="shared" si="153"/>
        <v>16</v>
      </c>
      <c r="J68">
        <f t="shared" si="154"/>
        <v>46</v>
      </c>
      <c r="K68" cm="1">
        <f t="array" ref="K68" xml:space="preserve"> 1 + ROW() - _xlfn.SINGLE(ROW(ChartLines.RowNum))</f>
        <v>66</v>
      </c>
    </row>
    <row r="69" spans="2:11">
      <c r="B69" t="s">
        <v>2281</v>
      </c>
      <c r="C69" t="str">
        <f xml:space="preserve"> "000000"</f>
        <v>000000</v>
      </c>
      <c r="E69">
        <f t="shared" si="155"/>
        <v>2</v>
      </c>
      <c r="F69">
        <f t="shared" si="156"/>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si="157"/>
        <v>0</v>
      </c>
      <c r="I69">
        <f t="shared" si="158"/>
        <v>0</v>
      </c>
      <c r="J69">
        <f t="shared" si="159"/>
        <v>0</v>
      </c>
      <c r="K69" cm="1">
        <f t="array" ref="K69" xml:space="preserve"> 1 + ROW() - _xlfn.SINGLE(ROW(ChartLines.RowNum))</f>
        <v>67</v>
      </c>
    </row>
    <row r="70" spans="2:11">
      <c r="B70" t="s">
        <v>657</v>
      </c>
      <c r="C70" t="s">
        <v>1856</v>
      </c>
      <c r="E70">
        <f t="shared" ref="E70:E72" si="160" xml:space="preserve"> IF(AND(LEN(ChartLines.ID)&gt;0,"Unused"&lt;&gt;ChartLines.ID), COUNTIFS(ChartLines.ID,ChartLines.ID), "·")</f>
        <v>1</v>
      </c>
      <c r="F70">
        <f t="shared" ref="F70:F72" si="161"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SoleOrdinary</v>
      </c>
      <c r="H70">
        <f t="shared" ref="H70:H72" si="162" xml:space="preserve"> IF(LEN(ChartLines.Hex6)=6, HEX2DEC(LEFT(ChartLines.Hex6, 2)), "·")</f>
        <v>0</v>
      </c>
      <c r="I70">
        <f t="shared" ref="I70:I72" si="163" xml:space="preserve"> IF(LEN(ChartLines.Hex6)=6, HEX2DEC(MID(ChartLines.Hex6, 3, 2)), "·")</f>
        <v>47</v>
      </c>
      <c r="J70">
        <f t="shared" ref="J70:J72" si="164" xml:space="preserve"> IF(LEN(ChartLines.Hex6)=6, HEX2DEC(RIGHT(ChartLines.Hex6, 2)), "·")</f>
        <v>108</v>
      </c>
      <c r="K70" cm="1">
        <f t="array" ref="K70" xml:space="preserve"> 1 + ROW() - _xlfn.SINGLE(ROW(ChartLines.RowNum))</f>
        <v>68</v>
      </c>
    </row>
    <row r="71" spans="2:11">
      <c r="B71" t="s">
        <v>1836</v>
      </c>
      <c r="E71" t="str">
        <f t="shared" ref="E71:E73" si="165" xml:space="preserve"> IF(AND(LEN(ChartLines.ID)&gt;0,"Unused"&lt;&gt;ChartLines.ID), COUNTIFS(ChartLines.ID,ChartLines.ID), "·")</f>
        <v>·</v>
      </c>
      <c r="F71" t="str">
        <f t="shared" ref="F71:F73" si="166" xml:space="preserve"> IF(AND(LEN(ChartLines.ID)&gt;0,"Unused"&lt;&gt;ChartLines.ID), COUNTIFS(ChartLines.ID,ChartLines.ID,   ChartLines.RowNum,"&lt;="&amp;ChartLines.RowNum), "·")</f>
        <v>·</v>
      </c>
      <c r="G71" t="str" cm="1">
        <f t="array" ref="G71" xml:space="preserve"> _xlfn.IFS(OR(LEN(_xlfn.SINGLE(ChartLines.ID))=0,"Unused"=_xlfn.SINGLE(ChartLines.ID)), "·",   1=_xlfn.SINGLE(ChartLines.NumInstances), IF("USD"=_xlfn.SINGLE(ChartLines.ID), "SoleBig", "SoleOrdinary"),   1=_xlfn.SINGLE(ChartLines.InstanceNum), "Outer",   TRUE, "Inner")</f>
        <v>·</v>
      </c>
      <c r="H71" t="str">
        <f t="shared" ref="H71:H73" si="167" xml:space="preserve"> IF(LEN(ChartLines.Hex6)=6, HEX2DEC(LEFT(ChartLines.Hex6, 2)), "·")</f>
        <v>·</v>
      </c>
      <c r="I71" t="str">
        <f t="shared" ref="I71:I73" si="168" xml:space="preserve"> IF(LEN(ChartLines.Hex6)=6, HEX2DEC(MID(ChartLines.Hex6, 3, 2)), "·")</f>
        <v>·</v>
      </c>
      <c r="J71" t="str">
        <f t="shared" ref="J71:J73" si="169" xml:space="preserve"> IF(LEN(ChartLines.Hex6)=6, HEX2DEC(RIGHT(ChartLines.Hex6, 2)), "·")</f>
        <v>·</v>
      </c>
      <c r="K71" cm="1">
        <f t="array" ref="K71" xml:space="preserve"> 1 + ROW() - _xlfn.SINGLE(ROW(ChartLines.RowNum))</f>
        <v>69</v>
      </c>
    </row>
    <row r="72" spans="2:11">
      <c r="B72" t="s">
        <v>2293</v>
      </c>
      <c r="C72" t="s">
        <v>1856</v>
      </c>
      <c r="E72">
        <f t="shared" si="160"/>
        <v>2</v>
      </c>
      <c r="F72">
        <f t="shared" si="161"/>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si="162"/>
        <v>0</v>
      </c>
      <c r="I72">
        <f t="shared" si="163"/>
        <v>47</v>
      </c>
      <c r="J72">
        <f t="shared" si="164"/>
        <v>108</v>
      </c>
      <c r="K72" cm="1">
        <f t="array" ref="K72" xml:space="preserve"> 1 + ROW() - _xlfn.SINGLE(ROW(ChartLines.RowNum))</f>
        <v>70</v>
      </c>
    </row>
    <row r="73" spans="2:11">
      <c r="B73" t="s">
        <v>2293</v>
      </c>
      <c r="C73" t="str">
        <f xml:space="preserve"> "66CC66"</f>
        <v>66CC66</v>
      </c>
      <c r="E73">
        <f t="shared" si="165"/>
        <v>2</v>
      </c>
      <c r="F73">
        <f t="shared" si="166"/>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si="167"/>
        <v>102</v>
      </c>
      <c r="I73">
        <f t="shared" si="168"/>
        <v>204</v>
      </c>
      <c r="J73">
        <f t="shared" si="169"/>
        <v>102</v>
      </c>
      <c r="K73" cm="1">
        <f t="array" ref="K73" xml:space="preserve"> 1 + ROW() - _xlfn.SINGLE(ROW(ChartLines.RowNum))</f>
        <v>71</v>
      </c>
    </row>
    <row r="74" spans="2:11">
      <c r="B74" t="s">
        <v>171</v>
      </c>
      <c r="C74" t="s">
        <v>1857</v>
      </c>
      <c r="E74">
        <f t="shared" ref="E74:E76" si="170" xml:space="preserve"> IF(AND(LEN(ChartLines.ID)&gt;0,"Unused"&lt;&gt;ChartLines.ID), COUNTIFS(ChartLines.ID,ChartLines.ID), "·")</f>
        <v>2</v>
      </c>
      <c r="F74">
        <f t="shared" ref="F74:F76" si="171"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ref="H74:H76" si="172" xml:space="preserve"> IF(LEN(ChartLines.Hex6)=6, HEX2DEC(LEFT(ChartLines.Hex6, 2)), "·")</f>
        <v>0</v>
      </c>
      <c r="I74">
        <f t="shared" ref="I74:I76" si="173" xml:space="preserve"> IF(LEN(ChartLines.Hex6)=6, HEX2DEC(MID(ChartLines.Hex6, 3, 2)), "·")</f>
        <v>76</v>
      </c>
      <c r="J74">
        <f t="shared" ref="J74:J76" si="174" xml:space="preserve"> IF(LEN(ChartLines.Hex6)=6, HEX2DEC(RIGHT(ChartLines.Hex6, 2)), "·")</f>
        <v>152</v>
      </c>
      <c r="K74" cm="1">
        <f t="array" ref="K74" xml:space="preserve"> 1 + ROW() - _xlfn.SINGLE(ROW(ChartLines.RowNum))</f>
        <v>72</v>
      </c>
    </row>
    <row r="75" spans="2:11">
      <c r="B75" t="s">
        <v>171</v>
      </c>
      <c r="C75" t="s">
        <v>1840</v>
      </c>
      <c r="E75">
        <f t="shared" ref="E75:E77" si="175" xml:space="preserve"> IF(AND(LEN(ChartLines.ID)&gt;0,"Unused"&lt;&gt;ChartLines.ID), COUNTIFS(ChartLines.ID,ChartLines.ID), "·")</f>
        <v>2</v>
      </c>
      <c r="F75">
        <f t="shared" ref="F75:F77" si="176"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ref="H75:H77" si="177" xml:space="preserve"> IF(LEN(ChartLines.Hex6)=6, HEX2DEC(LEFT(ChartLines.Hex6, 2)), "·")</f>
        <v>255</v>
      </c>
      <c r="I75">
        <f t="shared" ref="I75:I77" si="178" xml:space="preserve"> IF(LEN(ChartLines.Hex6)=6, HEX2DEC(MID(ChartLines.Hex6, 3, 2)), "·")</f>
        <v>255</v>
      </c>
      <c r="J75">
        <f t="shared" ref="J75:J77" si="179" xml:space="preserve"> IF(LEN(ChartLines.Hex6)=6, HEX2DEC(RIGHT(ChartLines.Hex6, 2)), "·")</f>
        <v>255</v>
      </c>
      <c r="K75" cm="1">
        <f t="array" ref="K75" xml:space="preserve"> 1 + ROW() - _xlfn.SINGLE(ROW(ChartLines.RowNum))</f>
        <v>73</v>
      </c>
    </row>
    <row r="76" spans="2:11">
      <c r="B76" t="s">
        <v>2297</v>
      </c>
      <c r="C76" t="s">
        <v>1857</v>
      </c>
      <c r="E76">
        <f t="shared" si="170"/>
        <v>2</v>
      </c>
      <c r="F76">
        <f t="shared" si="171"/>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si="172"/>
        <v>0</v>
      </c>
      <c r="I76">
        <f t="shared" si="173"/>
        <v>76</v>
      </c>
      <c r="J76">
        <f t="shared" si="174"/>
        <v>152</v>
      </c>
      <c r="K76" cm="1">
        <f t="array" ref="K76" xml:space="preserve"> 1 + ROW() - _xlfn.SINGLE(ROW(ChartLines.RowNum))</f>
        <v>74</v>
      </c>
    </row>
    <row r="77" spans="2:11">
      <c r="B77" t="s">
        <v>2297</v>
      </c>
      <c r="C77" t="str">
        <f xml:space="preserve"> "00FF00"</f>
        <v>00FF00</v>
      </c>
      <c r="E77">
        <f t="shared" si="175"/>
        <v>2</v>
      </c>
      <c r="F77">
        <f t="shared" si="176"/>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si="177"/>
        <v>0</v>
      </c>
      <c r="I77">
        <f t="shared" si="178"/>
        <v>255</v>
      </c>
      <c r="J77">
        <f t="shared" si="179"/>
        <v>0</v>
      </c>
      <c r="K77" cm="1">
        <f t="array" ref="K77" xml:space="preserve"> 1 + ROW() - _xlfn.SINGLE(ROW(ChartLines.RowNum))</f>
        <v>75</v>
      </c>
    </row>
    <row r="78" spans="2:11">
      <c r="B78" t="s">
        <v>103</v>
      </c>
      <c r="C78" t="s">
        <v>1858</v>
      </c>
      <c r="E78">
        <f t="shared" ref="E78:E80" si="180" xml:space="preserve"> IF(AND(LEN(ChartLines.ID)&gt;0,"Unused"&lt;&gt;ChartLines.ID), COUNTIFS(ChartLines.ID,ChartLines.ID), "·")</f>
        <v>1</v>
      </c>
      <c r="F78">
        <f t="shared" ref="F78:F80" si="18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SoleOrdinary</v>
      </c>
      <c r="H78">
        <f t="shared" ref="H78:H80" si="182" xml:space="preserve"> IF(LEN(ChartLines.Hex6)=6, HEX2DEC(LEFT(ChartLines.Hex6, 2)), "·")</f>
        <v>218</v>
      </c>
      <c r="I78">
        <f t="shared" ref="I78:I80" si="183" xml:space="preserve"> IF(LEN(ChartLines.Hex6)=6, HEX2DEC(MID(ChartLines.Hex6, 3, 2)), "·")</f>
        <v>41</v>
      </c>
      <c r="J78">
        <f t="shared" ref="J78:J80" si="184" xml:space="preserve"> IF(LEN(ChartLines.Hex6)=6, HEX2DEC(RIGHT(ChartLines.Hex6, 2)), "·")</f>
        <v>28</v>
      </c>
      <c r="K78" cm="1">
        <f t="array" ref="K78" xml:space="preserve"> 1 + ROW() - _xlfn.SINGLE(ROW(ChartLines.RowNum))</f>
        <v>76</v>
      </c>
    </row>
    <row r="79" spans="2:11">
      <c r="B79" t="s">
        <v>1836</v>
      </c>
      <c r="E79" t="str">
        <f t="shared" ref="E79:E81" si="185" xml:space="preserve"> IF(AND(LEN(ChartLines.ID)&gt;0,"Unused"&lt;&gt;ChartLines.ID), COUNTIFS(ChartLines.ID,ChartLines.ID), "·")</f>
        <v>·</v>
      </c>
      <c r="F79" t="str">
        <f t="shared" ref="F79:F81" si="186" xml:space="preserve"> IF(AND(LEN(ChartLines.ID)&gt;0,"Unused"&lt;&gt;ChartLines.ID), COUNTIFS(ChartLines.ID,ChartLines.ID,   ChartLines.RowNum,"&lt;="&amp;ChartLines.RowNum), "·")</f>
        <v>·</v>
      </c>
      <c r="G79" t="str" cm="1">
        <f t="array" ref="G79" xml:space="preserve"> _xlfn.IFS(OR(LEN(_xlfn.SINGLE(ChartLines.ID))=0,"Unused"=_xlfn.SINGLE(ChartLines.ID)), "·",   1=_xlfn.SINGLE(ChartLines.NumInstances), IF("USD"=_xlfn.SINGLE(ChartLines.ID), "SoleBig", "SoleOrdinary"),   1=_xlfn.SINGLE(ChartLines.InstanceNum), "Outer",   TRUE, "Inner")</f>
        <v>·</v>
      </c>
      <c r="H79" t="str">
        <f t="shared" ref="H79:H81" si="187" xml:space="preserve"> IF(LEN(ChartLines.Hex6)=6, HEX2DEC(LEFT(ChartLines.Hex6, 2)), "·")</f>
        <v>·</v>
      </c>
      <c r="I79" t="str">
        <f t="shared" ref="I79:I81" si="188" xml:space="preserve"> IF(LEN(ChartLines.Hex6)=6, HEX2DEC(MID(ChartLines.Hex6, 3, 2)), "·")</f>
        <v>·</v>
      </c>
      <c r="J79" t="str">
        <f t="shared" ref="J79:J81" si="189" xml:space="preserve"> IF(LEN(ChartLines.Hex6)=6, HEX2DEC(RIGHT(ChartLines.Hex6, 2)), "·")</f>
        <v>·</v>
      </c>
      <c r="K79" cm="1">
        <f t="array" ref="K79" xml:space="preserve"> 1 + ROW() - _xlfn.SINGLE(ROW(ChartLines.RowNum))</f>
        <v>77</v>
      </c>
    </row>
    <row r="80" spans="2:11">
      <c r="B80" t="s">
        <v>2298</v>
      </c>
      <c r="C80" t="s">
        <v>1858</v>
      </c>
      <c r="E80">
        <f t="shared" si="180"/>
        <v>2</v>
      </c>
      <c r="F80">
        <f t="shared" si="181"/>
        <v>1</v>
      </c>
      <c r="G80" t="str" cm="1">
        <f t="array" ref="G80" xml:space="preserve"> _xlfn.IFS(OR(LEN(_xlfn.SINGLE(ChartLines.ID))=0,"Unused"=_xlfn.SINGLE(ChartLines.ID)), "·",   1=_xlfn.SINGLE(ChartLines.NumInstances), IF("USD"=_xlfn.SINGLE(ChartLines.ID), "SoleBig", "SoleOrdinary"),   1=_xlfn.SINGLE(ChartLines.InstanceNum), "Outer",   TRUE, "Inner")</f>
        <v>Outer</v>
      </c>
      <c r="H80">
        <f t="shared" si="182"/>
        <v>218</v>
      </c>
      <c r="I80">
        <f t="shared" si="183"/>
        <v>41</v>
      </c>
      <c r="J80">
        <f t="shared" si="184"/>
        <v>28</v>
      </c>
      <c r="K80" cm="1">
        <f t="array" ref="K80" xml:space="preserve"> 1 + ROW() - _xlfn.SINGLE(ROW(ChartLines.RowNum))</f>
        <v>78</v>
      </c>
    </row>
    <row r="81" spans="2:11">
      <c r="B81" t="s">
        <v>2298</v>
      </c>
      <c r="C81" t="str">
        <f xml:space="preserve"> "00FF00"</f>
        <v>00FF00</v>
      </c>
      <c r="E81">
        <f t="shared" si="185"/>
        <v>2</v>
      </c>
      <c r="F81">
        <f t="shared" si="186"/>
        <v>2</v>
      </c>
      <c r="G81" t="str" cm="1">
        <f t="array" ref="G81" xml:space="preserve"> _xlfn.IFS(OR(LEN(_xlfn.SINGLE(ChartLines.ID))=0,"Unused"=_xlfn.SINGLE(ChartLines.ID)), "·",   1=_xlfn.SINGLE(ChartLines.NumInstances), IF("USD"=_xlfn.SINGLE(ChartLines.ID), "SoleBig", "SoleOrdinary"),   1=_xlfn.SINGLE(ChartLines.InstanceNum), "Outer",   TRUE, "Inner")</f>
        <v>Inner</v>
      </c>
      <c r="H81">
        <f t="shared" si="187"/>
        <v>0</v>
      </c>
      <c r="I81">
        <f t="shared" si="188"/>
        <v>255</v>
      </c>
      <c r="J81">
        <f t="shared" si="189"/>
        <v>0</v>
      </c>
      <c r="K81" cm="1">
        <f t="array" ref="K81" xml:space="preserve"> 1 + ROW() - _xlfn.SINGLE(ROW(ChartLines.RowNum))</f>
        <v>79</v>
      </c>
    </row>
    <row r="82" spans="2:11">
      <c r="B82" t="s">
        <v>675</v>
      </c>
      <c r="C82" t="s">
        <v>1859</v>
      </c>
      <c r="E82">
        <f t="shared" ref="E82:E84" si="190" xml:space="preserve"> IF(AND(LEN(ChartLines.ID)&gt;0,"Unused"&lt;&gt;ChartLines.ID), COUNTIFS(ChartLines.ID,ChartLines.ID), "·")</f>
        <v>2</v>
      </c>
      <c r="F82">
        <f t="shared" ref="F82:F84" si="191"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ref="H82:H84" si="192" xml:space="preserve"> IF(LEN(ChartLines.Hex6)=6, HEX2DEC(LEFT(ChartLines.Hex6, 2)), "·")</f>
        <v>255</v>
      </c>
      <c r="I82">
        <f t="shared" ref="I82:I84" si="193" xml:space="preserve"> IF(LEN(ChartLines.Hex6)=6, HEX2DEC(MID(ChartLines.Hex6, 3, 2)), "·")</f>
        <v>136</v>
      </c>
      <c r="J82">
        <f t="shared" ref="J82:J84" si="194" xml:space="preserve"> IF(LEN(ChartLines.Hex6)=6, HEX2DEC(RIGHT(ChartLines.Hex6, 2)), "·")</f>
        <v>62</v>
      </c>
      <c r="K82" cm="1">
        <f t="array" ref="K82" xml:space="preserve"> 1 + ROW() - _xlfn.SINGLE(ROW(ChartLines.RowNum))</f>
        <v>80</v>
      </c>
    </row>
    <row r="83" spans="2:11">
      <c r="B83" t="s">
        <v>675</v>
      </c>
      <c r="C83" t="s">
        <v>1860</v>
      </c>
      <c r="E83">
        <f t="shared" ref="E83:E85" si="195" xml:space="preserve"> IF(AND(LEN(ChartLines.ID)&gt;0,"Unused"&lt;&gt;ChartLines.ID), COUNTIFS(ChartLines.ID,ChartLines.ID), "·")</f>
        <v>2</v>
      </c>
      <c r="F83">
        <f t="shared" ref="F83:F85" si="196" xml:space="preserve"> IF(AND(LEN(ChartLines.ID)&gt;0,"Unused"&lt;&gt;ChartLines.ID), COUNTIFS(ChartLines.ID,ChartLines.ID,   ChartLines.RowNum,"&lt;="&amp;ChartLines.RowNum), "·")</f>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ref="H83:H85" si="197" xml:space="preserve"> IF(LEN(ChartLines.Hex6)=6, HEX2DEC(LEFT(ChartLines.Hex6, 2)), "·")</f>
        <v>22</v>
      </c>
      <c r="I83">
        <f t="shared" ref="I83:I85" si="198" xml:space="preserve"> IF(LEN(ChartLines.Hex6)=6, HEX2DEC(MID(ChartLines.Hex6, 3, 2)), "·")</f>
        <v>155</v>
      </c>
      <c r="J83">
        <f t="shared" ref="J83:J85" si="199" xml:space="preserve"> IF(LEN(ChartLines.Hex6)=6, HEX2DEC(RIGHT(ChartLines.Hex6, 2)), "·")</f>
        <v>98</v>
      </c>
      <c r="K83" cm="1">
        <f t="array" ref="K83" xml:space="preserve"> 1 + ROW() - _xlfn.SINGLE(ROW(ChartLines.RowNum))</f>
        <v>81</v>
      </c>
    </row>
    <row r="84" spans="2:11">
      <c r="B84" t="s">
        <v>2299</v>
      </c>
      <c r="C84" t="s">
        <v>1860</v>
      </c>
      <c r="E84">
        <f t="shared" si="190"/>
        <v>2</v>
      </c>
      <c r="F84">
        <f t="shared" si="191"/>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si="192"/>
        <v>22</v>
      </c>
      <c r="I84">
        <f t="shared" si="193"/>
        <v>155</v>
      </c>
      <c r="J84">
        <f t="shared" si="194"/>
        <v>98</v>
      </c>
      <c r="K84" cm="1">
        <f t="array" ref="K84" xml:space="preserve"> 1 + ROW() - _xlfn.SINGLE(ROW(ChartLines.RowNum))</f>
        <v>82</v>
      </c>
    </row>
    <row r="85" spans="2:11">
      <c r="B85" t="s">
        <v>2299</v>
      </c>
      <c r="C85" t="s">
        <v>1859</v>
      </c>
      <c r="E85">
        <f t="shared" si="195"/>
        <v>2</v>
      </c>
      <c r="F85">
        <f t="shared" si="196"/>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si="197"/>
        <v>255</v>
      </c>
      <c r="I85">
        <f t="shared" si="198"/>
        <v>136</v>
      </c>
      <c r="J85">
        <f t="shared" si="199"/>
        <v>62</v>
      </c>
      <c r="K85" cm="1">
        <f t="array" ref="K85" xml:space="preserve"> 1 + ROW() - _xlfn.SINGLE(ROW(ChartLines.RowNum))</f>
        <v>83</v>
      </c>
    </row>
    <row r="86" spans="2:11">
      <c r="B86" t="s">
        <v>358</v>
      </c>
      <c r="C86" t="s">
        <v>1838</v>
      </c>
      <c r="E86">
        <f t="shared" ref="E86:E88" si="200" xml:space="preserve"> IF(AND(LEN(ChartLines.ID)&gt;0,"Unused"&lt;&gt;ChartLines.ID), COUNTIFS(ChartLines.ID,ChartLines.ID), "·")</f>
        <v>2</v>
      </c>
      <c r="F86">
        <f t="shared" ref="F86:F88" si="201"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ref="H86:H88" si="202" xml:space="preserve"> IF(LEN(ChartLines.Hex6)=6, HEX2DEC(LEFT(ChartLines.Hex6, 2)), "·")</f>
        <v>239</v>
      </c>
      <c r="I86">
        <f t="shared" ref="I86:I88" si="203" xml:space="preserve"> IF(LEN(ChartLines.Hex6)=6, HEX2DEC(MID(ChartLines.Hex6, 3, 2)), "·")</f>
        <v>51</v>
      </c>
      <c r="J86">
        <f t="shared" ref="J86:J88" si="204" xml:space="preserve"> IF(LEN(ChartLines.Hex6)=6, HEX2DEC(RIGHT(ChartLines.Hex6, 2)), "·")</f>
        <v>64</v>
      </c>
      <c r="K86" cm="1">
        <f t="array" ref="K86" xml:space="preserve"> 1 + ROW() - _xlfn.SINGLE(ROW(ChartLines.RowNum))</f>
        <v>84</v>
      </c>
    </row>
    <row r="87" spans="2:11">
      <c r="B87" t="s">
        <v>358</v>
      </c>
      <c r="C87" t="s">
        <v>1861</v>
      </c>
      <c r="E87">
        <f t="shared" ref="E87:E89" si="205" xml:space="preserve"> IF(AND(LEN(ChartLines.ID)&gt;0,"Unused"&lt;&gt;ChartLines.ID), COUNTIFS(ChartLines.ID,ChartLines.ID), "·")</f>
        <v>2</v>
      </c>
      <c r="F87">
        <f t="shared" ref="F87:F89" si="206"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ref="H87:H89" si="207" xml:space="preserve"> IF(LEN(ChartLines.Hex6)=6, HEX2DEC(LEFT(ChartLines.Hex6, 2)), "·")</f>
        <v>3</v>
      </c>
      <c r="I87">
        <f t="shared" ref="I87:I89" si="208" xml:space="preserve"> IF(LEN(ChartLines.Hex6)=6, HEX2DEC(MID(ChartLines.Hex6, 3, 2)), "·")</f>
        <v>77</v>
      </c>
      <c r="J87">
        <f t="shared" ref="J87:J89" si="209" xml:space="preserve"> IF(LEN(ChartLines.Hex6)=6, HEX2DEC(RIGHT(ChartLines.Hex6, 2)), "·")</f>
        <v>163</v>
      </c>
      <c r="K87" cm="1">
        <f t="array" ref="K87" xml:space="preserve"> 1 + ROW() - _xlfn.SINGLE(ROW(ChartLines.RowNum))</f>
        <v>85</v>
      </c>
    </row>
    <row r="88" spans="2:11">
      <c r="B88" t="s">
        <v>2294</v>
      </c>
      <c r="C88" t="s">
        <v>1861</v>
      </c>
      <c r="E88">
        <f t="shared" si="200"/>
        <v>2</v>
      </c>
      <c r="F88">
        <f t="shared" si="201"/>
        <v>1</v>
      </c>
      <c r="G88" t="str" cm="1">
        <f t="array" ref="G88" xml:space="preserve"> _xlfn.IFS(OR(LEN(_xlfn.SINGLE(ChartLines.ID))=0,"Unused"=_xlfn.SINGLE(ChartLines.ID)), "·",   1=_xlfn.SINGLE(ChartLines.NumInstances), IF("USD"=_xlfn.SINGLE(ChartLines.ID), "SoleBig", "SoleOrdinary"),   1=_xlfn.SINGLE(ChartLines.InstanceNum), "Outer",   TRUE, "Inner")</f>
        <v>Outer</v>
      </c>
      <c r="H88">
        <f t="shared" si="202"/>
        <v>3</v>
      </c>
      <c r="I88">
        <f t="shared" si="203"/>
        <v>77</v>
      </c>
      <c r="J88">
        <f t="shared" si="204"/>
        <v>163</v>
      </c>
      <c r="K88" cm="1">
        <f t="array" ref="K88" xml:space="preserve"> 1 + ROW() - _xlfn.SINGLE(ROW(ChartLines.RowNum))</f>
        <v>86</v>
      </c>
    </row>
    <row r="89" spans="2:11">
      <c r="B89" t="s">
        <v>2294</v>
      </c>
      <c r="C89" t="s">
        <v>1838</v>
      </c>
      <c r="E89">
        <f t="shared" si="205"/>
        <v>2</v>
      </c>
      <c r="F89">
        <f t="shared" si="206"/>
        <v>2</v>
      </c>
      <c r="G89" t="str" cm="1">
        <f t="array" ref="G89" xml:space="preserve"> _xlfn.IFS(OR(LEN(_xlfn.SINGLE(ChartLines.ID))=0,"Unused"=_xlfn.SINGLE(ChartLines.ID)), "·",   1=_xlfn.SINGLE(ChartLines.NumInstances), IF("USD"=_xlfn.SINGLE(ChartLines.ID), "SoleBig", "SoleOrdinary"),   1=_xlfn.SINGLE(ChartLines.InstanceNum), "Outer",   TRUE, "Inner")</f>
        <v>Inner</v>
      </c>
      <c r="H89">
        <f t="shared" si="207"/>
        <v>239</v>
      </c>
      <c r="I89">
        <f t="shared" si="208"/>
        <v>51</v>
      </c>
      <c r="J89">
        <f t="shared" si="209"/>
        <v>64</v>
      </c>
      <c r="K89" cm="1">
        <f t="array" ref="K89" xml:space="preserve"> 1 + ROW() - _xlfn.SINGLE(ROW(ChartLines.RowNum))</f>
        <v>87</v>
      </c>
    </row>
    <row r="90" spans="2:11">
      <c r="B90" t="s">
        <v>614</v>
      </c>
      <c r="C90" t="s">
        <v>2163</v>
      </c>
      <c r="E90">
        <f t="shared" ref="E90" si="210" xml:space="preserve"> IF(AND(LEN(ChartLines.ID)&gt;0,"Unused"&lt;&gt;ChartLines.ID), COUNTIFS(ChartLines.ID,ChartLines.ID), "·")</f>
        <v>2</v>
      </c>
      <c r="F90">
        <f t="shared" ref="F90" si="211"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ref="H90" si="212" xml:space="preserve"> IF(LEN(ChartLines.Hex6)=6, HEX2DEC(LEFT(ChartLines.Hex6, 2)), "·")</f>
        <v>0</v>
      </c>
      <c r="I90">
        <f t="shared" ref="I90" si="213" xml:space="preserve"> IF(LEN(ChartLines.Hex6)=6, HEX2DEC(MID(ChartLines.Hex6, 3, 2)), "·")</f>
        <v>96</v>
      </c>
      <c r="J90">
        <f t="shared" ref="J90" si="214" xml:space="preserve"> IF(LEN(ChartLines.Hex6)=6, HEX2DEC(RIGHT(ChartLines.Hex6, 2)), "·")</f>
        <v>255</v>
      </c>
      <c r="K90" cm="1">
        <f t="array" ref="K90" xml:space="preserve"> 1 + ROW() - _xlfn.SINGLE(ROW(ChartLines.RowNum))</f>
        <v>88</v>
      </c>
    </row>
    <row r="91" spans="2:11">
      <c r="B91" t="s">
        <v>614</v>
      </c>
      <c r="C91" t="s">
        <v>1862</v>
      </c>
      <c r="E91">
        <f t="shared" ref="E91" si="215" xml:space="preserve"> IF(AND(LEN(ChartLines.ID)&gt;0,"Unused"&lt;&gt;ChartLines.ID), COUNTIFS(ChartLines.ID,ChartLines.ID), "·")</f>
        <v>2</v>
      </c>
      <c r="F91">
        <f t="shared" ref="F91" si="216" xml:space="preserve"> IF(AND(LEN(ChartLines.ID)&gt;0,"Unused"&lt;&gt;ChartLines.ID), COUNTIFS(ChartLines.ID,ChartLines.ID,   ChartLines.RowNum,"&lt;="&amp;ChartLines.RowNum), "·")</f>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ref="H91" si="217" xml:space="preserve"> IF(LEN(ChartLines.Hex6)=6, HEX2DEC(LEFT(ChartLines.Hex6, 2)), "·")</f>
        <v>255</v>
      </c>
      <c r="I91">
        <f t="shared" ref="I91" si="218" xml:space="preserve"> IF(LEN(ChartLines.Hex6)=6, HEX2DEC(MID(ChartLines.Hex6, 3, 2)), "·")</f>
        <v>230</v>
      </c>
      <c r="J91">
        <f t="shared" ref="J91" si="219" xml:space="preserve"> IF(LEN(ChartLines.Hex6)=6, HEX2DEC(RIGHT(ChartLines.Hex6, 2)), "·")</f>
        <v>0</v>
      </c>
      <c r="K91" cm="1">
        <f t="array" ref="K91" xml:space="preserve"> 1 + ROW() - _xlfn.SINGLE(ROW(ChartLines.RowNum))</f>
        <v>89</v>
      </c>
    </row>
    <row r="92" spans="2:11">
      <c r="B92" t="s">
        <v>104</v>
      </c>
      <c r="C92" t="s">
        <v>1863</v>
      </c>
      <c r="E92">
        <f t="shared" ref="E92" si="220" xml:space="preserve"> IF(AND(LEN(ChartLines.ID)&gt;0,"Unused"&lt;&gt;ChartLines.ID), COUNTIFS(ChartLines.ID,ChartLines.ID), "·")</f>
        <v>1</v>
      </c>
      <c r="F92">
        <f t="shared" ref="F92" si="22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SoleOrdinary</v>
      </c>
      <c r="H92">
        <f t="shared" ref="H92" si="222" xml:space="preserve"> IF(LEN(ChartLines.Hex6)=6, HEX2DEC(LEFT(ChartLines.Hex6, 2)), "·")</f>
        <v>0</v>
      </c>
      <c r="I92">
        <f t="shared" ref="I92" si="223" xml:space="preserve"> IF(LEN(ChartLines.Hex6)=6, HEX2DEC(MID(ChartLines.Hex6, 3, 2)), "·")</f>
        <v>163</v>
      </c>
      <c r="J92">
        <f t="shared" ref="J92" si="224" xml:space="preserve"> IF(LEN(ChartLines.Hex6)=6, HEX2DEC(RIGHT(ChartLines.Hex6, 2)), "·")</f>
        <v>224</v>
      </c>
      <c r="K92" cm="1">
        <f t="array" ref="K92" xml:space="preserve"> 1 + ROW() - _xlfn.SINGLE(ROW(ChartLines.RowNum))</f>
        <v>90</v>
      </c>
    </row>
    <row r="93" spans="2:11">
      <c r="B93" t="s">
        <v>1836</v>
      </c>
      <c r="E93" t="str">
        <f t="shared" ref="E93" si="225" xml:space="preserve"> IF(AND(LEN(ChartLines.ID)&gt;0,"Unused"&lt;&gt;ChartLines.ID), COUNTIFS(ChartLines.ID,ChartLines.ID), "·")</f>
        <v>·</v>
      </c>
      <c r="F93" t="str">
        <f t="shared" ref="F93" si="226" xml:space="preserve"> IF(AND(LEN(ChartLines.ID)&gt;0,"Unused"&lt;&gt;ChartLines.ID), COUNTIFS(ChartLines.ID,ChartLines.ID,   ChartLines.RowNum,"&lt;="&amp;ChartLines.RowNum), "·")</f>
        <v>·</v>
      </c>
      <c r="G93" t="str" cm="1">
        <f t="array" ref="G93" xml:space="preserve"> _xlfn.IFS(OR(LEN(_xlfn.SINGLE(ChartLines.ID))=0,"Unused"=_xlfn.SINGLE(ChartLines.ID)), "·",   1=_xlfn.SINGLE(ChartLines.NumInstances), IF("USD"=_xlfn.SINGLE(ChartLines.ID), "SoleBig", "SoleOrdinary"),   1=_xlfn.SINGLE(ChartLines.InstanceNum), "Outer",   TRUE, "Inner")</f>
        <v>·</v>
      </c>
      <c r="H93" t="str">
        <f t="shared" ref="H93" si="227" xml:space="preserve"> IF(LEN(ChartLines.Hex6)=6, HEX2DEC(LEFT(ChartLines.Hex6, 2)), "·")</f>
        <v>·</v>
      </c>
      <c r="I93" t="str">
        <f t="shared" ref="I93" si="228" xml:space="preserve"> IF(LEN(ChartLines.Hex6)=6, HEX2DEC(MID(ChartLines.Hex6, 3, 2)), "·")</f>
        <v>·</v>
      </c>
      <c r="J93" t="str">
        <f t="shared" ref="J93" si="229" xml:space="preserve"> IF(LEN(ChartLines.Hex6)=6, HEX2DEC(RIGHT(ChartLines.Hex6, 2)), "·")</f>
        <v>·</v>
      </c>
      <c r="K93" cm="1">
        <f t="array" ref="K93" xml:space="preserve"> 1 + ROW() - _xlfn.SINGLE(ROW(ChartLines.RowNum))</f>
        <v>91</v>
      </c>
    </row>
    <row r="94" spans="2:11">
      <c r="B94" t="s">
        <v>1666</v>
      </c>
      <c r="C94" t="str">
        <f xml:space="preserve"> "000000"</f>
        <v>000000</v>
      </c>
      <c r="E94">
        <f t="shared" ref="E94" si="230" xml:space="preserve"> IF(AND(LEN(ChartLines.ID)&gt;0,"Unused"&lt;&gt;ChartLines.ID), COUNTIFS(ChartLines.ID,ChartLines.ID), "·")</f>
        <v>1</v>
      </c>
      <c r="F94">
        <f t="shared" ref="F94" si="231"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SoleOrdinary</v>
      </c>
      <c r="H94">
        <f t="shared" ref="H94" si="232" xml:space="preserve"> IF(LEN(ChartLines.Hex6)=6, HEX2DEC(LEFT(ChartLines.Hex6, 2)), "·")</f>
        <v>0</v>
      </c>
      <c r="I94">
        <f t="shared" ref="I94" si="233" xml:space="preserve"> IF(LEN(ChartLines.Hex6)=6, HEX2DEC(MID(ChartLines.Hex6, 3, 2)), "·")</f>
        <v>0</v>
      </c>
      <c r="J94">
        <f t="shared" ref="J94" si="234" xml:space="preserve"> IF(LEN(ChartLines.Hex6)=6, HEX2DEC(RIGHT(ChartLines.Hex6, 2)), "·")</f>
        <v>0</v>
      </c>
      <c r="K94" cm="1">
        <f t="array" ref="K94" xml:space="preserve"> 1 + ROW() - _xlfn.SINGLE(ROW(ChartLines.RowNum))</f>
        <v>92</v>
      </c>
    </row>
    <row r="95" spans="2:11">
      <c r="B95" t="s">
        <v>1836</v>
      </c>
      <c r="E95" t="str">
        <f t="shared" ref="E95" si="235" xml:space="preserve"> IF(AND(LEN(ChartLines.ID)&gt;0,"Unused"&lt;&gt;ChartLines.ID), COUNTIFS(ChartLines.ID,ChartLines.ID), "·")</f>
        <v>·</v>
      </c>
      <c r="F95" t="str">
        <f t="shared" ref="F95" si="236" xml:space="preserve"> IF(AND(LEN(ChartLines.ID)&gt;0,"Unused"&lt;&gt;ChartLines.ID), COUNTIFS(ChartLines.ID,ChartLines.ID,   ChartLines.RowNum,"&lt;="&amp;ChartLines.RowNum), "·")</f>
        <v>·</v>
      </c>
      <c r="G95" t="str" cm="1">
        <f t="array" ref="G95" xml:space="preserve"> _xlfn.IFS(OR(LEN(_xlfn.SINGLE(ChartLines.ID))=0,"Unused"=_xlfn.SINGLE(ChartLines.ID)), "·",   1=_xlfn.SINGLE(ChartLines.NumInstances), IF("USD"=_xlfn.SINGLE(ChartLines.ID), "SoleBig", "SoleOrdinary"),   1=_xlfn.SINGLE(ChartLines.InstanceNum), "Outer",   TRUE, "Inner")</f>
        <v>·</v>
      </c>
      <c r="H95" t="str">
        <f t="shared" ref="H95" si="237" xml:space="preserve"> IF(LEN(ChartLines.Hex6)=6, HEX2DEC(LEFT(ChartLines.Hex6, 2)), "·")</f>
        <v>·</v>
      </c>
      <c r="I95" t="str">
        <f t="shared" ref="I95" si="238" xml:space="preserve"> IF(LEN(ChartLines.Hex6)=6, HEX2DEC(MID(ChartLines.Hex6, 3, 2)), "·")</f>
        <v>·</v>
      </c>
      <c r="J95" t="str">
        <f t="shared" ref="J95" si="239" xml:space="preserve"> IF(LEN(ChartLines.Hex6)=6, HEX2DEC(RIGHT(ChartLines.Hex6, 2)), "·")</f>
        <v>·</v>
      </c>
      <c r="K95" cm="1">
        <f t="array" ref="K95" xml:space="preserve"> 1 + ROW() - _xlfn.SINGLE(ROW(ChartLines.RowNum))</f>
        <v>93</v>
      </c>
    </row>
    <row r="96" spans="2:11">
      <c r="B96" t="s">
        <v>359</v>
      </c>
      <c r="C96" t="s">
        <v>1864</v>
      </c>
      <c r="E96">
        <f t="shared" ref="E96" si="240" xml:space="preserve"> IF(AND(LEN(ChartLines.ID)&gt;0,"Unused"&lt;&gt;ChartLines.ID), COUNTIFS(ChartLines.ID,ChartLines.ID), "·")</f>
        <v>2</v>
      </c>
      <c r="F96">
        <f t="shared" ref="F96" si="24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 si="242" xml:space="preserve"> IF(LEN(ChartLines.Hex6)=6, HEX2DEC(LEFT(ChartLines.Hex6, 2)), "·")</f>
        <v>0</v>
      </c>
      <c r="I96">
        <f t="shared" ref="I96" si="243" xml:space="preserve"> IF(LEN(ChartLines.Hex6)=6, HEX2DEC(MID(ChartLines.Hex6, 3, 2)), "·")</f>
        <v>106</v>
      </c>
      <c r="J96">
        <f t="shared" ref="J96" si="244" xml:space="preserve"> IF(LEN(ChartLines.Hex6)=6, HEX2DEC(RIGHT(ChartLines.Hex6, 2)), "·")</f>
        <v>68</v>
      </c>
      <c r="K96" cm="1">
        <f t="array" ref="K96" xml:space="preserve"> 1 + ROW() - _xlfn.SINGLE(ROW(ChartLines.RowNum))</f>
        <v>94</v>
      </c>
    </row>
    <row r="97" spans="2:11">
      <c r="B97" t="s">
        <v>359</v>
      </c>
      <c r="C97" t="s">
        <v>1865</v>
      </c>
      <c r="E97">
        <f t="shared" ref="E97" si="245" xml:space="preserve"> IF(AND(LEN(ChartLines.ID)&gt;0,"Unused"&lt;&gt;ChartLines.ID), COUNTIFS(ChartLines.ID,ChartLines.ID), "·")</f>
        <v>2</v>
      </c>
      <c r="F97">
        <f t="shared" ref="F97" si="24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 si="247" xml:space="preserve"> IF(LEN(ChartLines.Hex6)=6, HEX2DEC(LEFT(ChartLines.Hex6, 2)), "·")</f>
        <v>253</v>
      </c>
      <c r="I97">
        <f t="shared" ref="I97" si="248" xml:space="preserve"> IF(LEN(ChartLines.Hex6)=6, HEX2DEC(MID(ChartLines.Hex6, 3, 2)), "·")</f>
        <v>185</v>
      </c>
      <c r="J97">
        <f t="shared" ref="J97" si="249" xml:space="preserve"> IF(LEN(ChartLines.Hex6)=6, HEX2DEC(RIGHT(ChartLines.Hex6, 2)), "·")</f>
        <v>19</v>
      </c>
      <c r="K97" cm="1">
        <f t="array" ref="K97" xml:space="preserve"> 1 + ROW() - _xlfn.SINGLE(ROW(ChartLines.RowNum))</f>
        <v>95</v>
      </c>
    </row>
    <row r="98" spans="2:11">
      <c r="B98" t="s">
        <v>676</v>
      </c>
      <c r="C98" t="s">
        <v>1866</v>
      </c>
      <c r="E98">
        <f t="shared" ref="E98" si="250" xml:space="preserve"> IF(AND(LEN(ChartLines.ID)&gt;0,"Unused"&lt;&gt;ChartLines.ID), COUNTIFS(ChartLines.ID,ChartLines.ID), "·")</f>
        <v>2</v>
      </c>
      <c r="F98">
        <f t="shared" ref="F98" si="25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ref="H98" si="252" xml:space="preserve"> IF(LEN(ChartLines.Hex6)=6, HEX2DEC(LEFT(ChartLines.Hex6, 2)), "·")</f>
        <v>157</v>
      </c>
      <c r="I98">
        <f t="shared" ref="I98" si="253" xml:space="preserve"> IF(LEN(ChartLines.Hex6)=6, HEX2DEC(MID(ChartLines.Hex6, 3, 2)), "·")</f>
        <v>34</v>
      </c>
      <c r="J98">
        <f t="shared" ref="J98" si="254" xml:space="preserve"> IF(LEN(ChartLines.Hex6)=6, HEX2DEC(RIGHT(ChartLines.Hex6, 2)), "·")</f>
        <v>53</v>
      </c>
      <c r="K98" cm="1">
        <f t="array" ref="K98" xml:space="preserve"> 1 + ROW() - _xlfn.SINGLE(ROW(ChartLines.RowNum))</f>
        <v>96</v>
      </c>
    </row>
    <row r="99" spans="2:11">
      <c r="B99" t="s">
        <v>676</v>
      </c>
      <c r="C99" t="s">
        <v>1840</v>
      </c>
      <c r="E99">
        <f t="shared" ref="E99" si="255" xml:space="preserve"> IF(AND(LEN(ChartLines.ID)&gt;0,"Unused"&lt;&gt;ChartLines.ID), COUNTIFS(ChartLines.ID,ChartLines.ID), "·")</f>
        <v>2</v>
      </c>
      <c r="F99">
        <f t="shared" ref="F99" si="256"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ref="H99" si="257" xml:space="preserve"> IF(LEN(ChartLines.Hex6)=6, HEX2DEC(LEFT(ChartLines.Hex6, 2)), "·")</f>
        <v>255</v>
      </c>
      <c r="I99">
        <f t="shared" ref="I99" si="258" xml:space="preserve"> IF(LEN(ChartLines.Hex6)=6, HEX2DEC(MID(ChartLines.Hex6, 3, 2)), "·")</f>
        <v>255</v>
      </c>
      <c r="J99">
        <f t="shared" ref="J99" si="259" xml:space="preserve"> IF(LEN(ChartLines.Hex6)=6, HEX2DEC(RIGHT(ChartLines.Hex6, 2)), "·")</f>
        <v>255</v>
      </c>
      <c r="K99" cm="1">
        <f t="array" ref="K99" xml:space="preserve"> 1 + ROW() - _xlfn.SINGLE(ROW(ChartLines.RowNum))</f>
        <v>97</v>
      </c>
    </row>
    <row r="100" spans="2:11">
      <c r="B100" t="s">
        <v>105</v>
      </c>
      <c r="C100" t="s">
        <v>1867</v>
      </c>
      <c r="E100">
        <f t="shared" ref="E100" si="260" xml:space="preserve"> IF(AND(LEN(ChartLines.ID)&gt;0,"Unused"&lt;&gt;ChartLines.ID), COUNTIFS(ChartLines.ID,ChartLines.ID), "·")</f>
        <v>2</v>
      </c>
      <c r="F100">
        <f t="shared" ref="F100" si="26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62" xml:space="preserve"> IF(LEN(ChartLines.Hex6)=6, HEX2DEC(LEFT(ChartLines.Hex6, 2)), "·")</f>
        <v>0</v>
      </c>
      <c r="I100">
        <f t="shared" ref="I100" si="263" xml:space="preserve"> IF(LEN(ChartLines.Hex6)=6, HEX2DEC(MID(ChartLines.Hex6, 3, 2)), "·")</f>
        <v>114</v>
      </c>
      <c r="J100">
        <f t="shared" ref="J100" si="264" xml:space="preserve"> IF(LEN(ChartLines.Hex6)=6, HEX2DEC(RIGHT(ChartLines.Hex6, 2)), "·")</f>
        <v>206</v>
      </c>
      <c r="K100" cm="1">
        <f t="array" ref="K100" xml:space="preserve"> 1 + ROW() - _xlfn.SINGLE(ROW(ChartLines.RowNum))</f>
        <v>98</v>
      </c>
    </row>
    <row r="101" spans="2:11">
      <c r="B101" t="s">
        <v>105</v>
      </c>
      <c r="C101" t="str">
        <f xml:space="preserve"> "000000"</f>
        <v>000000</v>
      </c>
      <c r="E101">
        <f t="shared" ref="E101" si="265" xml:space="preserve"> IF(AND(LEN(ChartLines.ID)&gt;0,"Unused"&lt;&gt;ChartLines.ID), COUNTIFS(ChartLines.ID,ChartLines.ID), "·")</f>
        <v>2</v>
      </c>
      <c r="F101">
        <f t="shared" ref="F101" si="26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67" xml:space="preserve"> IF(LEN(ChartLines.Hex6)=6, HEX2DEC(LEFT(ChartLines.Hex6, 2)), "·")</f>
        <v>0</v>
      </c>
      <c r="I101">
        <f t="shared" ref="I101" si="268" xml:space="preserve"> IF(LEN(ChartLines.Hex6)=6, HEX2DEC(MID(ChartLines.Hex6, 3, 2)), "·")</f>
        <v>0</v>
      </c>
      <c r="J101">
        <f t="shared" ref="J101" si="269" xml:space="preserve"> IF(LEN(ChartLines.Hex6)=6, HEX2DEC(RIGHT(ChartLines.Hex6, 2)), "·")</f>
        <v>0</v>
      </c>
      <c r="K101" cm="1">
        <f t="array" ref="K101" xml:space="preserve"> 1 + ROW() - _xlfn.SINGLE(ROW(ChartLines.RowNum))</f>
        <v>99</v>
      </c>
    </row>
    <row r="102" spans="2:11">
      <c r="B102" t="s">
        <v>694</v>
      </c>
      <c r="C102" t="s">
        <v>1868</v>
      </c>
      <c r="E102">
        <f t="shared" ref="E102" si="270" xml:space="preserve"> IF(AND(LEN(ChartLines.ID)&gt;0,"Unused"&lt;&gt;ChartLines.ID), COUNTIFS(ChartLines.ID,ChartLines.ID), "·")</f>
        <v>2</v>
      </c>
      <c r="F102">
        <f t="shared" ref="F102" si="27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f t="shared" ref="H102" si="272" xml:space="preserve"> IF(LEN(ChartLines.Hex6)=6, HEX2DEC(LEFT(ChartLines.Hex6, 2)), "·")</f>
        <v>213</v>
      </c>
      <c r="I102">
        <f t="shared" ref="I102" si="273" xml:space="preserve"> IF(LEN(ChartLines.Hex6)=6, HEX2DEC(MID(ChartLines.Hex6, 3, 2)), "·")</f>
        <v>120</v>
      </c>
      <c r="J102">
        <f t="shared" ref="J102" si="274" xml:space="preserve"> IF(LEN(ChartLines.Hex6)=6, HEX2DEC(RIGHT(ChartLines.Hex6, 2)), "·")</f>
        <v>0</v>
      </c>
      <c r="K102" cm="1">
        <f t="array" ref="K102" xml:space="preserve"> 1 + ROW() - _xlfn.SINGLE(ROW(ChartLines.RowNum))</f>
        <v>100</v>
      </c>
    </row>
    <row r="103" spans="2:11">
      <c r="B103" t="s">
        <v>694</v>
      </c>
      <c r="C103" t="s">
        <v>1869</v>
      </c>
      <c r="E103">
        <f t="shared" ref="E103" si="275" xml:space="preserve"> IF(AND(LEN(ChartLines.ID)&gt;0,"Unused"&lt;&gt;ChartLines.ID), COUNTIFS(ChartLines.ID,ChartLines.ID), "·")</f>
        <v>2</v>
      </c>
      <c r="F103">
        <f t="shared" ref="F103" si="276"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f t="shared" ref="H103" si="277" xml:space="preserve"> IF(LEN(ChartLines.Hex6)=6, HEX2DEC(LEFT(ChartLines.Hex6, 2)), "·")</f>
        <v>78</v>
      </c>
      <c r="I103">
        <f t="shared" ref="I103" si="278" xml:space="preserve"> IF(LEN(ChartLines.Hex6)=6, HEX2DEC(MID(ChartLines.Hex6, 3, 2)), "·")</f>
        <v>91</v>
      </c>
      <c r="J103">
        <f t="shared" ref="J103" si="279" xml:space="preserve"> IF(LEN(ChartLines.Hex6)=6, HEX2DEC(RIGHT(ChartLines.Hex6, 2)), "·")</f>
        <v>49</v>
      </c>
      <c r="K103" cm="1">
        <f t="array" ref="K103" xml:space="preserve"> 1 + ROW() - _xlfn.SINGLE(ROW(ChartLines.RowNum))</f>
        <v>101</v>
      </c>
    </row>
    <row r="104" spans="2:11">
      <c r="B104" t="s">
        <v>714</v>
      </c>
      <c r="C104" t="s">
        <v>1870</v>
      </c>
      <c r="E104">
        <f t="shared" ref="E104" si="280" xml:space="preserve"> IF(AND(LEN(ChartLines.ID)&gt;0,"Unused"&lt;&gt;ChartLines.ID), COUNTIFS(ChartLines.ID,ChartLines.ID), "·")</f>
        <v>2</v>
      </c>
      <c r="F104">
        <f t="shared" ref="F104" si="28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Outer</v>
      </c>
      <c r="H104">
        <f t="shared" ref="H104" si="282" xml:space="preserve"> IF(LEN(ChartLines.Hex6)=6, HEX2DEC(LEFT(ChartLines.Hex6, 2)), "·")</f>
        <v>207</v>
      </c>
      <c r="I104">
        <f t="shared" ref="I104" si="283" xml:space="preserve"> IF(LEN(ChartLines.Hex6)=6, HEX2DEC(MID(ChartLines.Hex6, 3, 2)), "·")</f>
        <v>20</v>
      </c>
      <c r="J104">
        <f t="shared" ref="J104" si="284" xml:space="preserve"> IF(LEN(ChartLines.Hex6)=6, HEX2DEC(RIGHT(ChartLines.Hex6, 2)), "·")</f>
        <v>43</v>
      </c>
      <c r="K104" cm="1">
        <f t="array" ref="K104" xml:space="preserve"> 1 + ROW() - _xlfn.SINGLE(ROW(ChartLines.RowNum))</f>
        <v>102</v>
      </c>
    </row>
    <row r="105" spans="2:11">
      <c r="B105" t="s">
        <v>714</v>
      </c>
      <c r="C105" t="s">
        <v>2161</v>
      </c>
      <c r="E105">
        <f t="shared" ref="E105" si="285" xml:space="preserve"> IF(AND(LEN(ChartLines.ID)&gt;0,"Unused"&lt;&gt;ChartLines.ID), COUNTIFS(ChartLines.ID,ChartLines.ID), "·")</f>
        <v>2</v>
      </c>
      <c r="F105">
        <f t="shared" ref="F105" si="286" xml:space="preserve"> IF(AND(LEN(ChartLines.ID)&gt;0,"Unused"&lt;&gt;ChartLines.ID), COUNTIFS(ChartLines.ID,ChartLines.ID,   ChartLines.RowNum,"&lt;="&amp;ChartLines.RowNum), "·")</f>
        <v>2</v>
      </c>
      <c r="G105" t="str" cm="1">
        <f t="array" ref="G105" xml:space="preserve"> _xlfn.IFS(OR(LEN(_xlfn.SINGLE(ChartLines.ID))=0,"Unused"=_xlfn.SINGLE(ChartLines.ID)), "·",   1=_xlfn.SINGLE(ChartLines.NumInstances), IF("USD"=_xlfn.SINGLE(ChartLines.ID), "SoleBig", "SoleOrdinary"),   1=_xlfn.SINGLE(ChartLines.InstanceNum), "Outer",   TRUE, "Inner")</f>
        <v>Inner</v>
      </c>
      <c r="H105">
        <f t="shared" ref="H105" si="287" xml:space="preserve"> IF(LEN(ChartLines.Hex6)=6, HEX2DEC(LEFT(ChartLines.Hex6, 2)), "·")</f>
        <v>192</v>
      </c>
      <c r="I105">
        <f t="shared" ref="I105" si="288" xml:space="preserve"> IF(LEN(ChartLines.Hex6)=6, HEX2DEC(MID(ChartLines.Hex6, 3, 2)), "·")</f>
        <v>192</v>
      </c>
      <c r="J105">
        <f t="shared" ref="J105" si="289" xml:space="preserve"> IF(LEN(ChartLines.Hex6)=6, HEX2DEC(RIGHT(ChartLines.Hex6, 2)), "·")</f>
        <v>192</v>
      </c>
      <c r="K105" cm="1">
        <f t="array" ref="K105" xml:space="preserve"> 1 + ROW() - _xlfn.SINGLE(ROW(ChartLines.RowNum))</f>
        <v>103</v>
      </c>
    </row>
    <row r="106" spans="2:11">
      <c r="B106" t="s">
        <v>715</v>
      </c>
      <c r="C106" t="s">
        <v>1871</v>
      </c>
      <c r="E106">
        <f t="shared" ref="E106" si="290" xml:space="preserve"> IF(AND(LEN(ChartLines.ID)&gt;0,"Unused"&lt;&gt;ChartLines.ID), COUNTIFS(ChartLines.ID,ChartLines.ID), "·")</f>
        <v>2</v>
      </c>
      <c r="F106">
        <f t="shared" ref="F106" si="29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92" xml:space="preserve"> IF(LEN(ChartLines.Hex6)=6, HEX2DEC(LEFT(ChartLines.Hex6, 2)), "·")</f>
        <v>33</v>
      </c>
      <c r="I106">
        <f t="shared" ref="I106" si="293" xml:space="preserve"> IF(LEN(ChartLines.Hex6)=6, HEX2DEC(MID(ChartLines.Hex6, 3, 2)), "·")</f>
        <v>95</v>
      </c>
      <c r="J106">
        <f t="shared" ref="J106" si="294" xml:space="preserve"> IF(LEN(ChartLines.Hex6)=6, HEX2DEC(RIGHT(ChartLines.Hex6, 2)), "·")</f>
        <v>143</v>
      </c>
      <c r="K106" cm="1">
        <f t="array" ref="K106" xml:space="preserve"> 1 + ROW() - _xlfn.SINGLE(ROW(ChartLines.RowNum))</f>
        <v>104</v>
      </c>
    </row>
    <row r="107" spans="2:11">
      <c r="B107" t="s">
        <v>715</v>
      </c>
      <c r="C107" t="s">
        <v>1872</v>
      </c>
      <c r="E107">
        <f t="shared" ref="E107" si="295" xml:space="preserve"> IF(AND(LEN(ChartLines.ID)&gt;0,"Unused"&lt;&gt;ChartLines.ID), COUNTIFS(ChartLines.ID,ChartLines.ID), "·")</f>
        <v>2</v>
      </c>
      <c r="F107">
        <f t="shared" ref="F107" si="29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97" xml:space="preserve"> IF(LEN(ChartLines.Hex6)=6, HEX2DEC(LEFT(ChartLines.Hex6, 2)), "·")</f>
        <v>211</v>
      </c>
      <c r="I107">
        <f t="shared" ref="I107" si="298" xml:space="preserve"> IF(LEN(ChartLines.Hex6)=6, HEX2DEC(MID(ChartLines.Hex6, 3, 2)), "·")</f>
        <v>174</v>
      </c>
      <c r="J107">
        <f t="shared" ref="J107" si="299" xml:space="preserve"> IF(LEN(ChartLines.Hex6)=6, HEX2DEC(RIGHT(ChartLines.Hex6, 2)), "·")</f>
        <v>69</v>
      </c>
      <c r="K107" cm="1">
        <f t="array" ref="K107" xml:space="preserve"> 1 + ROW() - _xlfn.SINGLE(ROW(ChartLines.RowNum))</f>
        <v>105</v>
      </c>
    </row>
    <row r="108" spans="2:11">
      <c r="B108" t="s">
        <v>1705</v>
      </c>
      <c r="C108" t="str">
        <f xml:space="preserve"> "000000"</f>
        <v>000000</v>
      </c>
      <c r="E108">
        <f t="shared" ref="E108" si="300" xml:space="preserve"> IF(AND(LEN(ChartLines.ID)&gt;0,"Unused"&lt;&gt;ChartLines.ID), COUNTIFS(ChartLines.ID,ChartLines.ID), "·")</f>
        <v>2</v>
      </c>
      <c r="F108">
        <f t="shared" ref="F108" si="30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302" xml:space="preserve"> IF(LEN(ChartLines.Hex6)=6, HEX2DEC(LEFT(ChartLines.Hex6, 2)), "·")</f>
        <v>0</v>
      </c>
      <c r="I108">
        <f t="shared" ref="I108" si="303" xml:space="preserve"> IF(LEN(ChartLines.Hex6)=6, HEX2DEC(MID(ChartLines.Hex6, 3, 2)), "·")</f>
        <v>0</v>
      </c>
      <c r="J108">
        <f t="shared" ref="J108" si="304" xml:space="preserve"> IF(LEN(ChartLines.Hex6)=6, HEX2DEC(RIGHT(ChartLines.Hex6, 2)), "·")</f>
        <v>0</v>
      </c>
      <c r="K108" cm="1">
        <f t="array" ref="K108" xml:space="preserve"> 1 + ROW() - _xlfn.SINGLE(ROW(ChartLines.RowNum))</f>
        <v>106</v>
      </c>
    </row>
    <row r="109" spans="2:11">
      <c r="B109" t="s">
        <v>1705</v>
      </c>
      <c r="C109" t="s">
        <v>1873</v>
      </c>
      <c r="E109">
        <f t="shared" ref="E109:E137" si="305" xml:space="preserve"> IF(AND(LEN(ChartLines.ID)&gt;0,"Unused"&lt;&gt;ChartLines.ID), COUNTIFS(ChartLines.ID,ChartLines.ID), "·")</f>
        <v>2</v>
      </c>
      <c r="F109">
        <f t="shared" ref="F109:F137" si="30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H137" si="307" xml:space="preserve"> IF(LEN(ChartLines.Hex6)=6, HEX2DEC(LEFT(ChartLines.Hex6, 2)), "·")</f>
        <v>208</v>
      </c>
      <c r="I109">
        <f t="shared" ref="I109:I137" si="308" xml:space="preserve"> IF(LEN(ChartLines.Hex6)=6, HEX2DEC(MID(ChartLines.Hex6, 3, 2)), "·")</f>
        <v>166</v>
      </c>
      <c r="J109">
        <f t="shared" ref="J109:J137" si="309" xml:space="preserve"> IF(LEN(ChartLines.Hex6)=6, HEX2DEC(RIGHT(ChartLines.Hex6, 2)), "·")</f>
        <v>80</v>
      </c>
      <c r="K109" cm="1">
        <f t="array" ref="K109" xml:space="preserve"> 1 + ROW() - _xlfn.SINGLE(ROW(ChartLines.RowNum))</f>
        <v>107</v>
      </c>
    </row>
    <row r="110" spans="2:11">
      <c r="B110" t="s">
        <v>795</v>
      </c>
      <c r="C110" t="s">
        <v>1874</v>
      </c>
      <c r="E110">
        <f t="shared" si="305"/>
        <v>2</v>
      </c>
      <c r="F110">
        <f t="shared" si="306"/>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si="307"/>
        <v>255</v>
      </c>
      <c r="I110">
        <f t="shared" si="308"/>
        <v>213</v>
      </c>
      <c r="J110">
        <f t="shared" si="309"/>
        <v>0</v>
      </c>
      <c r="K110" cm="1">
        <f t="array" ref="K110" xml:space="preserve"> 1 + ROW() - _xlfn.SINGLE(ROW(ChartLines.RowNum))</f>
        <v>108</v>
      </c>
    </row>
    <row r="111" spans="2:11">
      <c r="B111" t="s">
        <v>795</v>
      </c>
      <c r="C111" t="str">
        <f xml:space="preserve"> "004494"</f>
        <v>004494</v>
      </c>
      <c r="E111">
        <f t="shared" si="305"/>
        <v>2</v>
      </c>
      <c r="F111">
        <f t="shared" si="306"/>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si="307"/>
        <v>0</v>
      </c>
      <c r="I111">
        <f t="shared" si="308"/>
        <v>68</v>
      </c>
      <c r="J111">
        <f t="shared" si="309"/>
        <v>148</v>
      </c>
      <c r="K111" cm="1">
        <f t="array" ref="K111" xml:space="preserve"> 1 + ROW() - _xlfn.SINGLE(ROW(ChartLines.RowNum))</f>
        <v>109</v>
      </c>
    </row>
    <row r="112" spans="2:11">
      <c r="B112" t="s">
        <v>2132</v>
      </c>
      <c r="C112" t="s">
        <v>1863</v>
      </c>
      <c r="E112">
        <f t="shared" si="305"/>
        <v>2</v>
      </c>
      <c r="F112">
        <f t="shared" si="306"/>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si="307"/>
        <v>0</v>
      </c>
      <c r="I112">
        <f t="shared" si="308"/>
        <v>163</v>
      </c>
      <c r="J112">
        <f t="shared" si="309"/>
        <v>224</v>
      </c>
      <c r="K112" cm="1">
        <f t="array" ref="K112" xml:space="preserve"> 1 + ROW() - _xlfn.SINGLE(ROW(ChartLines.RowNum))</f>
        <v>110</v>
      </c>
    </row>
    <row r="113" spans="2:11">
      <c r="B113" t="s">
        <v>2132</v>
      </c>
      <c r="C113" t="s">
        <v>1838</v>
      </c>
      <c r="E113">
        <f t="shared" si="305"/>
        <v>2</v>
      </c>
      <c r="F113">
        <f t="shared" si="306"/>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si="307"/>
        <v>239</v>
      </c>
      <c r="I113">
        <f t="shared" si="308"/>
        <v>51</v>
      </c>
      <c r="J113">
        <f t="shared" si="309"/>
        <v>64</v>
      </c>
      <c r="K113" cm="1">
        <f t="array" ref="K113" xml:space="preserve"> 1 + ROW() - _xlfn.SINGLE(ROW(ChartLines.RowNum))</f>
        <v>111</v>
      </c>
    </row>
    <row r="114" spans="2:11">
      <c r="E114" t="str">
        <f t="shared" si="305"/>
        <v>·</v>
      </c>
      <c r="F114" t="str">
        <f t="shared" si="306"/>
        <v>·</v>
      </c>
      <c r="G114" t="str" cm="1">
        <f t="array" ref="G114" xml:space="preserve"> _xlfn.IFS(OR(LEN(_xlfn.SINGLE(ChartLines.ID))=0,"Unused"=_xlfn.SINGLE(ChartLines.ID)), "·",   1=_xlfn.SINGLE(ChartLines.NumInstances), IF("USD"=_xlfn.SINGLE(ChartLines.ID), "SoleBig", "SoleOrdinary"),   1=_xlfn.SINGLE(ChartLines.InstanceNum), "Outer",   TRUE, "Inner")</f>
        <v>·</v>
      </c>
      <c r="H114" t="str">
        <f t="shared" si="307"/>
        <v>·</v>
      </c>
      <c r="I114" t="str">
        <f t="shared" si="308"/>
        <v>·</v>
      </c>
      <c r="J114" t="str">
        <f t="shared" si="309"/>
        <v>·</v>
      </c>
      <c r="K114" cm="1">
        <f t="array" ref="K114" xml:space="preserve"> 1 + ROW() - _xlfn.SINGLE(ROW(ChartLines.RowNum))</f>
        <v>112</v>
      </c>
    </row>
    <row r="115" spans="2:11">
      <c r="B115" t="s">
        <v>132</v>
      </c>
      <c r="C115" t="s">
        <v>1858</v>
      </c>
      <c r="E115">
        <f t="shared" si="305"/>
        <v>2</v>
      </c>
      <c r="F115">
        <f t="shared" si="306"/>
        <v>1</v>
      </c>
      <c r="G115" t="str" cm="1">
        <f t="array" ref="G115" xml:space="preserve"> _xlfn.IFS(OR(LEN(_xlfn.SINGLE(ChartLines.ID))=0,"Unused"=_xlfn.SINGLE(ChartLines.ID)), "·",   1=_xlfn.SINGLE(ChartLines.NumInstances), IF("USD"=_xlfn.SINGLE(ChartLines.ID), "SoleBig", "SoleOrdinary"),   1=_xlfn.SINGLE(ChartLines.InstanceNum), "Outer",   TRUE, "Inner")</f>
        <v>Outer</v>
      </c>
      <c r="H115">
        <f t="shared" si="307"/>
        <v>218</v>
      </c>
      <c r="I115">
        <f t="shared" si="308"/>
        <v>41</v>
      </c>
      <c r="J115">
        <f t="shared" si="309"/>
        <v>28</v>
      </c>
      <c r="K115" cm="1">
        <f t="array" ref="K115" xml:space="preserve"> 1 + ROW() - _xlfn.SINGLE(ROW(ChartLines.RowNum))</f>
        <v>113</v>
      </c>
    </row>
    <row r="116" spans="2:11">
      <c r="B116" t="s">
        <v>132</v>
      </c>
      <c r="C116" t="s">
        <v>1840</v>
      </c>
      <c r="E116">
        <f t="shared" si="305"/>
        <v>2</v>
      </c>
      <c r="F116">
        <f t="shared" si="306"/>
        <v>2</v>
      </c>
      <c r="G116" t="str" cm="1">
        <f t="array" ref="G116" xml:space="preserve"> _xlfn.IFS(OR(LEN(_xlfn.SINGLE(ChartLines.ID))=0,"Unused"=_xlfn.SINGLE(ChartLines.ID)), "·",   1=_xlfn.SINGLE(ChartLines.NumInstances), IF("USD"=_xlfn.SINGLE(ChartLines.ID), "SoleBig", "SoleOrdinary"),   1=_xlfn.SINGLE(ChartLines.InstanceNum), "Outer",   TRUE, "Inner")</f>
        <v>Inner</v>
      </c>
      <c r="H116">
        <f t="shared" si="307"/>
        <v>255</v>
      </c>
      <c r="I116">
        <f t="shared" si="308"/>
        <v>255</v>
      </c>
      <c r="J116">
        <f t="shared" si="309"/>
        <v>255</v>
      </c>
      <c r="K116" cm="1">
        <f t="array" ref="K116" xml:space="preserve"> 1 + ROW() - _xlfn.SINGLE(ROW(ChartLines.RowNum))</f>
        <v>114</v>
      </c>
    </row>
    <row r="117" spans="2:11">
      <c r="B117" t="s">
        <v>1540</v>
      </c>
      <c r="C117" t="s">
        <v>1875</v>
      </c>
      <c r="E117">
        <f t="shared" si="305"/>
        <v>2</v>
      </c>
      <c r="F117">
        <f t="shared" si="306"/>
        <v>1</v>
      </c>
      <c r="G117" t="str" cm="1">
        <f t="array" ref="G117" xml:space="preserve"> _xlfn.IFS(OR(LEN(_xlfn.SINGLE(ChartLines.ID))=0,"Unused"=_xlfn.SINGLE(ChartLines.ID)), "·",   1=_xlfn.SINGLE(ChartLines.NumInstances), IF("USD"=_xlfn.SINGLE(ChartLines.ID), "SoleBig", "SoleOrdinary"),   1=_xlfn.SINGLE(ChartLines.InstanceNum), "Outer",   TRUE, "Inner")</f>
        <v>Outer</v>
      </c>
      <c r="H117">
        <f t="shared" si="307"/>
        <v>2</v>
      </c>
      <c r="I117">
        <f t="shared" si="308"/>
        <v>82</v>
      </c>
      <c r="J117">
        <f t="shared" si="309"/>
        <v>156</v>
      </c>
      <c r="K117" cm="1">
        <f t="array" ref="K117" xml:space="preserve"> 1 + ROW() - _xlfn.SINGLE(ROW(ChartLines.RowNum))</f>
        <v>115</v>
      </c>
    </row>
    <row r="118" spans="2:11">
      <c r="B118" t="s">
        <v>1540</v>
      </c>
      <c r="C118" t="s">
        <v>1876</v>
      </c>
      <c r="E118">
        <f t="shared" si="305"/>
        <v>2</v>
      </c>
      <c r="F118">
        <f t="shared" si="306"/>
        <v>2</v>
      </c>
      <c r="G118" t="str" cm="1">
        <f t="array" ref="G118" xml:space="preserve"> _xlfn.IFS(OR(LEN(_xlfn.SINGLE(ChartLines.ID))=0,"Unused"=_xlfn.SINGLE(ChartLines.ID)), "·",   1=_xlfn.SINGLE(ChartLines.NumInstances), IF("USD"=_xlfn.SINGLE(ChartLines.ID), "SoleBig", "SoleOrdinary"),   1=_xlfn.SINGLE(ChartLines.InstanceNum), "Outer",   TRUE, "Inner")</f>
        <v>Inner</v>
      </c>
      <c r="H118">
        <f t="shared" si="307"/>
        <v>220</v>
      </c>
      <c r="I118">
        <f t="shared" si="308"/>
        <v>30</v>
      </c>
      <c r="J118">
        <f t="shared" si="309"/>
        <v>53</v>
      </c>
      <c r="K118" cm="1">
        <f t="array" ref="K118" xml:space="preserve"> 1 + ROW() - _xlfn.SINGLE(ROW(ChartLines.RowNum))</f>
        <v>116</v>
      </c>
    </row>
    <row r="119" spans="2:11">
      <c r="B119" t="s">
        <v>326</v>
      </c>
      <c r="C119" t="s">
        <v>1981</v>
      </c>
      <c r="E119">
        <f t="shared" si="305"/>
        <v>1</v>
      </c>
      <c r="F119">
        <f t="shared" si="306"/>
        <v>1</v>
      </c>
      <c r="G119" t="str" cm="1">
        <f t="array" ref="G119" xml:space="preserve"> _xlfn.IFS(OR(LEN(_xlfn.SINGLE(ChartLines.ID))=0,"Unused"=_xlfn.SINGLE(ChartLines.ID)), "·",   1=_xlfn.SINGLE(ChartLines.NumInstances), IF("USD"=_xlfn.SINGLE(ChartLines.ID), "SoleBig", "SoleOrdinary"),   1=_xlfn.SINGLE(ChartLines.InstanceNum), "Outer",   TRUE, "Inner")</f>
        <v>SoleOrdinary</v>
      </c>
      <c r="H119">
        <f t="shared" si="307"/>
        <v>210</v>
      </c>
      <c r="I119">
        <f t="shared" si="308"/>
        <v>38</v>
      </c>
      <c r="J119">
        <f t="shared" si="309"/>
        <v>48</v>
      </c>
      <c r="K119" cm="1">
        <f t="array" ref="K119" xml:space="preserve"> 1 + ROW() - _xlfn.SINGLE(ROW(ChartLines.RowNum))</f>
        <v>117</v>
      </c>
    </row>
    <row r="120" spans="2:11">
      <c r="B120" t="s">
        <v>1836</v>
      </c>
      <c r="E120" t="str">
        <f t="shared" si="305"/>
        <v>·</v>
      </c>
      <c r="F120" t="str">
        <f t="shared" si="306"/>
        <v>·</v>
      </c>
      <c r="G120" t="str" cm="1">
        <f t="array" ref="G120" xml:space="preserve"> _xlfn.IFS(OR(LEN(_xlfn.SINGLE(ChartLines.ID))=0,"Unused"=_xlfn.SINGLE(ChartLines.ID)), "·",   1=_xlfn.SINGLE(ChartLines.NumInstances), IF("USD"=_xlfn.SINGLE(ChartLines.ID), "SoleBig", "SoleOrdinary"),   1=_xlfn.SINGLE(ChartLines.InstanceNum), "Outer",   TRUE, "Inner")</f>
        <v>·</v>
      </c>
      <c r="H120" t="str">
        <f t="shared" si="307"/>
        <v>·</v>
      </c>
      <c r="I120" t="str">
        <f t="shared" si="308"/>
        <v>·</v>
      </c>
      <c r="J120" t="str">
        <f t="shared" si="309"/>
        <v>·</v>
      </c>
      <c r="K120" cm="1">
        <f t="array" ref="K120" xml:space="preserve"> 1 + ROW() - _xlfn.SINGLE(ROW(ChartLines.RowNum))</f>
        <v>118</v>
      </c>
    </row>
    <row r="121" spans="2:11">
      <c r="B121" t="s">
        <v>372</v>
      </c>
      <c r="C121" t="s">
        <v>1878</v>
      </c>
      <c r="E121">
        <f t="shared" si="305"/>
        <v>2</v>
      </c>
      <c r="F121">
        <f t="shared" si="306"/>
        <v>1</v>
      </c>
      <c r="G121" t="str" cm="1">
        <f t="array" ref="G121" xml:space="preserve"> _xlfn.IFS(OR(LEN(_xlfn.SINGLE(ChartLines.ID))=0,"Unused"=_xlfn.SINGLE(ChartLines.ID)), "·",   1=_xlfn.SINGLE(ChartLines.NumInstances), IF("USD"=_xlfn.SINGLE(ChartLines.ID), "SoleBig", "SoleOrdinary"),   1=_xlfn.SINGLE(ChartLines.InstanceNum), "Outer",   TRUE, "Inner")</f>
        <v>Outer</v>
      </c>
      <c r="H121">
        <f t="shared" si="307"/>
        <v>215</v>
      </c>
      <c r="I121">
        <f t="shared" si="308"/>
        <v>20</v>
      </c>
      <c r="J121">
        <f t="shared" si="309"/>
        <v>26</v>
      </c>
      <c r="K121" cm="1">
        <f t="array" ref="K121" xml:space="preserve"> 1 + ROW() - _xlfn.SINGLE(ROW(ChartLines.RowNum))</f>
        <v>119</v>
      </c>
    </row>
    <row r="122" spans="2:11">
      <c r="B122" t="s">
        <v>372</v>
      </c>
      <c r="C122" t="s">
        <v>1877</v>
      </c>
      <c r="E122">
        <f t="shared" si="305"/>
        <v>2</v>
      </c>
      <c r="F122">
        <f t="shared" si="306"/>
        <v>2</v>
      </c>
      <c r="G122" t="str" cm="1">
        <f t="array" ref="G122" xml:space="preserve"> _xlfn.IFS(OR(LEN(_xlfn.SINGLE(ChartLines.ID))=0,"Unused"=_xlfn.SINGLE(ChartLines.ID)), "·",   1=_xlfn.SINGLE(ChartLines.NumInstances), IF("USD"=_xlfn.SINGLE(ChartLines.ID), "SoleBig", "SoleOrdinary"),   1=_xlfn.SINGLE(ChartLines.InstanceNum), "Outer",   TRUE, "Inner")</f>
        <v>Inner</v>
      </c>
      <c r="H122">
        <f t="shared" si="307"/>
        <v>17</v>
      </c>
      <c r="I122">
        <f t="shared" si="308"/>
        <v>69</v>
      </c>
      <c r="J122">
        <f t="shared" si="309"/>
        <v>126</v>
      </c>
      <c r="K122" cm="1">
        <f t="array" ref="K122" xml:space="preserve"> 1 + ROW() - _xlfn.SINGLE(ROW(ChartLines.RowNum))</f>
        <v>120</v>
      </c>
    </row>
    <row r="123" spans="2:11">
      <c r="B123" t="s">
        <v>357</v>
      </c>
      <c r="C123" t="s">
        <v>1843</v>
      </c>
      <c r="E123">
        <f t="shared" si="305"/>
        <v>2</v>
      </c>
      <c r="F123">
        <f t="shared" si="306"/>
        <v>1</v>
      </c>
      <c r="G123" t="str" cm="1">
        <f t="array" ref="G123" xml:space="preserve"> _xlfn.IFS(OR(LEN(_xlfn.SINGLE(ChartLines.ID))=0,"Unused"=_xlfn.SINGLE(ChartLines.ID)), "·",   1=_xlfn.SINGLE(ChartLines.NumInstances), IF("USD"=_xlfn.SINGLE(ChartLines.ID), "SoleBig", "SoleOrdinary"),   1=_xlfn.SINGLE(ChartLines.InstanceNum), "Outer",   TRUE, "Inner")</f>
        <v>Outer</v>
      </c>
      <c r="H123">
        <f t="shared" si="307"/>
        <v>0</v>
      </c>
      <c r="I123">
        <f t="shared" si="308"/>
        <v>132</v>
      </c>
      <c r="J123">
        <f t="shared" si="309"/>
        <v>61</v>
      </c>
      <c r="K123" cm="1">
        <f t="array" ref="K123" xml:space="preserve"> 1 + ROW() - _xlfn.SINGLE(ROW(ChartLines.RowNum))</f>
        <v>121</v>
      </c>
    </row>
    <row r="124" spans="2:11">
      <c r="B124" t="s">
        <v>357</v>
      </c>
      <c r="C124" t="s">
        <v>1879</v>
      </c>
      <c r="E124">
        <f t="shared" si="305"/>
        <v>2</v>
      </c>
      <c r="F124">
        <f t="shared" si="306"/>
        <v>2</v>
      </c>
      <c r="G124" t="str" cm="1">
        <f t="array" ref="G124" xml:space="preserve"> _xlfn.IFS(OR(LEN(_xlfn.SINGLE(ChartLines.ID))=0,"Unused"=_xlfn.SINGLE(ChartLines.ID)), "·",   1=_xlfn.SINGLE(ChartLines.NumInstances), IF("USD"=_xlfn.SINGLE(ChartLines.ID), "SoleBig", "SoleOrdinary"),   1=_xlfn.SINGLE(ChartLines.InstanceNum), "Outer",   TRUE, "Inner")</f>
        <v>Inner</v>
      </c>
      <c r="H124">
        <f t="shared" si="307"/>
        <v>206</v>
      </c>
      <c r="I124">
        <f t="shared" si="308"/>
        <v>41</v>
      </c>
      <c r="J124">
        <f t="shared" si="309"/>
        <v>57</v>
      </c>
      <c r="K124" cm="1">
        <f t="array" ref="K124" xml:space="preserve"> 1 + ROW() - _xlfn.SINGLE(ROW(ChartLines.RowNum))</f>
        <v>122</v>
      </c>
    </row>
    <row r="125" spans="2:11">
      <c r="B125" t="s">
        <v>376</v>
      </c>
      <c r="C125" t="s">
        <v>1880</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0</v>
      </c>
      <c r="I125">
        <f t="shared" si="308"/>
        <v>43</v>
      </c>
      <c r="J125">
        <f t="shared" si="309"/>
        <v>127</v>
      </c>
      <c r="K125" cm="1">
        <f t="array" ref="K125" xml:space="preserve"> 1 + ROW() - _xlfn.SINGLE(ROW(ChartLines.RowNum))</f>
        <v>123</v>
      </c>
    </row>
    <row r="126" spans="2:11">
      <c r="B126" t="s">
        <v>376</v>
      </c>
      <c r="C126" t="s">
        <v>1881</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252</v>
      </c>
      <c r="I126">
        <f t="shared" si="308"/>
        <v>209</v>
      </c>
      <c r="J126">
        <f t="shared" si="309"/>
        <v>22</v>
      </c>
      <c r="K126" cm="1">
        <f t="array" ref="K126" xml:space="preserve"> 1 + ROW() - _xlfn.SINGLE(ROW(ChartLines.RowNum))</f>
        <v>124</v>
      </c>
    </row>
    <row r="127" spans="2:11">
      <c r="B127" t="s">
        <v>393</v>
      </c>
      <c r="C127" t="s">
        <v>1882</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0</v>
      </c>
      <c r="I127">
        <f t="shared" si="308"/>
        <v>175</v>
      </c>
      <c r="J127">
        <f t="shared" si="309"/>
        <v>102</v>
      </c>
      <c r="K127" cm="1">
        <f t="array" ref="K127" xml:space="preserve"> 1 + ROW() - _xlfn.SINGLE(ROW(ChartLines.RowNum))</f>
        <v>125</v>
      </c>
    </row>
    <row r="128" spans="2:11">
      <c r="B128" t="s">
        <v>393</v>
      </c>
      <c r="C128" t="s">
        <v>1840</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255</v>
      </c>
      <c r="I128">
        <f t="shared" si="308"/>
        <v>255</v>
      </c>
      <c r="J128">
        <f t="shared" si="309"/>
        <v>255</v>
      </c>
      <c r="K128" cm="1">
        <f t="array" ref="K128" xml:space="preserve"> 1 + ROW() - _xlfn.SINGLE(ROW(ChartLines.RowNum))</f>
        <v>126</v>
      </c>
    </row>
    <row r="129" spans="2:11">
      <c r="E129" t="str">
        <f t="shared" si="305"/>
        <v>·</v>
      </c>
      <c r="F129" t="str">
        <f t="shared" si="306"/>
        <v>·</v>
      </c>
      <c r="G129" t="str" cm="1">
        <f t="array" ref="G129" xml:space="preserve"> _xlfn.IFS(OR(LEN(_xlfn.SINGLE(ChartLines.ID))=0,"Unused"=_xlfn.SINGLE(ChartLines.ID)), "·",   1=_xlfn.SINGLE(ChartLines.NumInstances), IF("USD"=_xlfn.SINGLE(ChartLines.ID), "SoleBig", "SoleOrdinary"),   1=_xlfn.SINGLE(ChartLines.InstanceNum), "Outer",   TRUE, "Inner")</f>
        <v>·</v>
      </c>
      <c r="H129" t="str">
        <f t="shared" si="307"/>
        <v>·</v>
      </c>
      <c r="I129" t="str">
        <f t="shared" si="308"/>
        <v>·</v>
      </c>
      <c r="J129" t="str">
        <f t="shared" si="309"/>
        <v>·</v>
      </c>
      <c r="K129" cm="1">
        <f t="array" ref="K129" xml:space="preserve"> 1 + ROW() - _xlfn.SINGLE(ROW(ChartLines.RowNum))</f>
        <v>127</v>
      </c>
    </row>
    <row r="130" spans="2:11">
      <c r="B130" t="s">
        <v>133</v>
      </c>
      <c r="C130" t="s">
        <v>1883</v>
      </c>
      <c r="E130">
        <f t="shared" si="305"/>
        <v>2</v>
      </c>
      <c r="F130">
        <f t="shared" si="306"/>
        <v>1</v>
      </c>
      <c r="G130" t="str" cm="1">
        <f t="array" ref="G130" xml:space="preserve"> _xlfn.IFS(OR(LEN(_xlfn.SINGLE(ChartLines.ID))=0,"Unused"=_xlfn.SINGLE(ChartLines.ID)), "·",   1=_xlfn.SINGLE(ChartLines.NumInstances), IF("USD"=_xlfn.SINGLE(ChartLines.ID), "SoleBig", "SoleOrdinary"),   1=_xlfn.SINGLE(ChartLines.InstanceNum), "Outer",   TRUE, "Inner")</f>
        <v>Outer</v>
      </c>
      <c r="H130">
        <f t="shared" si="307"/>
        <v>222</v>
      </c>
      <c r="I130">
        <f t="shared" si="308"/>
        <v>41</v>
      </c>
      <c r="J130">
        <f t="shared" si="309"/>
        <v>16</v>
      </c>
      <c r="K130" cm="1">
        <f t="array" ref="K130" xml:space="preserve"> 1 + ROW() - _xlfn.SINGLE(ROW(ChartLines.RowNum))</f>
        <v>128</v>
      </c>
    </row>
    <row r="131" spans="2:11">
      <c r="B131" t="s">
        <v>133</v>
      </c>
      <c r="C131" t="s">
        <v>1884</v>
      </c>
      <c r="E131">
        <f t="shared" si="305"/>
        <v>2</v>
      </c>
      <c r="F131">
        <f t="shared" si="306"/>
        <v>2</v>
      </c>
      <c r="G131" t="str" cm="1">
        <f t="array" ref="G131" xml:space="preserve"> _xlfn.IFS(OR(LEN(_xlfn.SINGLE(ChartLines.ID))=0,"Unused"=_xlfn.SINGLE(ChartLines.ID)), "·",   1=_xlfn.SINGLE(ChartLines.NumInstances), IF("USD"=_xlfn.SINGLE(ChartLines.ID), "SoleBig", "SoleOrdinary"),   1=_xlfn.SINGLE(ChartLines.InstanceNum), "Outer",   TRUE, "Inner")</f>
        <v>Inner</v>
      </c>
      <c r="H131">
        <f t="shared" si="307"/>
        <v>255</v>
      </c>
      <c r="I131">
        <f t="shared" si="308"/>
        <v>222</v>
      </c>
      <c r="J131">
        <f t="shared" si="309"/>
        <v>0</v>
      </c>
      <c r="K131" cm="1">
        <f t="array" ref="K131" xml:space="preserve"> 1 + ROW() - _xlfn.SINGLE(ROW(ChartLines.RowNum))</f>
        <v>129</v>
      </c>
    </row>
    <row r="132" spans="2:11">
      <c r="B132" t="s">
        <v>1885</v>
      </c>
      <c r="C132" t="s">
        <v>1839</v>
      </c>
      <c r="E132">
        <f t="shared" si="305"/>
        <v>1</v>
      </c>
      <c r="F132">
        <f t="shared" si="306"/>
        <v>1</v>
      </c>
      <c r="G132" t="str" cm="1">
        <f t="array" ref="G132" xml:space="preserve"> _xlfn.IFS(OR(LEN(_xlfn.SINGLE(ChartLines.ID))=0,"Unused"=_xlfn.SINGLE(ChartLines.ID)), "·",   1=_xlfn.SINGLE(ChartLines.NumInstances), IF("USD"=_xlfn.SINGLE(ChartLines.ID), "SoleBig", "SoleOrdinary"),   1=_xlfn.SINGLE(ChartLines.InstanceNum), "Outer",   TRUE, "Inner")</f>
        <v>SoleOrdinary</v>
      </c>
      <c r="H132">
        <f t="shared" si="307"/>
        <v>255</v>
      </c>
      <c r="I132">
        <f t="shared" si="308"/>
        <v>0</v>
      </c>
      <c r="J132">
        <f t="shared" si="309"/>
        <v>0</v>
      </c>
      <c r="K132" cm="1">
        <f t="array" ref="K132" xml:space="preserve"> 1 + ROW() - _xlfn.SINGLE(ROW(ChartLines.RowNum))</f>
        <v>130</v>
      </c>
    </row>
    <row r="133" spans="2:11">
      <c r="B133" t="s">
        <v>1836</v>
      </c>
      <c r="E133" t="str">
        <f t="shared" si="305"/>
        <v>·</v>
      </c>
      <c r="F133" t="str">
        <f t="shared" si="306"/>
        <v>·</v>
      </c>
      <c r="G133" t="str" cm="1">
        <f t="array" ref="G133" xml:space="preserve"> _xlfn.IFS(OR(LEN(_xlfn.SINGLE(ChartLines.ID))=0,"Unused"=_xlfn.SINGLE(ChartLines.ID)), "·",   1=_xlfn.SINGLE(ChartLines.NumInstances), IF("USD"=_xlfn.SINGLE(ChartLines.ID), "SoleBig", "SoleOrdinary"),   1=_xlfn.SINGLE(ChartLines.InstanceNum), "Outer",   TRUE, "Inner")</f>
        <v>·</v>
      </c>
      <c r="H133" t="str">
        <f t="shared" si="307"/>
        <v>·</v>
      </c>
      <c r="I133" t="str">
        <f t="shared" si="308"/>
        <v>·</v>
      </c>
      <c r="J133" t="str">
        <f t="shared" si="309"/>
        <v>·</v>
      </c>
      <c r="K133" cm="1">
        <f t="array" ref="K133" xml:space="preserve"> 1 + ROW() - _xlfn.SINGLE(ROW(ChartLines.RowNum))</f>
        <v>131</v>
      </c>
    </row>
    <row r="134" spans="2:11">
      <c r="B134" t="s">
        <v>203</v>
      </c>
      <c r="C134" t="s">
        <v>1886</v>
      </c>
      <c r="E134">
        <f t="shared" si="305"/>
        <v>2</v>
      </c>
      <c r="F134">
        <f t="shared" si="306"/>
        <v>1</v>
      </c>
      <c r="G134" t="str" cm="1">
        <f t="array" ref="G134" xml:space="preserve"> _xlfn.IFS(OR(LEN(_xlfn.SINGLE(ChartLines.ID))=0,"Unused"=_xlfn.SINGLE(ChartLines.ID)), "·",   1=_xlfn.SINGLE(ChartLines.NumInstances), IF("USD"=_xlfn.SINGLE(ChartLines.ID), "SoleBig", "SoleOrdinary"),   1=_xlfn.SINGLE(ChartLines.InstanceNum), "Outer",   TRUE, "Inner")</f>
        <v>Outer</v>
      </c>
      <c r="H134">
        <f t="shared" si="307"/>
        <v>0</v>
      </c>
      <c r="I134">
        <f t="shared" si="308"/>
        <v>41</v>
      </c>
      <c r="J134">
        <f t="shared" si="309"/>
        <v>204</v>
      </c>
      <c r="K134" cm="1">
        <f t="array" ref="K134" xml:space="preserve"> 1 + ROW() - _xlfn.SINGLE(ROW(ChartLines.RowNum))</f>
        <v>132</v>
      </c>
    </row>
    <row r="135" spans="2:11">
      <c r="B135" t="s">
        <v>203</v>
      </c>
      <c r="C135" t="s">
        <v>1840</v>
      </c>
      <c r="E135">
        <f t="shared" si="305"/>
        <v>2</v>
      </c>
      <c r="F135">
        <f t="shared" si="306"/>
        <v>2</v>
      </c>
      <c r="G135" t="str" cm="1">
        <f t="array" ref="G135" xml:space="preserve"> _xlfn.IFS(OR(LEN(_xlfn.SINGLE(ChartLines.ID))=0,"Unused"=_xlfn.SINGLE(ChartLines.ID)), "·",   1=_xlfn.SINGLE(ChartLines.NumInstances), IF("USD"=_xlfn.SINGLE(ChartLines.ID), "SoleBig", "SoleOrdinary"),   1=_xlfn.SINGLE(ChartLines.InstanceNum), "Outer",   TRUE, "Inner")</f>
        <v>Inner</v>
      </c>
      <c r="H135">
        <f t="shared" si="307"/>
        <v>255</v>
      </c>
      <c r="I135">
        <f t="shared" si="308"/>
        <v>255</v>
      </c>
      <c r="J135">
        <f t="shared" si="309"/>
        <v>255</v>
      </c>
      <c r="K135" cm="1">
        <f t="array" ref="K135" xml:space="preserve"> 1 + ROW() - _xlfn.SINGLE(ROW(ChartLines.RowNum))</f>
        <v>133</v>
      </c>
    </row>
    <row r="136" spans="2:11">
      <c r="B136" t="s">
        <v>1887</v>
      </c>
      <c r="C136" t="s">
        <v>1888</v>
      </c>
      <c r="E136">
        <f t="shared" si="305"/>
        <v>2</v>
      </c>
      <c r="F136">
        <f t="shared" si="306"/>
        <v>1</v>
      </c>
      <c r="G136" t="str" cm="1">
        <f t="array" ref="G136" xml:space="preserve"> _xlfn.IFS(OR(LEN(_xlfn.SINGLE(ChartLines.ID))=0,"Unused"=_xlfn.SINGLE(ChartLines.ID)), "·",   1=_xlfn.SINGLE(ChartLines.NumInstances), IF("USD"=_xlfn.SINGLE(ChartLines.ID), "SoleBig", "SoleOrdinary"),   1=_xlfn.SINGLE(ChartLines.InstanceNum), "Outer",   TRUE, "Inner")</f>
        <v>Outer</v>
      </c>
      <c r="H136">
        <f t="shared" si="307"/>
        <v>205</v>
      </c>
      <c r="I136">
        <f t="shared" si="308"/>
        <v>46</v>
      </c>
      <c r="J136">
        <f t="shared" si="309"/>
        <v>58</v>
      </c>
      <c r="K136" cm="1">
        <f t="array" ref="K136" xml:space="preserve"> 1 + ROW() - _xlfn.SINGLE(ROW(ChartLines.RowNum))</f>
        <v>134</v>
      </c>
    </row>
    <row r="137" spans="2:11">
      <c r="B137" t="s">
        <v>1887</v>
      </c>
      <c r="C137" t="s">
        <v>1889</v>
      </c>
      <c r="E137">
        <f t="shared" si="305"/>
        <v>2</v>
      </c>
      <c r="F137">
        <f t="shared" si="306"/>
        <v>2</v>
      </c>
      <c r="G137" t="str" cm="1">
        <f t="array" ref="G137" xml:space="preserve"> _xlfn.IFS(OR(LEN(_xlfn.SINGLE(ChartLines.ID))=0,"Unused"=_xlfn.SINGLE(ChartLines.ID)), "·",   1=_xlfn.SINGLE(ChartLines.NumInstances), IF("USD"=_xlfn.SINGLE(ChartLines.ID), "SoleBig", "SoleOrdinary"),   1=_xlfn.SINGLE(ChartLines.InstanceNum), "Outer",   TRUE, "Inner")</f>
        <v>Inner</v>
      </c>
      <c r="H137">
        <f t="shared" si="307"/>
        <v>0</v>
      </c>
      <c r="I137">
        <f t="shared" si="308"/>
        <v>71</v>
      </c>
      <c r="J137">
        <f t="shared" si="309"/>
        <v>160</v>
      </c>
      <c r="K137" cm="1">
        <f t="array" ref="K137" xml:space="preserve"> 1 + ROW() - _xlfn.SINGLE(ROW(ChartLines.RowNum))</f>
        <v>135</v>
      </c>
    </row>
    <row r="138" spans="2:11">
      <c r="B138" t="s">
        <v>136</v>
      </c>
      <c r="C138" t="s">
        <v>1890</v>
      </c>
      <c r="E138">
        <f t="shared" ref="E138" si="310" xml:space="preserve"> IF(AND(LEN(ChartLines.ID)&gt;0,"Unused"&lt;&gt;ChartLines.ID), COUNTIFS(ChartLines.ID,ChartLines.ID), "·")</f>
        <v>1</v>
      </c>
      <c r="F138">
        <f t="shared" ref="F138" si="311" xml:space="preserve"> IF(AND(LEN(ChartLines.ID)&gt;0,"Unused"&lt;&gt;ChartLines.ID), COUNTIFS(ChartLines.ID,ChartLines.ID,   ChartLines.RowNum,"&lt;="&amp;ChartLines.RowNum), "·")</f>
        <v>1</v>
      </c>
      <c r="G138" t="str" cm="1">
        <f t="array" ref="G138" xml:space="preserve"> _xlfn.IFS(OR(LEN(_xlfn.SINGLE(ChartLines.ID))=0,"Unused"=_xlfn.SINGLE(ChartLines.ID)), "·",   1=_xlfn.SINGLE(ChartLines.NumInstances), IF("USD"=_xlfn.SINGLE(ChartLines.ID), "SoleBig", "SoleOrdinary"),   1=_xlfn.SINGLE(ChartLines.InstanceNum), "Outer",   TRUE, "Inner")</f>
        <v>SoleOrdinary</v>
      </c>
      <c r="H138">
        <f t="shared" ref="H138" si="312" xml:space="preserve"> IF(LEN(ChartLines.Hex6)=6, HEX2DEC(LEFT(ChartLines.Hex6, 2)), "·")</f>
        <v>167</v>
      </c>
      <c r="I138">
        <f t="shared" ref="I138" si="313" xml:space="preserve"> IF(LEN(ChartLines.Hex6)=6, HEX2DEC(MID(ChartLines.Hex6, 3, 2)), "·")</f>
        <v>131</v>
      </c>
      <c r="J138">
        <f t="shared" ref="J138" si="314" xml:space="preserve"> IF(LEN(ChartLines.Hex6)=6, HEX2DEC(RIGHT(ChartLines.Hex6, 2)), "·")</f>
        <v>55</v>
      </c>
      <c r="K138" cm="1">
        <f t="array" ref="K138" xml:space="preserve"> 1 + ROW() - _xlfn.SINGLE(ROW(ChartLines.RowNum))</f>
        <v>136</v>
      </c>
    </row>
    <row r="139" spans="2:11">
      <c r="B139" t="s">
        <v>1836</v>
      </c>
      <c r="E139" t="str">
        <f t="shared" ref="E139" si="315" xml:space="preserve"> IF(AND(LEN(ChartLines.ID)&gt;0,"Unused"&lt;&gt;ChartLines.ID), COUNTIFS(ChartLines.ID,ChartLines.ID), "·")</f>
        <v>·</v>
      </c>
      <c r="F139" t="str">
        <f t="shared" ref="F139" si="316" xml:space="preserve"> IF(AND(LEN(ChartLines.ID)&gt;0,"Unused"&lt;&gt;ChartLines.ID), COUNTIFS(ChartLines.ID,ChartLines.ID,   ChartLines.RowNum,"&lt;="&amp;ChartLines.RowNum), "·")</f>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ref="H139" si="317" xml:space="preserve"> IF(LEN(ChartLines.Hex6)=6, HEX2DEC(LEFT(ChartLines.Hex6, 2)), "·")</f>
        <v>·</v>
      </c>
      <c r="I139" t="str">
        <f t="shared" ref="I139" si="318" xml:space="preserve"> IF(LEN(ChartLines.Hex6)=6, HEX2DEC(MID(ChartLines.Hex6, 3, 2)), "·")</f>
        <v>·</v>
      </c>
      <c r="J139" t="str">
        <f t="shared" ref="J139" si="319" xml:space="preserve"> IF(LEN(ChartLines.Hex6)=6, HEX2DEC(RIGHT(ChartLines.Hex6, 2)), "·")</f>
        <v>·</v>
      </c>
      <c r="K139" cm="1">
        <f t="array" ref="K139" xml:space="preserve"> 1 + ROW() - _xlfn.SINGLE(ROW(ChartLines.RowNum))</f>
        <v>137</v>
      </c>
    </row>
    <row r="140" spans="2:11">
      <c r="B140" t="s">
        <v>235</v>
      </c>
      <c r="C140" t="str">
        <f xml:space="preserve"> "DECE05"</f>
        <v>DECE05</v>
      </c>
      <c r="E140">
        <f t="shared" ref="E140" si="320" xml:space="preserve"> IF(AND(LEN(ChartLines.ID)&gt;0,"Unused"&lt;&gt;ChartLines.ID), COUNTIFS(ChartLines.ID,ChartLines.ID), "·")</f>
        <v>2</v>
      </c>
      <c r="F140">
        <f t="shared" ref="F140" si="321" xml:space="preserve"> IF(AND(LEN(ChartLines.ID)&gt;0,"Unused"&lt;&gt;ChartLines.ID), COUNTIFS(ChartLines.ID,ChartLines.ID,   ChartLines.RowNum,"&lt;="&amp;ChartLines.RowNum), "·")</f>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ref="H140" si="322" xml:space="preserve"> IF(LEN(ChartLines.Hex6)=6, HEX2DEC(LEFT(ChartLines.Hex6, 2)), "·")</f>
        <v>222</v>
      </c>
      <c r="I140">
        <f t="shared" ref="I140" si="323" xml:space="preserve"> IF(LEN(ChartLines.Hex6)=6, HEX2DEC(MID(ChartLines.Hex6, 3, 2)), "·")</f>
        <v>206</v>
      </c>
      <c r="J140">
        <f t="shared" ref="J140" si="324" xml:space="preserve"> IF(LEN(ChartLines.Hex6)=6, HEX2DEC(RIGHT(ChartLines.Hex6, 2)), "·")</f>
        <v>5</v>
      </c>
      <c r="K140" cm="1">
        <f t="array" ref="K140" xml:space="preserve"> 1 + ROW() - _xlfn.SINGLE(ROW(ChartLines.RowNum))</f>
        <v>138</v>
      </c>
    </row>
    <row r="141" spans="2:11">
      <c r="B141" t="s">
        <v>235</v>
      </c>
      <c r="C141" t="s">
        <v>1891</v>
      </c>
      <c r="E141">
        <f t="shared" ref="E141" si="325" xml:space="preserve"> IF(AND(LEN(ChartLines.ID)&gt;0,"Unused"&lt;&gt;ChartLines.ID), COUNTIFS(ChartLines.ID,ChartLines.ID), "·")</f>
        <v>2</v>
      </c>
      <c r="F141">
        <f t="shared" ref="F141" si="326" xml:space="preserve"> IF(AND(LEN(ChartLines.ID)&gt;0,"Unused"&lt;&gt;ChartLines.ID), COUNTIFS(ChartLines.ID,ChartLines.ID,   ChartLines.RowNum,"&lt;="&amp;ChartLines.RowNum), "·")</f>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ref="H141" si="327" xml:space="preserve"> IF(LEN(ChartLines.Hex6)=6, HEX2DEC(LEFT(ChartLines.Hex6, 2)), "·")</f>
        <v>0</v>
      </c>
      <c r="I141">
        <f t="shared" ref="I141" si="328" xml:space="preserve"> IF(LEN(ChartLines.Hex6)=6, HEX2DEC(MID(ChartLines.Hex6, 3, 2)), "·")</f>
        <v>50</v>
      </c>
      <c r="J141">
        <f t="shared" ref="J141" si="329" xml:space="preserve"> IF(LEN(ChartLines.Hex6)=6, HEX2DEC(RIGHT(ChartLines.Hex6, 2)), "·")</f>
        <v>106</v>
      </c>
      <c r="K141" cm="1">
        <f t="array" ref="K141" xml:space="preserve"> 1 + ROW() - _xlfn.SINGLE(ROW(ChartLines.RowNum))</f>
        <v>139</v>
      </c>
    </row>
    <row r="142" spans="2:11">
      <c r="B142" t="s">
        <v>162</v>
      </c>
      <c r="C142" t="s">
        <v>1839</v>
      </c>
      <c r="E142">
        <f t="shared" ref="E142" si="330" xml:space="preserve"> IF(AND(LEN(ChartLines.ID)&gt;0,"Unused"&lt;&gt;ChartLines.ID), COUNTIFS(ChartLines.ID,ChartLines.ID), "·")</f>
        <v>2</v>
      </c>
      <c r="F142">
        <f t="shared" ref="F142" si="331" xml:space="preserve"> IF(AND(LEN(ChartLines.ID)&gt;0,"Unused"&lt;&gt;ChartLines.ID), COUNTIFS(ChartLines.ID,ChartLines.ID,   ChartLines.RowNum,"&lt;="&amp;ChartLines.RowNum), "·")</f>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f t="shared" ref="H142" si="332" xml:space="preserve"> IF(LEN(ChartLines.Hex6)=6, HEX2DEC(LEFT(ChartLines.Hex6, 2)), "·")</f>
        <v>255</v>
      </c>
      <c r="I142">
        <f t="shared" ref="I142" si="333" xml:space="preserve"> IF(LEN(ChartLines.Hex6)=6, HEX2DEC(MID(ChartLines.Hex6, 3, 2)), "·")</f>
        <v>0</v>
      </c>
      <c r="J142">
        <f t="shared" ref="J142" si="334" xml:space="preserve"> IF(LEN(ChartLines.Hex6)=6, HEX2DEC(RIGHT(ChartLines.Hex6, 2)), "·")</f>
        <v>0</v>
      </c>
      <c r="K142" cm="1">
        <f t="array" ref="K142" xml:space="preserve"> 1 + ROW() - _xlfn.SINGLE(ROW(ChartLines.RowNum))</f>
        <v>140</v>
      </c>
    </row>
    <row r="143" spans="2:11">
      <c r="B143" t="s">
        <v>162</v>
      </c>
      <c r="C143" t="s">
        <v>1840</v>
      </c>
      <c r="E143">
        <f t="shared" ref="E143" si="335" xml:space="preserve"> IF(AND(LEN(ChartLines.ID)&gt;0,"Unused"&lt;&gt;ChartLines.ID), COUNTIFS(ChartLines.ID,ChartLines.ID), "·")</f>
        <v>2</v>
      </c>
      <c r="F143">
        <f t="shared" ref="F143" si="336" xml:space="preserve"> IF(AND(LEN(ChartLines.ID)&gt;0,"Unused"&lt;&gt;ChartLines.ID), COUNTIFS(ChartLines.ID,ChartLines.ID,   ChartLines.RowNum,"&lt;="&amp;ChartLines.RowNum), "·")</f>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f t="shared" ref="H143" si="337" xml:space="preserve"> IF(LEN(ChartLines.Hex6)=6, HEX2DEC(LEFT(ChartLines.Hex6, 2)), "·")</f>
        <v>255</v>
      </c>
      <c r="I143">
        <f t="shared" ref="I143" si="338" xml:space="preserve"> IF(LEN(ChartLines.Hex6)=6, HEX2DEC(MID(ChartLines.Hex6, 3, 2)), "·")</f>
        <v>255</v>
      </c>
      <c r="J143">
        <f t="shared" ref="J143" si="339" xml:space="preserve"> IF(LEN(ChartLines.Hex6)=6, HEX2DEC(RIGHT(ChartLines.Hex6, 2)), "·")</f>
        <v>255</v>
      </c>
      <c r="K143" cm="1">
        <f t="array" ref="K143" xml:space="preserve"> 1 + ROW() - _xlfn.SINGLE(ROW(ChartLines.RowNum))</f>
        <v>141</v>
      </c>
    </row>
    <row r="144" spans="2:11">
      <c r="B144" t="s">
        <v>163</v>
      </c>
      <c r="C144" t="s">
        <v>1892</v>
      </c>
      <c r="E144">
        <f t="shared" ref="E144:E146" si="340" xml:space="preserve"> IF(AND(LEN(ChartLines.ID)&gt;0,"Unused"&lt;&gt;ChartLines.ID), COUNTIFS(ChartLines.ID,ChartLines.ID), "·")</f>
        <v>2</v>
      </c>
      <c r="F144">
        <f t="shared" ref="F144:F146" si="341" xml:space="preserve"> IF(AND(LEN(ChartLines.ID)&gt;0,"Unused"&lt;&gt;ChartLines.ID), COUNTIFS(ChartLines.ID,ChartLines.ID,   ChartLines.RowNum,"&lt;="&amp;ChartLines.RowNum), "·")</f>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ref="H144:H146" si="342" xml:space="preserve"> IF(LEN(ChartLines.Hex6)=6, HEX2DEC(LEFT(ChartLines.Hex6, 2)), "·")</f>
        <v>254</v>
      </c>
      <c r="I144">
        <f t="shared" ref="I144:I146" si="343" xml:space="preserve"> IF(LEN(ChartLines.Hex6)=6, HEX2DEC(MID(ChartLines.Hex6, 3, 2)), "·")</f>
        <v>0</v>
      </c>
      <c r="J144">
        <f t="shared" ref="J144:J146" si="344" xml:space="preserve"> IF(LEN(ChartLines.Hex6)=6, HEX2DEC(RIGHT(ChartLines.Hex6, 2)), "·")</f>
        <v>0</v>
      </c>
      <c r="K144" cm="1">
        <f t="array" ref="K144" xml:space="preserve"> 1 + ROW() - _xlfn.SINGLE(ROW(ChartLines.RowNum))</f>
        <v>142</v>
      </c>
    </row>
    <row r="145" spans="2:11">
      <c r="B145" t="s">
        <v>163</v>
      </c>
      <c r="C145" t="str">
        <f xml:space="preserve"> "010080"</f>
        <v>010080</v>
      </c>
      <c r="E145">
        <f t="shared" ref="E145:E147" si="345" xml:space="preserve"> IF(AND(LEN(ChartLines.ID)&gt;0,"Unused"&lt;&gt;ChartLines.ID), COUNTIFS(ChartLines.ID,ChartLines.ID), "·")</f>
        <v>2</v>
      </c>
      <c r="F145">
        <f t="shared" ref="F145:F147" si="346" xml:space="preserve"> IF(AND(LEN(ChartLines.ID)&gt;0,"Unused"&lt;&gt;ChartLines.ID), COUNTIFS(ChartLines.ID,ChartLines.ID,   ChartLines.RowNum,"&lt;="&amp;ChartLines.RowNum), "·")</f>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ref="H145:H147" si="347" xml:space="preserve"> IF(LEN(ChartLines.Hex6)=6, HEX2DEC(LEFT(ChartLines.Hex6, 2)), "·")</f>
        <v>1</v>
      </c>
      <c r="I145">
        <f t="shared" ref="I145:I147" si="348" xml:space="preserve"> IF(LEN(ChartLines.Hex6)=6, HEX2DEC(MID(ChartLines.Hex6, 3, 2)), "·")</f>
        <v>0</v>
      </c>
      <c r="J145">
        <f t="shared" ref="J145:J147" si="349" xml:space="preserve"> IF(LEN(ChartLines.Hex6)=6, HEX2DEC(RIGHT(ChartLines.Hex6, 2)), "·")</f>
        <v>128</v>
      </c>
      <c r="K145" cm="1">
        <f t="array" ref="K145" xml:space="preserve"> 1 + ROW() - _xlfn.SINGLE(ROW(ChartLines.RowNum))</f>
        <v>143</v>
      </c>
    </row>
    <row r="146" spans="2:11">
      <c r="B146" t="s">
        <v>2380</v>
      </c>
      <c r="C146" t="s">
        <v>2409</v>
      </c>
      <c r="E146">
        <f t="shared" si="340"/>
        <v>2</v>
      </c>
      <c r="F146">
        <f t="shared" si="341"/>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42"/>
        <v>52</v>
      </c>
      <c r="I146">
        <f t="shared" si="343"/>
        <v>178</v>
      </c>
      <c r="J146">
        <f t="shared" si="344"/>
        <v>51</v>
      </c>
      <c r="K146" cm="1">
        <f t="array" ref="K146" xml:space="preserve"> 1 + ROW() - _xlfn.SINGLE(ROW(ChartLines.RowNum))</f>
        <v>144</v>
      </c>
    </row>
    <row r="147" spans="2:11">
      <c r="B147" t="s">
        <v>2380</v>
      </c>
      <c r="C147" t="s">
        <v>2408</v>
      </c>
      <c r="E147">
        <f t="shared" si="345"/>
        <v>2</v>
      </c>
      <c r="F147">
        <f t="shared" si="34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47"/>
        <v>254</v>
      </c>
      <c r="I147">
        <f t="shared" si="348"/>
        <v>203</v>
      </c>
      <c r="J147">
        <f t="shared" si="349"/>
        <v>0</v>
      </c>
      <c r="K147" cm="1">
        <f t="array" ref="K147" xml:space="preserve"> 1 + ROW() - _xlfn.SINGLE(ROW(ChartLines.RowNum))</f>
        <v>145</v>
      </c>
    </row>
    <row r="148" spans="2:11">
      <c r="B148" t="s">
        <v>248</v>
      </c>
      <c r="C148" t="s">
        <v>1893</v>
      </c>
      <c r="E148">
        <f t="shared" ref="E148" si="350" xml:space="preserve"> IF(AND(LEN(ChartLines.ID)&gt;0,"Unused"&lt;&gt;ChartLines.ID), COUNTIFS(ChartLines.ID,ChartLines.ID), "·")</f>
        <v>2</v>
      </c>
      <c r="F148">
        <f t="shared" ref="F148" si="35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f t="shared" ref="H148" si="352" xml:space="preserve"> IF(LEN(ChartLines.Hex6)=6, HEX2DEC(LEFT(ChartLines.Hex6, 2)), "·")</f>
        <v>0</v>
      </c>
      <c r="I148">
        <f t="shared" ref="I148" si="353" xml:space="preserve"> IF(LEN(ChartLines.Hex6)=6, HEX2DEC(MID(ChartLines.Hex6, 3, 2)), "·")</f>
        <v>56</v>
      </c>
      <c r="J148">
        <f t="shared" ref="J148" si="354" xml:space="preserve"> IF(LEN(ChartLines.Hex6)=6, HEX2DEC(RIGHT(ChartLines.Hex6, 2)), "·")</f>
        <v>168</v>
      </c>
      <c r="K148" cm="1">
        <f t="array" ref="K148" xml:space="preserve"> 1 + ROW() - _xlfn.SINGLE(ROW(ChartLines.RowNum))</f>
        <v>146</v>
      </c>
    </row>
    <row r="149" spans="2:11">
      <c r="B149" t="s">
        <v>248</v>
      </c>
      <c r="C149" t="s">
        <v>1881</v>
      </c>
      <c r="E149">
        <f t="shared" ref="E149" si="355" xml:space="preserve"> IF(AND(LEN(ChartLines.ID)&gt;0,"Unused"&lt;&gt;ChartLines.ID), COUNTIFS(ChartLines.ID,ChartLines.ID), "·")</f>
        <v>2</v>
      </c>
      <c r="F149">
        <f t="shared" ref="F149" si="356" xml:space="preserve"> IF(AND(LEN(ChartLines.ID)&gt;0,"Unused"&lt;&gt;ChartLines.ID), COUNTIFS(ChartLines.ID,ChartLines.ID,   ChartLines.RowNum,"&lt;="&amp;ChartLines.RowNum), "·")</f>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f t="shared" ref="H149" si="357" xml:space="preserve"> IF(LEN(ChartLines.Hex6)=6, HEX2DEC(LEFT(ChartLines.Hex6, 2)), "·")</f>
        <v>252</v>
      </c>
      <c r="I149">
        <f t="shared" ref="I149" si="358" xml:space="preserve"> IF(LEN(ChartLines.Hex6)=6, HEX2DEC(MID(ChartLines.Hex6, 3, 2)), "·")</f>
        <v>209</v>
      </c>
      <c r="J149">
        <f t="shared" ref="J149" si="359" xml:space="preserve"> IF(LEN(ChartLines.Hex6)=6, HEX2DEC(RIGHT(ChartLines.Hex6, 2)), "·")</f>
        <v>22</v>
      </c>
      <c r="K149" cm="1">
        <f t="array" ref="K149" xml:space="preserve"> 1 + ROW() - _xlfn.SINGLE(ROW(ChartLines.RowNum))</f>
        <v>147</v>
      </c>
    </row>
    <row r="150" spans="2:11">
      <c r="B150" t="s">
        <v>261</v>
      </c>
      <c r="C150" t="s">
        <v>1894</v>
      </c>
      <c r="E150">
        <f t="shared" ref="E150" si="360" xml:space="preserve"> IF(AND(LEN(ChartLines.ID)&gt;0,"Unused"&lt;&gt;ChartLines.ID), COUNTIFS(ChartLines.ID,ChartLines.ID), "·")</f>
        <v>2</v>
      </c>
      <c r="F150">
        <f t="shared" ref="F150" si="36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62" xml:space="preserve"> IF(LEN(ChartLines.Hex6)=6, HEX2DEC(LEFT(ChartLines.Hex6, 2)), "·")</f>
        <v>255</v>
      </c>
      <c r="I150">
        <f t="shared" ref="I150" si="363" xml:space="preserve"> IF(LEN(ChartLines.Hex6)=6, HEX2DEC(MID(ChartLines.Hex6, 3, 2)), "·")</f>
        <v>255</v>
      </c>
      <c r="J150">
        <f t="shared" ref="J150" si="364" xml:space="preserve"> IF(LEN(ChartLines.Hex6)=6, HEX2DEC(RIGHT(ChartLines.Hex6, 2)), "·")</f>
        <v>0</v>
      </c>
      <c r="K150" cm="1">
        <f t="array" ref="K150" xml:space="preserve"> 1 + ROW() - _xlfn.SINGLE(ROW(ChartLines.RowNum))</f>
        <v>148</v>
      </c>
    </row>
    <row r="151" spans="2:11">
      <c r="B151" t="s">
        <v>261</v>
      </c>
      <c r="C151" t="s">
        <v>1895</v>
      </c>
      <c r="E151">
        <f t="shared" ref="E151" si="365" xml:space="preserve"> IF(AND(LEN(ChartLines.ID)&gt;0,"Unused"&lt;&gt;ChartLines.ID), COUNTIFS(ChartLines.ID,ChartLines.ID), "·")</f>
        <v>2</v>
      </c>
      <c r="F151">
        <f t="shared" ref="F151" si="36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67" xml:space="preserve"> IF(LEN(ChartLines.Hex6)=6, HEX2DEC(LEFT(ChartLines.Hex6, 2)), "·")</f>
        <v>218</v>
      </c>
      <c r="I151">
        <f t="shared" ref="I151" si="368" xml:space="preserve"> IF(LEN(ChartLines.Hex6)=6, HEX2DEC(MID(ChartLines.Hex6, 3, 2)), "·")</f>
        <v>37</v>
      </c>
      <c r="J151">
        <f t="shared" ref="J151" si="369" xml:space="preserve"> IF(LEN(ChartLines.Hex6)=6, HEX2DEC(RIGHT(ChartLines.Hex6, 2)), "·")</f>
        <v>29</v>
      </c>
      <c r="K151" cm="1">
        <f t="array" ref="K151" xml:space="preserve"> 1 + ROW() - _xlfn.SINGLE(ROW(ChartLines.RowNum))</f>
        <v>149</v>
      </c>
    </row>
    <row r="152" spans="2:11">
      <c r="B152" t="s">
        <v>296</v>
      </c>
      <c r="C152" t="str">
        <f xml:space="preserve"> "250E62"</f>
        <v>250E62</v>
      </c>
      <c r="E152">
        <f t="shared" ref="E152" si="370" xml:space="preserve"> IF(AND(LEN(ChartLines.ID)&gt;0,"Unused"&lt;&gt;ChartLines.ID), COUNTIFS(ChartLines.ID,ChartLines.ID), "·")</f>
        <v>2</v>
      </c>
      <c r="F152">
        <f t="shared" ref="F152" si="37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72" xml:space="preserve"> IF(LEN(ChartLines.Hex6)=6, HEX2DEC(LEFT(ChartLines.Hex6, 2)), "·")</f>
        <v>37</v>
      </c>
      <c r="I152">
        <f t="shared" ref="I152" si="373" xml:space="preserve"> IF(LEN(ChartLines.Hex6)=6, HEX2DEC(MID(ChartLines.Hex6, 3, 2)), "·")</f>
        <v>14</v>
      </c>
      <c r="J152">
        <f t="shared" ref="J152" si="374" xml:space="preserve"> IF(LEN(ChartLines.Hex6)=6, HEX2DEC(RIGHT(ChartLines.Hex6, 2)), "·")</f>
        <v>98</v>
      </c>
      <c r="K152" cm="1">
        <f t="array" ref="K152" xml:space="preserve"> 1 + ROW() - _xlfn.SINGLE(ROW(ChartLines.RowNum))</f>
        <v>150</v>
      </c>
    </row>
    <row r="153" spans="2:11">
      <c r="B153" t="s">
        <v>296</v>
      </c>
      <c r="C153" t="s">
        <v>1840</v>
      </c>
      <c r="E153">
        <f t="shared" ref="E153" si="375" xml:space="preserve"> IF(AND(LEN(ChartLines.ID)&gt;0,"Unused"&lt;&gt;ChartLines.ID), COUNTIFS(ChartLines.ID,ChartLines.ID), "·")</f>
        <v>2</v>
      </c>
      <c r="F153">
        <f t="shared" ref="F153" si="37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77" xml:space="preserve"> IF(LEN(ChartLines.Hex6)=6, HEX2DEC(LEFT(ChartLines.Hex6, 2)), "·")</f>
        <v>255</v>
      </c>
      <c r="I153">
        <f t="shared" ref="I153" si="378" xml:space="preserve"> IF(LEN(ChartLines.Hex6)=6, HEX2DEC(MID(ChartLines.Hex6, 3, 2)), "·")</f>
        <v>255</v>
      </c>
      <c r="J153">
        <f t="shared" ref="J153" si="379" xml:space="preserve"> IF(LEN(ChartLines.Hex6)=6, HEX2DEC(RIGHT(ChartLines.Hex6, 2)), "·")</f>
        <v>255</v>
      </c>
      <c r="K153" cm="1">
        <f t="array" ref="K153" xml:space="preserve"> 1 + ROW() - _xlfn.SINGLE(ROW(ChartLines.RowNum))</f>
        <v>151</v>
      </c>
    </row>
    <row r="154" spans="2:11">
      <c r="B154" t="s">
        <v>135</v>
      </c>
      <c r="C154" t="s">
        <v>1896</v>
      </c>
      <c r="E154">
        <f t="shared" ref="E154" si="380" xml:space="preserve"> IF(AND(LEN(ChartLines.ID)&gt;0,"Unused"&lt;&gt;ChartLines.ID), COUNTIFS(ChartLines.ID,ChartLines.ID), "·")</f>
        <v>2</v>
      </c>
      <c r="F154">
        <f t="shared" ref="F154" si="38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 si="382" xml:space="preserve"> IF(LEN(ChartLines.Hex6)=6, HEX2DEC(LEFT(ChartLines.Hex6, 2)), "·")</f>
        <v>1</v>
      </c>
      <c r="I154">
        <f t="shared" ref="I154" si="383" xml:space="preserve"> IF(LEN(ChartLines.Hex6)=6, HEX2DEC(MID(ChartLines.Hex6, 3, 2)), "·")</f>
        <v>65</v>
      </c>
      <c r="J154">
        <f t="shared" ref="J154" si="384" xml:space="preserve"> IF(LEN(ChartLines.Hex6)=6, HEX2DEC(RIGHT(ChartLines.Hex6, 2)), "·")</f>
        <v>28</v>
      </c>
      <c r="K154" cm="1">
        <f t="array" ref="K154" xml:space="preserve"> 1 + ROW() - _xlfn.SINGLE(ROW(ChartLines.RowNum))</f>
        <v>152</v>
      </c>
    </row>
    <row r="155" spans="2:11">
      <c r="B155" t="s">
        <v>135</v>
      </c>
      <c r="C155" t="s">
        <v>1840</v>
      </c>
      <c r="E155">
        <f t="shared" ref="E155" si="385" xml:space="preserve"> IF(AND(LEN(ChartLines.ID)&gt;0,"Unused"&lt;&gt;ChartLines.ID), COUNTIFS(ChartLines.ID,ChartLines.ID), "·")</f>
        <v>2</v>
      </c>
      <c r="F155">
        <f t="shared" ref="F155" si="38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 si="387" xml:space="preserve"> IF(LEN(ChartLines.Hex6)=6, HEX2DEC(LEFT(ChartLines.Hex6, 2)), "·")</f>
        <v>255</v>
      </c>
      <c r="I155">
        <f t="shared" ref="I155" si="388" xml:space="preserve"> IF(LEN(ChartLines.Hex6)=6, HEX2DEC(MID(ChartLines.Hex6, 3, 2)), "·")</f>
        <v>255</v>
      </c>
      <c r="J155">
        <f t="shared" ref="J155" si="389" xml:space="preserve"> IF(LEN(ChartLines.Hex6)=6, HEX2DEC(RIGHT(ChartLines.Hex6, 2)), "·")</f>
        <v>255</v>
      </c>
      <c r="K155" cm="1">
        <f t="array" ref="K155" xml:space="preserve"> 1 + ROW() - _xlfn.SINGLE(ROW(ChartLines.RowNum))</f>
        <v>153</v>
      </c>
    </row>
    <row r="156" spans="2:11">
      <c r="B156" t="s">
        <v>97</v>
      </c>
      <c r="C156" t="s">
        <v>1897</v>
      </c>
      <c r="E156">
        <f t="shared" ref="E156" si="390" xml:space="preserve"> IF(AND(LEN(ChartLines.ID)&gt;0,"Unused"&lt;&gt;ChartLines.ID), COUNTIFS(ChartLines.ID,ChartLines.ID), "·")</f>
        <v>2</v>
      </c>
      <c r="F156">
        <f t="shared" ref="F156" si="391"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ref="H156" si="392" xml:space="preserve"> IF(LEN(ChartLines.Hex6)=6, HEX2DEC(LEFT(ChartLines.Hex6, 2)), "·")</f>
        <v>0</v>
      </c>
      <c r="I156">
        <f t="shared" ref="I156" si="393" xml:space="preserve"> IF(LEN(ChartLines.Hex6)=6, HEX2DEC(MID(ChartLines.Hex6, 3, 2)), "·")</f>
        <v>106</v>
      </c>
      <c r="J156">
        <f t="shared" ref="J156" si="394" xml:space="preserve"> IF(LEN(ChartLines.Hex6)=6, HEX2DEC(RIGHT(ChartLines.Hex6, 2)), "·")</f>
        <v>78</v>
      </c>
      <c r="K156" cm="1">
        <f t="array" ref="K156" xml:space="preserve"> 1 + ROW() - _xlfn.SINGLE(ROW(ChartLines.RowNum))</f>
        <v>154</v>
      </c>
    </row>
    <row r="157" spans="2:11">
      <c r="B157" t="s">
        <v>97</v>
      </c>
      <c r="C157" t="s">
        <v>1898</v>
      </c>
      <c r="E157">
        <f t="shared" ref="E157" si="395" xml:space="preserve"> IF(AND(LEN(ChartLines.ID)&gt;0,"Unused"&lt;&gt;ChartLines.ID), COUNTIFS(ChartLines.ID,ChartLines.ID), "·")</f>
        <v>2</v>
      </c>
      <c r="F157">
        <f t="shared" ref="F157" si="396"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ref="H157" si="397" xml:space="preserve"> IF(LEN(ChartLines.Hex6)=6, HEX2DEC(LEFT(ChartLines.Hex6, 2)), "·")</f>
        <v>244</v>
      </c>
      <c r="I157">
        <f t="shared" ref="I157" si="398" xml:space="preserve"> IF(LEN(ChartLines.Hex6)=6, HEX2DEC(MID(ChartLines.Hex6, 3, 2)), "·")</f>
        <v>42</v>
      </c>
      <c r="J157">
        <f t="shared" ref="J157" si="399" xml:space="preserve"> IF(LEN(ChartLines.Hex6)=6, HEX2DEC(RIGHT(ChartLines.Hex6, 2)), "·")</f>
        <v>65</v>
      </c>
      <c r="K157" cm="1">
        <f t="array" ref="K157" xml:space="preserve"> 1 + ROW() - _xlfn.SINGLE(ROW(ChartLines.RowNum))</f>
        <v>155</v>
      </c>
    </row>
    <row r="158" spans="2:11">
      <c r="B158" t="s">
        <v>164</v>
      </c>
      <c r="C158" t="s">
        <v>1899</v>
      </c>
      <c r="E158">
        <f t="shared" ref="E158" si="400" xml:space="preserve"> IF(AND(LEN(ChartLines.ID)&gt;0,"Unused"&lt;&gt;ChartLines.ID), COUNTIFS(ChartLines.ID,ChartLines.ID), "·")</f>
        <v>2</v>
      </c>
      <c r="F158">
        <f t="shared" ref="F158" si="40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402" xml:space="preserve"> IF(LEN(ChartLines.Hex6)=6, HEX2DEC(LEFT(ChartLines.Hex6, 2)), "·")</f>
        <v>121</v>
      </c>
      <c r="I158">
        <f t="shared" ref="I158" si="403" xml:space="preserve"> IF(LEN(ChartLines.Hex6)=6, HEX2DEC(MID(ChartLines.Hex6, 3, 2)), "·")</f>
        <v>5</v>
      </c>
      <c r="J158">
        <f t="shared" ref="J158" si="404" xml:space="preserve"> IF(LEN(ChartLines.Hex6)=6, HEX2DEC(RIGHT(ChartLines.Hex6, 2)), "·")</f>
        <v>44</v>
      </c>
      <c r="K158" cm="1">
        <f t="array" ref="K158" xml:space="preserve"> 1 + ROW() - _xlfn.SINGLE(ROW(ChartLines.RowNum))</f>
        <v>156</v>
      </c>
    </row>
    <row r="159" spans="2:11">
      <c r="B159" t="s">
        <v>164</v>
      </c>
      <c r="C159" t="s">
        <v>1900</v>
      </c>
      <c r="E159">
        <f t="shared" ref="E159" si="405" xml:space="preserve"> IF(AND(LEN(ChartLines.ID)&gt;0,"Unused"&lt;&gt;ChartLines.ID), COUNTIFS(ChartLines.ID,ChartLines.ID), "·")</f>
        <v>2</v>
      </c>
      <c r="F159">
        <f t="shared" ref="F159" si="40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407" xml:space="preserve"> IF(LEN(ChartLines.Hex6)=6, HEX2DEC(LEFT(ChartLines.Hex6, 2)), "·")</f>
        <v>253</v>
      </c>
      <c r="I159">
        <f t="shared" ref="I159" si="408" xml:space="preserve"> IF(LEN(ChartLines.Hex6)=6, HEX2DEC(MID(ChartLines.Hex6, 3, 2)), "·")</f>
        <v>178</v>
      </c>
      <c r="J159">
        <f t="shared" ref="J159" si="409" xml:space="preserve"> IF(LEN(ChartLines.Hex6)=6, HEX2DEC(RIGHT(ChartLines.Hex6, 2)), "·")</f>
        <v>33</v>
      </c>
      <c r="K159" cm="1">
        <f t="array" ref="K159" xml:space="preserve"> 1 + ROW() - _xlfn.SINGLE(ROW(ChartLines.RowNum))</f>
        <v>157</v>
      </c>
    </row>
    <row r="160" spans="2:11">
      <c r="B160" t="s">
        <v>1901</v>
      </c>
      <c r="C160" t="s">
        <v>1902</v>
      </c>
      <c r="E160">
        <f t="shared" ref="E160:E164" si="410" xml:space="preserve"> IF(AND(LEN(ChartLines.ID)&gt;0,"Unused"&lt;&gt;ChartLines.ID), COUNTIFS(ChartLines.ID,ChartLines.ID), "·")</f>
        <v>2</v>
      </c>
      <c r="F160">
        <f t="shared" ref="F160:F164" si="41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H164" si="412" xml:space="preserve"> IF(LEN(ChartLines.Hex6)=6, HEX2DEC(LEFT(ChartLines.Hex6, 2)), "·")</f>
        <v>0</v>
      </c>
      <c r="I160">
        <f t="shared" ref="I160:I164" si="413" xml:space="preserve"> IF(LEN(ChartLines.Hex6)=6, HEX2DEC(MID(ChartLines.Hex6, 3, 2)), "·")</f>
        <v>174</v>
      </c>
      <c r="J160">
        <f t="shared" ref="J160:J164" si="414" xml:space="preserve"> IF(LEN(ChartLines.Hex6)=6, HEX2DEC(RIGHT(ChartLines.Hex6, 2)), "·")</f>
        <v>199</v>
      </c>
      <c r="K160" cm="1">
        <f t="array" ref="K160" xml:space="preserve"> 1 + ROW() - _xlfn.SINGLE(ROW(ChartLines.RowNum))</f>
        <v>158</v>
      </c>
    </row>
    <row r="161" spans="2:11">
      <c r="B161" t="s">
        <v>1901</v>
      </c>
      <c r="C161" t="s">
        <v>1903</v>
      </c>
      <c r="E161">
        <f t="shared" ref="E161:E165" si="415" xml:space="preserve"> IF(AND(LEN(ChartLines.ID)&gt;0,"Unused"&lt;&gt;ChartLines.ID), COUNTIFS(ChartLines.ID,ChartLines.ID), "·")</f>
        <v>2</v>
      </c>
      <c r="F161">
        <f t="shared" ref="F161:F165" si="41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H165" si="417" xml:space="preserve"> IF(LEN(ChartLines.Hex6)=6, HEX2DEC(LEFT(ChartLines.Hex6, 2)), "·")</f>
        <v>246</v>
      </c>
      <c r="I161">
        <f t="shared" ref="I161:I165" si="418" xml:space="preserve"> IF(LEN(ChartLines.Hex6)=6, HEX2DEC(MID(ChartLines.Hex6, 3, 2)), "·")</f>
        <v>229</v>
      </c>
      <c r="J161">
        <f t="shared" ref="J161:J165" si="419" xml:space="preserve"> IF(LEN(ChartLines.Hex6)=6, HEX2DEC(RIGHT(ChartLines.Hex6, 2)), "·")</f>
        <v>0</v>
      </c>
      <c r="K161" cm="1">
        <f t="array" ref="K161" xml:space="preserve"> 1 + ROW() - _xlfn.SINGLE(ROW(ChartLines.RowNum))</f>
        <v>159</v>
      </c>
    </row>
    <row r="162" spans="2:11">
      <c r="B162" t="s">
        <v>2312</v>
      </c>
      <c r="C162" t="s">
        <v>2407</v>
      </c>
      <c r="E162">
        <f t="shared" si="410"/>
        <v>2</v>
      </c>
      <c r="F162">
        <f t="shared" si="411"/>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si="412"/>
        <v>30</v>
      </c>
      <c r="I162">
        <f t="shared" si="413"/>
        <v>181</v>
      </c>
      <c r="J162">
        <f t="shared" si="414"/>
        <v>58</v>
      </c>
      <c r="K162" cm="1">
        <f t="array" ref="K162" xml:space="preserve"> 1 + ROW() - _xlfn.SINGLE(ROW(ChartLines.RowNum))</f>
        <v>160</v>
      </c>
    </row>
    <row r="163" spans="2:11">
      <c r="B163" t="s">
        <v>2312</v>
      </c>
      <c r="C163" t="s">
        <v>2406</v>
      </c>
      <c r="E163">
        <f t="shared" si="415"/>
        <v>2</v>
      </c>
      <c r="F163">
        <f t="shared" si="416"/>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si="417"/>
        <v>0</v>
      </c>
      <c r="I163">
        <f t="shared" si="418"/>
        <v>153</v>
      </c>
      <c r="J163">
        <f t="shared" si="419"/>
        <v>181</v>
      </c>
      <c r="K163" cm="1">
        <f t="array" ref="K163" xml:space="preserve"> 1 + ROW() - _xlfn.SINGLE(ROW(ChartLines.RowNum))</f>
        <v>161</v>
      </c>
    </row>
    <row r="164" spans="2:11">
      <c r="B164" t="s">
        <v>2410</v>
      </c>
      <c r="C164" t="s">
        <v>1941</v>
      </c>
      <c r="E164">
        <f t="shared" si="410"/>
        <v>2</v>
      </c>
      <c r="F164">
        <f t="shared" si="411"/>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si="412"/>
        <v>255</v>
      </c>
      <c r="I164">
        <f t="shared" si="413"/>
        <v>199</v>
      </c>
      <c r="J164">
        <f t="shared" si="414"/>
        <v>44</v>
      </c>
      <c r="K164" cm="1">
        <f t="array" ref="K164" xml:space="preserve"> 1 + ROW() - _xlfn.SINGLE(ROW(ChartLines.RowNum))</f>
        <v>162</v>
      </c>
    </row>
    <row r="165" spans="2:11">
      <c r="B165" t="s">
        <v>2410</v>
      </c>
      <c r="C165" t="s">
        <v>2411</v>
      </c>
      <c r="E165">
        <f t="shared" si="415"/>
        <v>2</v>
      </c>
      <c r="F165">
        <f t="shared" si="416"/>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si="417"/>
        <v>0</v>
      </c>
      <c r="I165">
        <f t="shared" si="418"/>
        <v>133</v>
      </c>
      <c r="J165">
        <f t="shared" si="419"/>
        <v>58</v>
      </c>
      <c r="K165" cm="1">
        <f t="array" ref="K165" xml:space="preserve"> 1 + ROW() - _xlfn.SINGLE(ROW(ChartLines.RowNum))</f>
        <v>163</v>
      </c>
    </row>
    <row r="166" spans="2:11">
      <c r="B166" t="s">
        <v>1614</v>
      </c>
      <c r="C166" t="s">
        <v>1904</v>
      </c>
      <c r="E166">
        <f t="shared" ref="E166" si="420" xml:space="preserve"> IF(AND(LEN(ChartLines.ID)&gt;0,"Unused"&lt;&gt;ChartLines.ID), COUNTIFS(ChartLines.ID,ChartLines.ID), "·")</f>
        <v>2</v>
      </c>
      <c r="F166">
        <f t="shared" ref="F166" si="42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422" xml:space="preserve"> IF(LEN(ChartLines.Hex6)=6, HEX2DEC(LEFT(ChartLines.Hex6, 2)), "·")</f>
        <v>0</v>
      </c>
      <c r="I166">
        <f t="shared" ref="I166" si="423" xml:space="preserve"> IF(LEN(ChartLines.Hex6)=6, HEX2DEC(MID(ChartLines.Hex6, 3, 2)), "·")</f>
        <v>102</v>
      </c>
      <c r="J166">
        <f t="shared" ref="J166" si="424" xml:space="preserve"> IF(LEN(ChartLines.Hex6)=6, HEX2DEC(RIGHT(ChartLines.Hex6, 2)), "·")</f>
        <v>179</v>
      </c>
      <c r="K166" cm="1">
        <f t="array" ref="K166" xml:space="preserve"> 1 + ROW() - _xlfn.SINGLE(ROW(ChartLines.RowNum))</f>
        <v>164</v>
      </c>
    </row>
    <row r="167" spans="2:11">
      <c r="B167" t="s">
        <v>1614</v>
      </c>
      <c r="C167" t="s">
        <v>1905</v>
      </c>
      <c r="E167">
        <f t="shared" ref="E167:E171" si="425" xml:space="preserve"> IF(AND(LEN(ChartLines.ID)&gt;0,"Unused"&lt;&gt;ChartLines.ID), COUNTIFS(ChartLines.ID,ChartLines.ID), "·")</f>
        <v>2</v>
      </c>
      <c r="F167">
        <f t="shared" ref="F167:F171" si="42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H171" si="427" xml:space="preserve"> IF(LEN(ChartLines.Hex6)=6, HEX2DEC(LEFT(ChartLines.Hex6, 2)), "·")</f>
        <v>218</v>
      </c>
      <c r="I167">
        <f t="shared" ref="I167:I171" si="428" xml:space="preserve"> IF(LEN(ChartLines.Hex6)=6, HEX2DEC(MID(ChartLines.Hex6, 3, 2)), "·")</f>
        <v>32</v>
      </c>
      <c r="J167">
        <f t="shared" ref="J167:J171" si="429" xml:space="preserve"> IF(LEN(ChartLines.Hex6)=6, HEX2DEC(RIGHT(ChartLines.Hex6, 2)), "·")</f>
        <v>50</v>
      </c>
      <c r="K167" cm="1">
        <f t="array" ref="K167" xml:space="preserve"> 1 + ROW() - _xlfn.SINGLE(ROW(ChartLines.RowNum))</f>
        <v>165</v>
      </c>
    </row>
    <row r="168" spans="2:11">
      <c r="B168" t="s">
        <v>2421</v>
      </c>
      <c r="C168" t="s">
        <v>2423</v>
      </c>
      <c r="E168">
        <f t="shared" si="425"/>
        <v>2</v>
      </c>
      <c r="F168">
        <f t="shared" si="426"/>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si="427"/>
        <v>220</v>
      </c>
      <c r="I168">
        <f t="shared" si="428"/>
        <v>20</v>
      </c>
      <c r="J168">
        <f t="shared" si="429"/>
        <v>60</v>
      </c>
      <c r="K168" cm="1">
        <f t="array" ref="K168" xml:space="preserve"> 1 + ROW() - _xlfn.SINGLE(ROW(ChartLines.RowNum))</f>
        <v>166</v>
      </c>
    </row>
    <row r="169" spans="2:11">
      <c r="B169" t="s">
        <v>2421</v>
      </c>
      <c r="C169" t="str">
        <f xml:space="preserve"> "000000"</f>
        <v>000000</v>
      </c>
      <c r="E169">
        <f t="shared" si="425"/>
        <v>2</v>
      </c>
      <c r="F169">
        <f t="shared" si="426"/>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si="427"/>
        <v>0</v>
      </c>
      <c r="I169">
        <f t="shared" si="428"/>
        <v>0</v>
      </c>
      <c r="J169">
        <f t="shared" si="429"/>
        <v>0</v>
      </c>
      <c r="K169" cm="1">
        <f t="array" ref="K169" xml:space="preserve"> 1 + ROW() - _xlfn.SINGLE(ROW(ChartLines.RowNum))</f>
        <v>167</v>
      </c>
    </row>
    <row r="170" spans="2:11">
      <c r="B170" t="s">
        <v>2269</v>
      </c>
      <c r="C170" t="str">
        <f xml:space="preserve"> "000000"</f>
        <v>000000</v>
      </c>
      <c r="E170">
        <f t="shared" si="425"/>
        <v>2</v>
      </c>
      <c r="F170">
        <f t="shared" si="426"/>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si="427"/>
        <v>0</v>
      </c>
      <c r="I170">
        <f t="shared" si="428"/>
        <v>0</v>
      </c>
      <c r="J170">
        <f t="shared" si="429"/>
        <v>0</v>
      </c>
      <c r="K170" cm="1">
        <f t="array" ref="K170" xml:space="preserve"> 1 + ROW() - _xlfn.SINGLE(ROW(ChartLines.RowNum))</f>
        <v>168</v>
      </c>
    </row>
    <row r="171" spans="2:11">
      <c r="B171" t="s">
        <v>2269</v>
      </c>
      <c r="C171" t="s">
        <v>2302</v>
      </c>
      <c r="E171">
        <f t="shared" si="425"/>
        <v>2</v>
      </c>
      <c r="F171">
        <f t="shared" si="426"/>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si="427"/>
        <v>237</v>
      </c>
      <c r="I171">
        <f t="shared" si="428"/>
        <v>28</v>
      </c>
      <c r="J171">
        <f t="shared" si="429"/>
        <v>39</v>
      </c>
      <c r="K171" cm="1">
        <f t="array" ref="K171" xml:space="preserve"> 1 + ROW() - _xlfn.SINGLE(ROW(ChartLines.RowNum))</f>
        <v>169</v>
      </c>
    </row>
    <row r="172" spans="2:11">
      <c r="E172" t="str">
        <f t="shared" ref="E172" si="430" xml:space="preserve"> IF(AND(LEN(ChartLines.ID)&gt;0,"Unused"&lt;&gt;ChartLines.ID), COUNTIFS(ChartLines.ID,ChartLines.ID), "·")</f>
        <v>·</v>
      </c>
      <c r="F172" t="str">
        <f t="shared" ref="F172" si="431" xml:space="preserve"> IF(AND(LEN(ChartLines.ID)&gt;0,"Unused"&lt;&gt;ChartLines.ID), COUNTIFS(ChartLines.ID,ChartLines.ID,   ChartLines.RowNum,"&lt;="&amp;ChartLines.RowNum), "·")</f>
        <v>·</v>
      </c>
      <c r="G172" t="str" cm="1">
        <f t="array" ref="G172" xml:space="preserve"> _xlfn.IFS(OR(LEN(_xlfn.SINGLE(ChartLines.ID))=0,"Unused"=_xlfn.SINGLE(ChartLines.ID)), "·",   1=_xlfn.SINGLE(ChartLines.NumInstances), IF("USD"=_xlfn.SINGLE(ChartLines.ID), "SoleBig", "SoleOrdinary"),   1=_xlfn.SINGLE(ChartLines.InstanceNum), "Outer",   TRUE, "Inner")</f>
        <v>·</v>
      </c>
      <c r="H172" t="str">
        <f t="shared" ref="H172" si="432" xml:space="preserve"> IF(LEN(ChartLines.Hex6)=6, HEX2DEC(LEFT(ChartLines.Hex6, 2)), "·")</f>
        <v>·</v>
      </c>
      <c r="I172" t="str">
        <f t="shared" ref="I172" si="433" xml:space="preserve"> IF(LEN(ChartLines.Hex6)=6, HEX2DEC(MID(ChartLines.Hex6, 3, 2)), "·")</f>
        <v>·</v>
      </c>
      <c r="J172" t="str">
        <f t="shared" ref="J172" si="434" xml:space="preserve"> IF(LEN(ChartLines.Hex6)=6, HEX2DEC(RIGHT(ChartLines.Hex6, 2)), "·")</f>
        <v>·</v>
      </c>
      <c r="K172" cm="1">
        <f t="array" ref="K172" xml:space="preserve"> 1 + ROW() - _xlfn.SINGLE(ROW(ChartLines.RowNum))</f>
        <v>170</v>
      </c>
    </row>
    <row r="173" spans="2:11">
      <c r="B173" t="s">
        <v>879</v>
      </c>
      <c r="C173" t="s">
        <v>1906</v>
      </c>
      <c r="E173">
        <f t="shared" ref="E173" si="435" xml:space="preserve"> IF(AND(LEN(ChartLines.ID)&gt;0,"Unused"&lt;&gt;ChartLines.ID), COUNTIFS(ChartLines.ID,ChartLines.ID), "·")</f>
        <v>2</v>
      </c>
      <c r="F173">
        <f t="shared" ref="F173" si="436" xml:space="preserve"> IF(AND(LEN(ChartLines.ID)&gt;0,"Unused"&lt;&gt;ChartLines.ID), COUNTIFS(ChartLines.ID,ChartLines.ID,   ChartLines.RowNum,"&lt;="&amp;ChartLines.RowNum), "·")</f>
        <v>1</v>
      </c>
      <c r="G173" t="str" cm="1">
        <f t="array" ref="G173" xml:space="preserve"> _xlfn.IFS(OR(LEN(_xlfn.SINGLE(ChartLines.ID))=0,"Unused"=_xlfn.SINGLE(ChartLines.ID)), "·",   1=_xlfn.SINGLE(ChartLines.NumInstances), IF("USD"=_xlfn.SINGLE(ChartLines.ID), "SoleBig", "SoleOrdinary"),   1=_xlfn.SINGLE(ChartLines.InstanceNum), "Outer",   TRUE, "Inner")</f>
        <v>Outer</v>
      </c>
      <c r="H173">
        <f t="shared" ref="H173" si="437" xml:space="preserve"> IF(LEN(ChartLines.Hex6)=6, HEX2DEC(LEFT(ChartLines.Hex6, 2)), "·")</f>
        <v>199</v>
      </c>
      <c r="I173">
        <f t="shared" ref="I173" si="438" xml:space="preserve"> IF(LEN(ChartLines.Hex6)=6, HEX2DEC(MID(ChartLines.Hex6, 3, 2)), "·")</f>
        <v>54</v>
      </c>
      <c r="J173">
        <f t="shared" ref="J173" si="439" xml:space="preserve"> IF(LEN(ChartLines.Hex6)=6, HEX2DEC(RIGHT(ChartLines.Hex6, 2)), "·")</f>
        <v>61</v>
      </c>
      <c r="K173" cm="1">
        <f t="array" ref="K173" xml:space="preserve"> 1 + ROW() - _xlfn.SINGLE(ROW(ChartLines.RowNum))</f>
        <v>171</v>
      </c>
    </row>
    <row r="174" spans="2:11">
      <c r="B174" t="s">
        <v>879</v>
      </c>
      <c r="C174" t="s">
        <v>1907</v>
      </c>
      <c r="E174">
        <f t="shared" ref="E174" si="440" xml:space="preserve"> IF(AND(LEN(ChartLines.ID)&gt;0,"Unused"&lt;&gt;ChartLines.ID), COUNTIFS(ChartLines.ID,ChartLines.ID), "·")</f>
        <v>2</v>
      </c>
      <c r="F174">
        <f t="shared" ref="F174" si="441" xml:space="preserve"> IF(AND(LEN(ChartLines.ID)&gt;0,"Unused"&lt;&gt;ChartLines.ID), COUNTIFS(ChartLines.ID,ChartLines.ID,   ChartLines.RowNum,"&lt;="&amp;ChartLines.RowNum), "·")</f>
        <v>2</v>
      </c>
      <c r="G174" t="str" cm="1">
        <f t="array" ref="G174" xml:space="preserve"> _xlfn.IFS(OR(LEN(_xlfn.SINGLE(ChartLines.ID))=0,"Unused"=_xlfn.SINGLE(ChartLines.ID)), "·",   1=_xlfn.SINGLE(ChartLines.NumInstances), IF("USD"=_xlfn.SINGLE(ChartLines.ID), "SoleBig", "SoleOrdinary"),   1=_xlfn.SINGLE(ChartLines.InstanceNum), "Outer",   TRUE, "Inner")</f>
        <v>Inner</v>
      </c>
      <c r="H174">
        <f t="shared" ref="H174" si="442" xml:space="preserve"> IF(LEN(ChartLines.Hex6)=6, HEX2DEC(LEFT(ChartLines.Hex6, 2)), "·")</f>
        <v>12</v>
      </c>
      <c r="I174">
        <f t="shared" ref="I174" si="443" xml:space="preserve"> IF(LEN(ChartLines.Hex6)=6, HEX2DEC(MID(ChartLines.Hex6, 3, 2)), "·")</f>
        <v>64</v>
      </c>
      <c r="J174">
        <f t="shared" ref="J174" si="444" xml:space="preserve"> IF(LEN(ChartLines.Hex6)=6, HEX2DEC(RIGHT(ChartLines.Hex6, 2)), "·")</f>
        <v>119</v>
      </c>
      <c r="K174" cm="1">
        <f t="array" ref="K174" xml:space="preserve"> 1 + ROW() - _xlfn.SINGLE(ROW(ChartLines.RowNum))</f>
        <v>172</v>
      </c>
    </row>
    <row r="175" spans="2:11">
      <c r="B175" t="s">
        <v>394</v>
      </c>
      <c r="C175" t="str">
        <f xml:space="preserve"> "000000"</f>
        <v>000000</v>
      </c>
      <c r="E175">
        <f t="shared" ref="E175" si="445" xml:space="preserve"> IF(AND(LEN(ChartLines.ID)&gt;0,"Unused"&lt;&gt;ChartLines.ID), COUNTIFS(ChartLines.ID,ChartLines.ID), "·")</f>
        <v>2</v>
      </c>
      <c r="F175">
        <f t="shared" ref="F175" si="446" xml:space="preserve"> IF(AND(LEN(ChartLines.ID)&gt;0,"Unused"&lt;&gt;ChartLines.ID), COUNTIFS(ChartLines.ID,ChartLines.ID,   ChartLines.RowNum,"&lt;="&amp;ChartLines.RowNum), "·")</f>
        <v>1</v>
      </c>
      <c r="G175" t="str" cm="1">
        <f t="array" ref="G175" xml:space="preserve"> _xlfn.IFS(OR(LEN(_xlfn.SINGLE(ChartLines.ID))=0,"Unused"=_xlfn.SINGLE(ChartLines.ID)), "·",   1=_xlfn.SINGLE(ChartLines.NumInstances), IF("USD"=_xlfn.SINGLE(ChartLines.ID), "SoleBig", "SoleOrdinary"),   1=_xlfn.SINGLE(ChartLines.InstanceNum), "Outer",   TRUE, "Inner")</f>
        <v>Outer</v>
      </c>
      <c r="H175">
        <f t="shared" ref="H175" si="447" xml:space="preserve"> IF(LEN(ChartLines.Hex6)=6, HEX2DEC(LEFT(ChartLines.Hex6, 2)), "·")</f>
        <v>0</v>
      </c>
      <c r="I175">
        <f t="shared" ref="I175" si="448" xml:space="preserve"> IF(LEN(ChartLines.Hex6)=6, HEX2DEC(MID(ChartLines.Hex6, 3, 2)), "·")</f>
        <v>0</v>
      </c>
      <c r="J175">
        <f t="shared" ref="J175" si="449" xml:space="preserve"> IF(LEN(ChartLines.Hex6)=6, HEX2DEC(RIGHT(ChartLines.Hex6, 2)), "·")</f>
        <v>0</v>
      </c>
      <c r="K175" cm="1">
        <f t="array" ref="K175" xml:space="preserve"> 1 + ROW() - _xlfn.SINGLE(ROW(ChartLines.RowNum))</f>
        <v>173</v>
      </c>
    </row>
    <row r="176" spans="2:11">
      <c r="B176" t="s">
        <v>394</v>
      </c>
      <c r="C176" t="s">
        <v>1858</v>
      </c>
      <c r="E176">
        <f t="shared" ref="E176" si="450" xml:space="preserve"> IF(AND(LEN(ChartLines.ID)&gt;0,"Unused"&lt;&gt;ChartLines.ID), COUNTIFS(ChartLines.ID,ChartLines.ID), "·")</f>
        <v>2</v>
      </c>
      <c r="F176">
        <f t="shared" ref="F176" si="451" xml:space="preserve"> IF(AND(LEN(ChartLines.ID)&gt;0,"Unused"&lt;&gt;ChartLines.ID), COUNTIFS(ChartLines.ID,ChartLines.ID,   ChartLines.RowNum,"&lt;="&amp;ChartLines.RowNum), "·")</f>
        <v>2</v>
      </c>
      <c r="G176" t="str" cm="1">
        <f t="array" ref="G176" xml:space="preserve"> _xlfn.IFS(OR(LEN(_xlfn.SINGLE(ChartLines.ID))=0,"Unused"=_xlfn.SINGLE(ChartLines.ID)), "·",   1=_xlfn.SINGLE(ChartLines.NumInstances), IF("USD"=_xlfn.SINGLE(ChartLines.ID), "SoleBig", "SoleOrdinary"),   1=_xlfn.SINGLE(ChartLines.InstanceNum), "Outer",   TRUE, "Inner")</f>
        <v>Inner</v>
      </c>
      <c r="H176">
        <f t="shared" ref="H176" si="452" xml:space="preserve"> IF(LEN(ChartLines.Hex6)=6, HEX2DEC(LEFT(ChartLines.Hex6, 2)), "·")</f>
        <v>218</v>
      </c>
      <c r="I176">
        <f t="shared" ref="I176" si="453" xml:space="preserve"> IF(LEN(ChartLines.Hex6)=6, HEX2DEC(MID(ChartLines.Hex6, 3, 2)), "·")</f>
        <v>41</v>
      </c>
      <c r="J176">
        <f t="shared" ref="J176" si="454" xml:space="preserve"> IF(LEN(ChartLines.Hex6)=6, HEX2DEC(RIGHT(ChartLines.Hex6, 2)), "·")</f>
        <v>28</v>
      </c>
      <c r="K176" cm="1">
        <f t="array" ref="K176" xml:space="preserve"> 1 + ROW() - _xlfn.SINGLE(ROW(ChartLines.RowNum))</f>
        <v>174</v>
      </c>
    </row>
    <row r="177" spans="2:11">
      <c r="B177" t="s">
        <v>406</v>
      </c>
      <c r="C177" t="s">
        <v>1908</v>
      </c>
      <c r="E177">
        <f t="shared" ref="E177" si="455" xml:space="preserve"> IF(AND(LEN(ChartLines.ID)&gt;0,"Unused"&lt;&gt;ChartLines.ID), COUNTIFS(ChartLines.ID,ChartLines.ID), "·")</f>
        <v>2</v>
      </c>
      <c r="F177">
        <f t="shared" ref="F177" si="456" xml:space="preserve"> IF(AND(LEN(ChartLines.ID)&gt;0,"Unused"&lt;&gt;ChartLines.ID), COUNTIFS(ChartLines.ID,ChartLines.ID,   ChartLines.RowNum,"&lt;="&amp;ChartLines.RowNum), "·")</f>
        <v>1</v>
      </c>
      <c r="G177" t="str" cm="1">
        <f t="array" ref="G177" xml:space="preserve"> _xlfn.IFS(OR(LEN(_xlfn.SINGLE(ChartLines.ID))=0,"Unused"=_xlfn.SINGLE(ChartLines.ID)), "·",   1=_xlfn.SINGLE(ChartLines.NumInstances), IF("USD"=_xlfn.SINGLE(ChartLines.ID), "SoleBig", "SoleOrdinary"),   1=_xlfn.SINGLE(ChartLines.InstanceNum), "Outer",   TRUE, "Inner")</f>
        <v>Outer</v>
      </c>
      <c r="H177">
        <f t="shared" ref="H177" si="457" xml:space="preserve"> IF(LEN(ChartLines.Hex6)=6, HEX2DEC(LEFT(ChartLines.Hex6, 2)), "·")</f>
        <v>206</v>
      </c>
      <c r="I177">
        <f t="shared" ref="I177" si="458" xml:space="preserve"> IF(LEN(ChartLines.Hex6)=6, HEX2DEC(MID(ChartLines.Hex6, 3, 2)), "·")</f>
        <v>32</v>
      </c>
      <c r="J177">
        <f t="shared" ref="J177" si="459" xml:space="preserve"> IF(LEN(ChartLines.Hex6)=6, HEX2DEC(RIGHT(ChartLines.Hex6, 2)), "·")</f>
        <v>40</v>
      </c>
      <c r="K177" cm="1">
        <f t="array" ref="K177" xml:space="preserve"> 1 + ROW() - _xlfn.SINGLE(ROW(ChartLines.RowNum))</f>
        <v>175</v>
      </c>
    </row>
    <row r="178" spans="2:11">
      <c r="B178" t="s">
        <v>406</v>
      </c>
      <c r="C178" t="s">
        <v>1909</v>
      </c>
      <c r="E178">
        <f t="shared" ref="E178" si="460" xml:space="preserve"> IF(AND(LEN(ChartLines.ID)&gt;0,"Unused"&lt;&gt;ChartLines.ID), COUNTIFS(ChartLines.ID,ChartLines.ID), "·")</f>
        <v>2</v>
      </c>
      <c r="F178">
        <f t="shared" ref="F178" si="461" xml:space="preserve"> IF(AND(LEN(ChartLines.ID)&gt;0,"Unused"&lt;&gt;ChartLines.ID), COUNTIFS(ChartLines.ID,ChartLines.ID,   ChartLines.RowNum,"&lt;="&amp;ChartLines.RowNum), "·")</f>
        <v>2</v>
      </c>
      <c r="G178" t="str" cm="1">
        <f t="array" ref="G178" xml:space="preserve"> _xlfn.IFS(OR(LEN(_xlfn.SINGLE(ChartLines.ID))=0,"Unused"=_xlfn.SINGLE(ChartLines.ID)), "·",   1=_xlfn.SINGLE(ChartLines.NumInstances), IF("USD"=_xlfn.SINGLE(ChartLines.ID), "SoleBig", "SoleOrdinary"),   1=_xlfn.SINGLE(ChartLines.InstanceNum), "Outer",   TRUE, "Inner")</f>
        <v>Inner</v>
      </c>
      <c r="H178">
        <f t="shared" ref="H178" si="462" xml:space="preserve"> IF(LEN(ChartLines.Hex6)=6, HEX2DEC(LEFT(ChartLines.Hex6, 2)), "·")</f>
        <v>249</v>
      </c>
      <c r="I178">
        <f t="shared" ref="I178" si="463" xml:space="preserve"> IF(LEN(ChartLines.Hex6)=6, HEX2DEC(MID(ChartLines.Hex6, 3, 2)), "·")</f>
        <v>214</v>
      </c>
      <c r="J178">
        <f t="shared" ref="J178" si="464" xml:space="preserve"> IF(LEN(ChartLines.Hex6)=6, HEX2DEC(RIGHT(ChartLines.Hex6, 2)), "·")</f>
        <v>22</v>
      </c>
      <c r="K178" cm="1">
        <f t="array" ref="K178" xml:space="preserve"> 1 + ROW() - _xlfn.SINGLE(ROW(ChartLines.RowNum))</f>
        <v>176</v>
      </c>
    </row>
    <row r="179" spans="2:11">
      <c r="B179" t="s">
        <v>1670</v>
      </c>
      <c r="C179" t="s">
        <v>1910</v>
      </c>
      <c r="E179">
        <f t="shared" ref="E179" si="465" xml:space="preserve"> IF(AND(LEN(ChartLines.ID)&gt;0,"Unused"&lt;&gt;ChartLines.ID), COUNTIFS(ChartLines.ID,ChartLines.ID), "·")</f>
        <v>2</v>
      </c>
      <c r="F179">
        <f t="shared" ref="F179" si="466" xml:space="preserve"> IF(AND(LEN(ChartLines.ID)&gt;0,"Unused"&lt;&gt;ChartLines.ID), COUNTIFS(ChartLines.ID,ChartLines.ID,   ChartLines.RowNum,"&lt;="&amp;ChartLines.RowNum), "·")</f>
        <v>1</v>
      </c>
      <c r="G179" t="str" cm="1">
        <f t="array" ref="G179" xml:space="preserve"> _xlfn.IFS(OR(LEN(_xlfn.SINGLE(ChartLines.ID))=0,"Unused"=_xlfn.SINGLE(ChartLines.ID)), "·",   1=_xlfn.SINGLE(ChartLines.NumInstances), IF("USD"=_xlfn.SINGLE(ChartLines.ID), "SoleBig", "SoleOrdinary"),   1=_xlfn.SINGLE(ChartLines.InstanceNum), "Outer",   TRUE, "Inner")</f>
        <v>Outer</v>
      </c>
      <c r="H179">
        <f t="shared" ref="H179" si="467" xml:space="preserve"> IF(LEN(ChartLines.Hex6)=6, HEX2DEC(LEFT(ChartLines.Hex6, 2)), "·")</f>
        <v>255</v>
      </c>
      <c r="I179">
        <f t="shared" ref="I179" si="468" xml:space="preserve"> IF(LEN(ChartLines.Hex6)=6, HEX2DEC(MID(ChartLines.Hex6, 3, 2)), "·")</f>
        <v>210</v>
      </c>
      <c r="J179">
        <f t="shared" ref="J179" si="469" xml:space="preserve"> IF(LEN(ChartLines.Hex6)=6, HEX2DEC(RIGHT(ChartLines.Hex6, 2)), "·")</f>
        <v>0</v>
      </c>
      <c r="K179" cm="1">
        <f t="array" ref="K179" xml:space="preserve"> 1 + ROW() - _xlfn.SINGLE(ROW(ChartLines.RowNum))</f>
        <v>177</v>
      </c>
    </row>
    <row r="180" spans="2:11">
      <c r="B180" t="s">
        <v>1670</v>
      </c>
      <c r="C180" t="s">
        <v>1911</v>
      </c>
      <c r="E180">
        <f t="shared" ref="E180" si="470" xml:space="preserve"> IF(AND(LEN(ChartLines.ID)&gt;0,"Unused"&lt;&gt;ChartLines.ID), COUNTIFS(ChartLines.ID,ChartLines.ID), "·")</f>
        <v>2</v>
      </c>
      <c r="F180">
        <f t="shared" ref="F180" si="471" xml:space="preserve"> IF(AND(LEN(ChartLines.ID)&gt;0,"Unused"&lt;&gt;ChartLines.ID), COUNTIFS(ChartLines.ID,ChartLines.ID,   ChartLines.RowNum,"&lt;="&amp;ChartLines.RowNum), "·")</f>
        <v>2</v>
      </c>
      <c r="G180" t="str" cm="1">
        <f t="array" ref="G180" xml:space="preserve"> _xlfn.IFS(OR(LEN(_xlfn.SINGLE(ChartLines.ID))=0,"Unused"=_xlfn.SINGLE(ChartLines.ID)), "·",   1=_xlfn.SINGLE(ChartLines.NumInstances), IF("USD"=_xlfn.SINGLE(ChartLines.ID), "SoleBig", "SoleOrdinary"),   1=_xlfn.SINGLE(ChartLines.InstanceNum), "Outer",   TRUE, "Inner")</f>
        <v>Inner</v>
      </c>
      <c r="H180">
        <f t="shared" ref="H180" si="472" xml:space="preserve"> IF(LEN(ChartLines.Hex6)=6, HEX2DEC(LEFT(ChartLines.Hex6, 2)), "·")</f>
        <v>204</v>
      </c>
      <c r="I180">
        <f t="shared" ref="I180" si="473" xml:space="preserve"> IF(LEN(ChartLines.Hex6)=6, HEX2DEC(MID(ChartLines.Hex6, 3, 2)), "·")</f>
        <v>9</v>
      </c>
      <c r="J180">
        <f t="shared" ref="J180" si="474" xml:space="preserve"> IF(LEN(ChartLines.Hex6)=6, HEX2DEC(RIGHT(ChartLines.Hex6, 2)), "·")</f>
        <v>47</v>
      </c>
      <c r="K180" cm="1">
        <f t="array" ref="K180" xml:space="preserve"> 1 + ROW() - _xlfn.SINGLE(ROW(ChartLines.RowNum))</f>
        <v>178</v>
      </c>
    </row>
    <row r="181" spans="2:11">
      <c r="B181" t="s">
        <v>165</v>
      </c>
      <c r="C181" t="s">
        <v>1912</v>
      </c>
      <c r="E181">
        <f t="shared" ref="E181" si="475" xml:space="preserve"> IF(AND(LEN(ChartLines.ID)&gt;0,"Unused"&lt;&gt;ChartLines.ID), COUNTIFS(ChartLines.ID,ChartLines.ID), "·")</f>
        <v>2</v>
      </c>
      <c r="F181">
        <f t="shared" ref="F181" si="476" xml:space="preserve"> IF(AND(LEN(ChartLines.ID)&gt;0,"Unused"&lt;&gt;ChartLines.ID), COUNTIFS(ChartLines.ID,ChartLines.ID,   ChartLines.RowNum,"&lt;="&amp;ChartLines.RowNum), "·")</f>
        <v>1</v>
      </c>
      <c r="G181" t="str" cm="1">
        <f t="array" ref="G181" xml:space="preserve"> _xlfn.IFS(OR(LEN(_xlfn.SINGLE(ChartLines.ID))=0,"Unused"=_xlfn.SINGLE(ChartLines.ID)), "·",   1=_xlfn.SINGLE(ChartLines.NumInstances), IF("USD"=_xlfn.SINGLE(ChartLines.ID), "SoleBig", "SoleOrdinary"),   1=_xlfn.SINGLE(ChartLines.InstanceNum), "Outer",   TRUE, "Inner")</f>
        <v>Outer</v>
      </c>
      <c r="H181">
        <f t="shared" ref="H181" si="477" xml:space="preserve"> IF(LEN(ChartLines.Hex6)=6, HEX2DEC(LEFT(ChartLines.Hex6, 2)), "·")</f>
        <v>0</v>
      </c>
      <c r="I181">
        <f t="shared" ref="I181" si="478" xml:space="preserve"> IF(LEN(ChartLines.Hex6)=6, HEX2DEC(MID(ChartLines.Hex6, 3, 2)), "·")</f>
        <v>87</v>
      </c>
      <c r="J181">
        <f t="shared" ref="J181" si="479" xml:space="preserve"> IF(LEN(ChartLines.Hex6)=6, HEX2DEC(RIGHT(ChartLines.Hex6, 2)), "·")</f>
        <v>183</v>
      </c>
      <c r="K181" cm="1">
        <f t="array" ref="K181" xml:space="preserve"> 1 + ROW() - _xlfn.SINGLE(ROW(ChartLines.RowNum))</f>
        <v>179</v>
      </c>
    </row>
    <row r="182" spans="2:11">
      <c r="B182" t="s">
        <v>165</v>
      </c>
      <c r="C182" t="s">
        <v>1980</v>
      </c>
      <c r="E182">
        <f t="shared" ref="E182" si="480" xml:space="preserve"> IF(AND(LEN(ChartLines.ID)&gt;0,"Unused"&lt;&gt;ChartLines.ID), COUNTIFS(ChartLines.ID,ChartLines.ID), "·")</f>
        <v>2</v>
      </c>
      <c r="F182">
        <f t="shared" ref="F182" si="481" xml:space="preserve"> IF(AND(LEN(ChartLines.ID)&gt;0,"Unused"&lt;&gt;ChartLines.ID), COUNTIFS(ChartLines.ID,ChartLines.ID,   ChartLines.RowNum,"&lt;="&amp;ChartLines.RowNum), "·")</f>
        <v>2</v>
      </c>
      <c r="G182" t="str" cm="1">
        <f t="array" ref="G182" xml:space="preserve"> _xlfn.IFS(OR(LEN(_xlfn.SINGLE(ChartLines.ID))=0,"Unused"=_xlfn.SINGLE(ChartLines.ID)), "·",   1=_xlfn.SINGLE(ChartLines.NumInstances), IF("USD"=_xlfn.SINGLE(ChartLines.ID), "SoleBig", "SoleOrdinary"),   1=_xlfn.SINGLE(ChartLines.InstanceNum), "Outer",   TRUE, "Inner")</f>
        <v>Inner</v>
      </c>
      <c r="H182">
        <f t="shared" ref="H182" si="482" xml:space="preserve"> IF(LEN(ChartLines.Hex6)=6, HEX2DEC(LEFT(ChartLines.Hex6, 2)), "·")</f>
        <v>255</v>
      </c>
      <c r="I182">
        <f t="shared" ref="I182" si="483" xml:space="preserve"> IF(LEN(ChartLines.Hex6)=6, HEX2DEC(MID(ChartLines.Hex6, 3, 2)), "·")</f>
        <v>215</v>
      </c>
      <c r="J182">
        <f t="shared" ref="J182" si="484" xml:space="preserve"> IF(LEN(ChartLines.Hex6)=6, HEX2DEC(RIGHT(ChartLines.Hex6, 2)), "·")</f>
        <v>0</v>
      </c>
      <c r="K182" cm="1">
        <f t="array" ref="K182" xml:space="preserve"> 1 + ROW() - _xlfn.SINGLE(ROW(ChartLines.RowNum))</f>
        <v>180</v>
      </c>
    </row>
    <row r="183" spans="2:11">
      <c r="B183" t="s">
        <v>1913</v>
      </c>
      <c r="C183" t="s">
        <v>1839</v>
      </c>
      <c r="E183">
        <f t="shared" ref="E183" si="485" xml:space="preserve"> IF(AND(LEN(ChartLines.ID)&gt;0,"Unused"&lt;&gt;ChartLines.ID), COUNTIFS(ChartLines.ID,ChartLines.ID), "·")</f>
        <v>2</v>
      </c>
      <c r="F183">
        <f t="shared" ref="F183" si="48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87" xml:space="preserve"> IF(LEN(ChartLines.Hex6)=6, HEX2DEC(LEFT(ChartLines.Hex6, 2)), "·")</f>
        <v>255</v>
      </c>
      <c r="I183">
        <f t="shared" ref="I183" si="488" xml:space="preserve"> IF(LEN(ChartLines.Hex6)=6, HEX2DEC(MID(ChartLines.Hex6, 3, 2)), "·")</f>
        <v>0</v>
      </c>
      <c r="J183">
        <f t="shared" ref="J183" si="489" xml:space="preserve"> IF(LEN(ChartLines.Hex6)=6, HEX2DEC(RIGHT(ChartLines.Hex6, 2)), "·")</f>
        <v>0</v>
      </c>
      <c r="K183" cm="1">
        <f t="array" ref="K183" xml:space="preserve"> 1 + ROW() - _xlfn.SINGLE(ROW(ChartLines.RowNum))</f>
        <v>181</v>
      </c>
    </row>
    <row r="184" spans="2:11">
      <c r="B184" t="s">
        <v>1913</v>
      </c>
      <c r="C184" t="s">
        <v>1840</v>
      </c>
      <c r="E184">
        <f t="shared" ref="E184:E188" si="490" xml:space="preserve"> IF(AND(LEN(ChartLines.ID)&gt;0,"Unused"&lt;&gt;ChartLines.ID), COUNTIFS(ChartLines.ID,ChartLines.ID), "·")</f>
        <v>2</v>
      </c>
      <c r="F184">
        <f t="shared" ref="F184:F188" si="49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H188" si="492" xml:space="preserve"> IF(LEN(ChartLines.Hex6)=6, HEX2DEC(LEFT(ChartLines.Hex6, 2)), "·")</f>
        <v>255</v>
      </c>
      <c r="I184">
        <f t="shared" ref="I184:I188" si="493" xml:space="preserve"> IF(LEN(ChartLines.Hex6)=6, HEX2DEC(MID(ChartLines.Hex6, 3, 2)), "·")</f>
        <v>255</v>
      </c>
      <c r="J184">
        <f t="shared" ref="J184:J188" si="494" xml:space="preserve"> IF(LEN(ChartLines.Hex6)=6, HEX2DEC(RIGHT(ChartLines.Hex6, 2)), "·")</f>
        <v>255</v>
      </c>
      <c r="K184" cm="1">
        <f t="array" ref="K184" xml:space="preserve"> 1 + ROW() - _xlfn.SINGLE(ROW(ChartLines.RowNum))</f>
        <v>182</v>
      </c>
    </row>
    <row r="185" spans="2:11">
      <c r="B185" t="s">
        <v>2415</v>
      </c>
      <c r="C185" t="s">
        <v>2417</v>
      </c>
      <c r="E185">
        <f t="shared" si="490"/>
        <v>2</v>
      </c>
      <c r="F185">
        <f t="shared" si="491"/>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si="492"/>
        <v>0</v>
      </c>
      <c r="I185">
        <f t="shared" si="493"/>
        <v>152</v>
      </c>
      <c r="J185">
        <f t="shared" si="494"/>
        <v>195</v>
      </c>
      <c r="K185" cm="1">
        <f t="array" ref="K185" xml:space="preserve"> 1 + ROW() - _xlfn.SINGLE(ROW(ChartLines.RowNum))</f>
        <v>183</v>
      </c>
    </row>
    <row r="186" spans="2:11">
      <c r="B186" t="s">
        <v>2415</v>
      </c>
      <c r="C186" t="s">
        <v>1840</v>
      </c>
      <c r="E186">
        <f t="shared" si="490"/>
        <v>2</v>
      </c>
      <c r="F186">
        <f t="shared" si="491"/>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si="492"/>
        <v>255</v>
      </c>
      <c r="I186">
        <f t="shared" si="493"/>
        <v>255</v>
      </c>
      <c r="J186">
        <f t="shared" si="494"/>
        <v>255</v>
      </c>
      <c r="K186" cm="1">
        <f t="array" ref="K186" xml:space="preserve"> 1 + ROW() - _xlfn.SINGLE(ROW(ChartLines.RowNum))</f>
        <v>184</v>
      </c>
    </row>
    <row r="187" spans="2:11">
      <c r="B187" t="s">
        <v>2416</v>
      </c>
      <c r="C187" t="s">
        <v>1935</v>
      </c>
      <c r="E187">
        <f t="shared" si="490"/>
        <v>2</v>
      </c>
      <c r="F187">
        <f t="shared" si="491"/>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si="492"/>
        <v>0</v>
      </c>
      <c r="I187">
        <f t="shared" si="493"/>
        <v>51</v>
      </c>
      <c r="J187">
        <f t="shared" si="494"/>
        <v>160</v>
      </c>
      <c r="K187" cm="1">
        <f t="array" ref="K187" xml:space="preserve"> 1 + ROW() - _xlfn.SINGLE(ROW(ChartLines.RowNum))</f>
        <v>185</v>
      </c>
    </row>
    <row r="188" spans="2:11">
      <c r="B188" t="s">
        <v>2416</v>
      </c>
      <c r="C188" t="s">
        <v>2418</v>
      </c>
      <c r="E188">
        <f t="shared" si="490"/>
        <v>2</v>
      </c>
      <c r="F188">
        <f t="shared" si="491"/>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si="492"/>
        <v>242</v>
      </c>
      <c r="I188">
        <f t="shared" si="493"/>
        <v>168</v>
      </c>
      <c r="J188">
        <f t="shared" si="494"/>
        <v>0</v>
      </c>
      <c r="K188" cm="1">
        <f t="array" ref="K188" xml:space="preserve"> 1 + ROW() - _xlfn.SINGLE(ROW(ChartLines.RowNum))</f>
        <v>186</v>
      </c>
    </row>
    <row r="189" spans="2:11">
      <c r="B189" t="s">
        <v>2155</v>
      </c>
      <c r="C189" t="s">
        <v>1914</v>
      </c>
      <c r="E189">
        <f t="shared" ref="E189" si="495" xml:space="preserve"> IF(AND(LEN(ChartLines.ID)&gt;0,"Unused"&lt;&gt;ChartLines.ID), COUNTIFS(ChartLines.ID,ChartLines.ID), "·")</f>
        <v>2</v>
      </c>
      <c r="F189">
        <f t="shared" ref="F189" si="49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97" xml:space="preserve"> IF(LEN(ChartLines.Hex6)=6, HEX2DEC(LEFT(ChartLines.Hex6, 2)), "·")</f>
        <v>207</v>
      </c>
      <c r="I189">
        <f t="shared" ref="I189" si="498" xml:space="preserve"> IF(LEN(ChartLines.Hex6)=6, HEX2DEC(MID(ChartLines.Hex6, 3, 2)), "·")</f>
        <v>16</v>
      </c>
      <c r="J189">
        <f t="shared" ref="J189" si="499" xml:space="preserve"> IF(LEN(ChartLines.Hex6)=6, HEX2DEC(RIGHT(ChartLines.Hex6, 2)), "·")</f>
        <v>26</v>
      </c>
      <c r="K189" cm="1">
        <f t="array" ref="K189" xml:space="preserve"> 1 + ROW() - _xlfn.SINGLE(ROW(ChartLines.RowNum))</f>
        <v>187</v>
      </c>
    </row>
    <row r="190" spans="2:11">
      <c r="B190" t="s">
        <v>2155</v>
      </c>
      <c r="C190" t="s">
        <v>1840</v>
      </c>
      <c r="E190">
        <f t="shared" ref="E190" si="500" xml:space="preserve"> IF(AND(LEN(ChartLines.ID)&gt;0,"Unused"&lt;&gt;ChartLines.ID), COUNTIFS(ChartLines.ID,ChartLines.ID), "·")</f>
        <v>2</v>
      </c>
      <c r="F190">
        <f t="shared" ref="F190" si="50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502" xml:space="preserve"> IF(LEN(ChartLines.Hex6)=6, HEX2DEC(LEFT(ChartLines.Hex6, 2)), "·")</f>
        <v>255</v>
      </c>
      <c r="I190">
        <f t="shared" ref="I190" si="503" xml:space="preserve"> IF(LEN(ChartLines.Hex6)=6, HEX2DEC(MID(ChartLines.Hex6, 3, 2)), "·")</f>
        <v>255</v>
      </c>
      <c r="J190">
        <f t="shared" ref="J190" si="504" xml:space="preserve"> IF(LEN(ChartLines.Hex6)=6, HEX2DEC(RIGHT(ChartLines.Hex6, 2)), "·")</f>
        <v>255</v>
      </c>
      <c r="K190" cm="1">
        <f t="array" ref="K190" xml:space="preserve"> 1 + ROW() - _xlfn.SINGLE(ROW(ChartLines.RowNum))</f>
        <v>188</v>
      </c>
    </row>
    <row r="191" spans="2:11">
      <c r="B191" t="s">
        <v>407</v>
      </c>
      <c r="C191" t="s">
        <v>2078</v>
      </c>
      <c r="E191">
        <f t="shared" ref="E191" si="505" xml:space="preserve"> IF(AND(LEN(ChartLines.ID)&gt;0,"Unused"&lt;&gt;ChartLines.ID), COUNTIFS(ChartLines.ID,ChartLines.ID), "·")</f>
        <v>2</v>
      </c>
      <c r="F191">
        <f t="shared" ref="F191" si="50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507" xml:space="preserve"> IF(LEN(ChartLines.Hex6)=6, HEX2DEC(LEFT(ChartLines.Hex6, 2)), "·")</f>
        <v>106</v>
      </c>
      <c r="I191">
        <f t="shared" ref="I191" si="508" xml:space="preserve"> IF(LEN(ChartLines.Hex6)=6, HEX2DEC(MID(ChartLines.Hex6, 3, 2)), "·")</f>
        <v>87</v>
      </c>
      <c r="J191">
        <f t="shared" ref="J191" si="509" xml:space="preserve"> IF(LEN(ChartLines.Hex6)=6, HEX2DEC(RIGHT(ChartLines.Hex6, 2)), "·")</f>
        <v>27</v>
      </c>
      <c r="K191" cm="1">
        <f t="array" ref="K191" xml:space="preserve"> 1 + ROW() - _xlfn.SINGLE(ROW(ChartLines.RowNum))</f>
        <v>189</v>
      </c>
    </row>
    <row r="192" spans="2:11">
      <c r="B192" t="s">
        <v>407</v>
      </c>
      <c r="C192" t="s">
        <v>2069</v>
      </c>
      <c r="E192">
        <f t="shared" ref="E192" si="510" xml:space="preserve"> IF(AND(LEN(ChartLines.ID)&gt;0,"Unused"&lt;&gt;ChartLines.ID), COUNTIFS(ChartLines.ID,ChartLines.ID), "·")</f>
        <v>2</v>
      </c>
      <c r="F192">
        <f t="shared" ref="F192" si="51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512" xml:space="preserve"> IF(LEN(ChartLines.Hex6)=6, HEX2DEC(LEFT(ChartLines.Hex6, 2)), "·")</f>
        <v>212</v>
      </c>
      <c r="I192">
        <f t="shared" ref="I192" si="513" xml:space="preserve"> IF(LEN(ChartLines.Hex6)=6, HEX2DEC(MID(ChartLines.Hex6, 3, 2)), "·")</f>
        <v>175</v>
      </c>
      <c r="J192">
        <f t="shared" ref="J192" si="514" xml:space="preserve"> IF(LEN(ChartLines.Hex6)=6, HEX2DEC(RIGHT(ChartLines.Hex6, 2)), "·")</f>
        <v>55</v>
      </c>
      <c r="K192" cm="1">
        <f t="array" ref="K192" xml:space="preserve"> 1 + ROW() - _xlfn.SINGLE(ROW(ChartLines.RowNum))</f>
        <v>190</v>
      </c>
    </row>
    <row r="193" spans="2:11">
      <c r="E193" t="str">
        <f t="shared" ref="E193" si="515" xml:space="preserve"> IF(AND(LEN(ChartLines.ID)&gt;0,"Unused"&lt;&gt;ChartLines.ID), COUNTIFS(ChartLines.ID,ChartLines.ID), "·")</f>
        <v>·</v>
      </c>
      <c r="F193" t="str">
        <f t="shared" ref="F193" si="516" xml:space="preserve"> IF(AND(LEN(ChartLines.ID)&gt;0,"Unused"&lt;&gt;ChartLines.ID), COUNTIFS(ChartLines.ID,ChartLines.ID,   ChartLines.RowNum,"&lt;="&amp;ChartLines.RowNum), "·")</f>
        <v>·</v>
      </c>
      <c r="G193" t="str" cm="1">
        <f t="array" ref="G193" xml:space="preserve"> _xlfn.IFS(OR(LEN(_xlfn.SINGLE(ChartLines.ID))=0,"Unused"=_xlfn.SINGLE(ChartLines.ID)), "·",   1=_xlfn.SINGLE(ChartLines.NumInstances), IF("USD"=_xlfn.SINGLE(ChartLines.ID), "SoleBig", "SoleOrdinary"),   1=_xlfn.SINGLE(ChartLines.InstanceNum), "Outer",   TRUE, "Inner")</f>
        <v>·</v>
      </c>
      <c r="H193" t="str">
        <f t="shared" ref="H193" si="517" xml:space="preserve"> IF(LEN(ChartLines.Hex6)=6, HEX2DEC(LEFT(ChartLines.Hex6, 2)), "·")</f>
        <v>·</v>
      </c>
      <c r="I193" t="str">
        <f t="shared" ref="I193" si="518" xml:space="preserve"> IF(LEN(ChartLines.Hex6)=6, HEX2DEC(MID(ChartLines.Hex6, 3, 2)), "·")</f>
        <v>·</v>
      </c>
      <c r="J193" t="str">
        <f t="shared" ref="J193" si="519" xml:space="preserve"> IF(LEN(ChartLines.Hex6)=6, HEX2DEC(RIGHT(ChartLines.Hex6, 2)), "·")</f>
        <v>·</v>
      </c>
      <c r="K193" cm="1">
        <f t="array" ref="K193" xml:space="preserve"> 1 + ROW() - _xlfn.SINGLE(ROW(ChartLines.RowNum))</f>
        <v>191</v>
      </c>
    </row>
    <row r="194" spans="2:11">
      <c r="B194" t="s">
        <v>134</v>
      </c>
      <c r="C194" t="s">
        <v>1915</v>
      </c>
      <c r="E194">
        <f t="shared" ref="E194" si="520" xml:space="preserve"> IF(AND(LEN(ChartLines.ID)&gt;0,"Unused"&lt;&gt;ChartLines.ID), COUNTIFS(ChartLines.ID,ChartLines.ID), "·")</f>
        <v>1</v>
      </c>
      <c r="F194">
        <f t="shared" ref="F194" si="521" xml:space="preserve"> IF(AND(LEN(ChartLines.ID)&gt;0,"Unused"&lt;&gt;ChartLines.ID), COUNTIFS(ChartLines.ID,ChartLines.ID,   ChartLines.RowNum,"&lt;="&amp;ChartLines.RowNum), "·")</f>
        <v>1</v>
      </c>
      <c r="G194" t="str" cm="1">
        <f t="array" ref="G194" xml:space="preserve"> _xlfn.IFS(OR(LEN(_xlfn.SINGLE(ChartLines.ID))=0,"Unused"=_xlfn.SINGLE(ChartLines.ID)), "·",   1=_xlfn.SINGLE(ChartLines.NumInstances), IF("USD"=_xlfn.SINGLE(ChartLines.ID), "SoleBig", "SoleOrdinary"),   1=_xlfn.SINGLE(ChartLines.InstanceNum), "Outer",   TRUE, "Inner")</f>
        <v>SoleOrdinary</v>
      </c>
      <c r="H194">
        <f t="shared" ref="H194" si="522" xml:space="preserve"> IF(LEN(ChartLines.Hex6)=6, HEX2DEC(LEFT(ChartLines.Hex6, 2)), "·")</f>
        <v>227</v>
      </c>
      <c r="I194">
        <f t="shared" ref="I194" si="523" xml:space="preserve"> IF(LEN(ChartLines.Hex6)=6, HEX2DEC(MID(ChartLines.Hex6, 3, 2)), "·")</f>
        <v>10</v>
      </c>
      <c r="J194">
        <f t="shared" ref="J194" si="524" xml:space="preserve"> IF(LEN(ChartLines.Hex6)=6, HEX2DEC(RIGHT(ChartLines.Hex6, 2)), "·")</f>
        <v>23</v>
      </c>
      <c r="K194" cm="1">
        <f t="array" ref="K194" xml:space="preserve"> 1 + ROW() - _xlfn.SINGLE(ROW(ChartLines.RowNum))</f>
        <v>192</v>
      </c>
    </row>
    <row r="195" spans="2:11">
      <c r="B195" t="s">
        <v>1836</v>
      </c>
      <c r="E195" t="str">
        <f t="shared" ref="E195" si="525" xml:space="preserve"> IF(AND(LEN(ChartLines.ID)&gt;0,"Unused"&lt;&gt;ChartLines.ID), COUNTIFS(ChartLines.ID,ChartLines.ID), "·")</f>
        <v>·</v>
      </c>
      <c r="F195" t="str">
        <f t="shared" ref="F195" si="526" xml:space="preserve"> IF(AND(LEN(ChartLines.ID)&gt;0,"Unused"&lt;&gt;ChartLines.ID), COUNTIFS(ChartLines.ID,ChartLines.ID,   ChartLines.RowNum,"&lt;="&amp;ChartLines.RowNum), "·")</f>
        <v>·</v>
      </c>
      <c r="G195" t="str" cm="1">
        <f t="array" ref="G195" xml:space="preserve"> _xlfn.IFS(OR(LEN(_xlfn.SINGLE(ChartLines.ID))=0,"Unused"=_xlfn.SINGLE(ChartLines.ID)), "·",   1=_xlfn.SINGLE(ChartLines.NumInstances), IF("USD"=_xlfn.SINGLE(ChartLines.ID), "SoleBig", "SoleOrdinary"),   1=_xlfn.SINGLE(ChartLines.InstanceNum), "Outer",   TRUE, "Inner")</f>
        <v>·</v>
      </c>
      <c r="H195" t="str">
        <f t="shared" ref="H195" si="527" xml:space="preserve"> IF(LEN(ChartLines.Hex6)=6, HEX2DEC(LEFT(ChartLines.Hex6, 2)), "·")</f>
        <v>·</v>
      </c>
      <c r="I195" t="str">
        <f t="shared" ref="I195" si="528" xml:space="preserve"> IF(LEN(ChartLines.Hex6)=6, HEX2DEC(MID(ChartLines.Hex6, 3, 2)), "·")</f>
        <v>·</v>
      </c>
      <c r="J195" t="str">
        <f t="shared" ref="J195" si="529" xml:space="preserve"> IF(LEN(ChartLines.Hex6)=6, HEX2DEC(RIGHT(ChartLines.Hex6, 2)), "·")</f>
        <v>·</v>
      </c>
      <c r="K195" cm="1">
        <f t="array" ref="K195" xml:space="preserve"> 1 + ROW() - _xlfn.SINGLE(ROW(ChartLines.RowNum))</f>
        <v>193</v>
      </c>
    </row>
    <row r="196" spans="2:11">
      <c r="B196" t="s">
        <v>166</v>
      </c>
      <c r="C196" t="str">
        <f xml:space="preserve"> "009639"</f>
        <v>009639</v>
      </c>
      <c r="E196">
        <f t="shared" ref="E196" si="530" xml:space="preserve"> IF(AND(LEN(ChartLines.ID)&gt;0,"Unused"&lt;&gt;ChartLines.ID), COUNTIFS(ChartLines.ID,ChartLines.ID), "·")</f>
        <v>2</v>
      </c>
      <c r="F196">
        <f t="shared" ref="F196" si="531" xml:space="preserve"> IF(AND(LEN(ChartLines.ID)&gt;0,"Unused"&lt;&gt;ChartLines.ID), COUNTIFS(ChartLines.ID,ChartLines.ID,   ChartLines.RowNum,"&lt;="&amp;ChartLines.RowNum), "·")</f>
        <v>1</v>
      </c>
      <c r="G196" t="str" cm="1">
        <f t="array" ref="G196" xml:space="preserve"> _xlfn.IFS(OR(LEN(_xlfn.SINGLE(ChartLines.ID))=0,"Unused"=_xlfn.SINGLE(ChartLines.ID)), "·",   1=_xlfn.SINGLE(ChartLines.NumInstances), IF("USD"=_xlfn.SINGLE(ChartLines.ID), "SoleBig", "SoleOrdinary"),   1=_xlfn.SINGLE(ChartLines.InstanceNum), "Outer",   TRUE, "Inner")</f>
        <v>Outer</v>
      </c>
      <c r="H196">
        <f t="shared" ref="H196" si="532" xml:space="preserve"> IF(LEN(ChartLines.Hex6)=6, HEX2DEC(LEFT(ChartLines.Hex6, 2)), "·")</f>
        <v>0</v>
      </c>
      <c r="I196">
        <f t="shared" ref="I196" si="533" xml:space="preserve"> IF(LEN(ChartLines.Hex6)=6, HEX2DEC(MID(ChartLines.Hex6, 3, 2)), "·")</f>
        <v>150</v>
      </c>
      <c r="J196">
        <f t="shared" ref="J196" si="534" xml:space="preserve"> IF(LEN(ChartLines.Hex6)=6, HEX2DEC(RIGHT(ChartLines.Hex6, 2)), "·")</f>
        <v>57</v>
      </c>
      <c r="K196" cm="1">
        <f t="array" ref="K196" xml:space="preserve"> 1 + ROW() - _xlfn.SINGLE(ROW(ChartLines.RowNum))</f>
        <v>194</v>
      </c>
    </row>
    <row r="197" spans="2:11">
      <c r="B197" t="s">
        <v>166</v>
      </c>
      <c r="C197" t="s">
        <v>1840</v>
      </c>
      <c r="E197">
        <f t="shared" ref="E197" si="535" xml:space="preserve"> IF(AND(LEN(ChartLines.ID)&gt;0,"Unused"&lt;&gt;ChartLines.ID), COUNTIFS(ChartLines.ID,ChartLines.ID), "·")</f>
        <v>2</v>
      </c>
      <c r="F197">
        <f t="shared" ref="F197" si="536" xml:space="preserve"> IF(AND(LEN(ChartLines.ID)&gt;0,"Unused"&lt;&gt;ChartLines.ID), COUNTIFS(ChartLines.ID,ChartLines.ID,   ChartLines.RowNum,"&lt;="&amp;ChartLines.RowNum), "·")</f>
        <v>2</v>
      </c>
      <c r="G197" t="str" cm="1">
        <f t="array" ref="G197" xml:space="preserve"> _xlfn.IFS(OR(LEN(_xlfn.SINGLE(ChartLines.ID))=0,"Unused"=_xlfn.SINGLE(ChartLines.ID)), "·",   1=_xlfn.SINGLE(ChartLines.NumInstances), IF("USD"=_xlfn.SINGLE(ChartLines.ID), "SoleBig", "SoleOrdinary"),   1=_xlfn.SINGLE(ChartLines.InstanceNum), "Outer",   TRUE, "Inner")</f>
        <v>Inner</v>
      </c>
      <c r="H197">
        <f t="shared" ref="H197" si="537" xml:space="preserve"> IF(LEN(ChartLines.Hex6)=6, HEX2DEC(LEFT(ChartLines.Hex6, 2)), "·")</f>
        <v>255</v>
      </c>
      <c r="I197">
        <f t="shared" ref="I197" si="538" xml:space="preserve"> IF(LEN(ChartLines.Hex6)=6, HEX2DEC(MID(ChartLines.Hex6, 3, 2)), "·")</f>
        <v>255</v>
      </c>
      <c r="J197">
        <f t="shared" ref="J197" si="539" xml:space="preserve"> IF(LEN(ChartLines.Hex6)=6, HEX2DEC(RIGHT(ChartLines.Hex6, 2)), "·")</f>
        <v>255</v>
      </c>
      <c r="K197" cm="1">
        <f t="array" ref="K197" xml:space="preserve"> 1 + ROW() - _xlfn.SINGLE(ROW(ChartLines.RowNum))</f>
        <v>195</v>
      </c>
    </row>
    <row r="198" spans="2:11">
      <c r="B198" t="s">
        <v>459</v>
      </c>
      <c r="C198" t="str">
        <f xml:space="preserve"> "009639"</f>
        <v>009639</v>
      </c>
      <c r="E198">
        <f t="shared" ref="E198" si="540" xml:space="preserve"> IF(AND(LEN(ChartLines.ID)&gt;0,"Unused"&lt;&gt;ChartLines.ID), COUNTIFS(ChartLines.ID,ChartLines.ID), "·")</f>
        <v>2</v>
      </c>
      <c r="F198">
        <f t="shared" ref="F198" si="541" xml:space="preserve"> IF(AND(LEN(ChartLines.ID)&gt;0,"Unused"&lt;&gt;ChartLines.ID), COUNTIFS(ChartLines.ID,ChartLines.ID,   ChartLines.RowNum,"&lt;="&amp;ChartLines.RowNum), "·")</f>
        <v>1</v>
      </c>
      <c r="G198" t="str" cm="1">
        <f t="array" ref="G198" xml:space="preserve"> _xlfn.IFS(OR(LEN(_xlfn.SINGLE(ChartLines.ID))=0,"Unused"=_xlfn.SINGLE(ChartLines.ID)), "·",   1=_xlfn.SINGLE(ChartLines.NumInstances), IF("USD"=_xlfn.SINGLE(ChartLines.ID), "SoleBig", "SoleOrdinary"),   1=_xlfn.SINGLE(ChartLines.InstanceNum), "Outer",   TRUE, "Inner")</f>
        <v>Outer</v>
      </c>
      <c r="H198">
        <f t="shared" ref="H198" si="542" xml:space="preserve"> IF(LEN(ChartLines.Hex6)=6, HEX2DEC(LEFT(ChartLines.Hex6, 2)), "·")</f>
        <v>0</v>
      </c>
      <c r="I198">
        <f t="shared" ref="I198" si="543" xml:space="preserve"> IF(LEN(ChartLines.Hex6)=6, HEX2DEC(MID(ChartLines.Hex6, 3, 2)), "·")</f>
        <v>150</v>
      </c>
      <c r="J198">
        <f t="shared" ref="J198" si="544" xml:space="preserve"> IF(LEN(ChartLines.Hex6)=6, HEX2DEC(RIGHT(ChartLines.Hex6, 2)), "·")</f>
        <v>57</v>
      </c>
      <c r="K198" cm="1">
        <f t="array" ref="K198" xml:space="preserve"> 1 + ROW() - _xlfn.SINGLE(ROW(ChartLines.RowNum))</f>
        <v>196</v>
      </c>
    </row>
    <row r="199" spans="2:11">
      <c r="B199" t="s">
        <v>459</v>
      </c>
      <c r="C199" t="s">
        <v>1838</v>
      </c>
      <c r="E199">
        <f t="shared" ref="E199:E201" si="545" xml:space="preserve"> IF(AND(LEN(ChartLines.ID)&gt;0,"Unused"&lt;&gt;ChartLines.ID), COUNTIFS(ChartLines.ID,ChartLines.ID), "·")</f>
        <v>2</v>
      </c>
      <c r="F199">
        <f t="shared" ref="F199:F201" si="546" xml:space="preserve"> IF(AND(LEN(ChartLines.ID)&gt;0,"Unused"&lt;&gt;ChartLines.ID), COUNTIFS(ChartLines.ID,ChartLines.ID,   ChartLines.RowNum,"&lt;="&amp;ChartLines.RowNum), "·")</f>
        <v>2</v>
      </c>
      <c r="G199" t="str" cm="1">
        <f t="array" ref="G199" xml:space="preserve"> _xlfn.IFS(OR(LEN(_xlfn.SINGLE(ChartLines.ID))=0,"Unused"=_xlfn.SINGLE(ChartLines.ID)), "·",   1=_xlfn.SINGLE(ChartLines.NumInstances), IF("USD"=_xlfn.SINGLE(ChartLines.ID), "SoleBig", "SoleOrdinary"),   1=_xlfn.SINGLE(ChartLines.InstanceNum), "Outer",   TRUE, "Inner")</f>
        <v>Inner</v>
      </c>
      <c r="H199">
        <f t="shared" ref="H199:H201" si="547" xml:space="preserve"> IF(LEN(ChartLines.Hex6)=6, HEX2DEC(LEFT(ChartLines.Hex6, 2)), "·")</f>
        <v>239</v>
      </c>
      <c r="I199">
        <f t="shared" ref="I199:I201" si="548" xml:space="preserve"> IF(LEN(ChartLines.Hex6)=6, HEX2DEC(MID(ChartLines.Hex6, 3, 2)), "·")</f>
        <v>51</v>
      </c>
      <c r="J199">
        <f t="shared" ref="J199:J201" si="549" xml:space="preserve"> IF(LEN(ChartLines.Hex6)=6, HEX2DEC(RIGHT(ChartLines.Hex6, 2)), "·")</f>
        <v>64</v>
      </c>
      <c r="K199" cm="1">
        <f t="array" ref="K199" xml:space="preserve"> 1 + ROW() - _xlfn.SINGLE(ROW(ChartLines.RowNum))</f>
        <v>197</v>
      </c>
    </row>
    <row r="200" spans="2:11">
      <c r="B200" t="s">
        <v>1979</v>
      </c>
      <c r="C200" t="s">
        <v>1845</v>
      </c>
      <c r="E200">
        <f t="shared" si="545"/>
        <v>2</v>
      </c>
      <c r="F200">
        <f t="shared" si="546"/>
        <v>1</v>
      </c>
      <c r="G200" t="str" cm="1">
        <f t="array" ref="G200" xml:space="preserve"> _xlfn.IFS(OR(LEN(_xlfn.SINGLE(ChartLines.ID))=0,"Unused"=_xlfn.SINGLE(ChartLines.ID)), "·",   1=_xlfn.SINGLE(ChartLines.NumInstances), IF("USD"=_xlfn.SINGLE(ChartLines.ID), "SoleBig", "SoleOrdinary"),   1=_xlfn.SINGLE(ChartLines.InstanceNum), "Outer",   TRUE, "Inner")</f>
        <v>Outer</v>
      </c>
      <c r="H200">
        <f t="shared" si="547"/>
        <v>200</v>
      </c>
      <c r="I200">
        <f t="shared" si="548"/>
        <v>16</v>
      </c>
      <c r="J200">
        <f t="shared" si="549"/>
        <v>46</v>
      </c>
      <c r="K200" cm="1">
        <f t="array" ref="K200" xml:space="preserve"> 1 + ROW() - _xlfn.SINGLE(ROW(ChartLines.RowNum))</f>
        <v>198</v>
      </c>
    </row>
    <row r="201" spans="2:11">
      <c r="B201" t="s">
        <v>1979</v>
      </c>
      <c r="C201" t="s">
        <v>1980</v>
      </c>
      <c r="E201">
        <f t="shared" si="545"/>
        <v>2</v>
      </c>
      <c r="F201">
        <f t="shared" si="546"/>
        <v>2</v>
      </c>
      <c r="G201" t="str" cm="1">
        <f t="array" ref="G201" xml:space="preserve"> _xlfn.IFS(OR(LEN(_xlfn.SINGLE(ChartLines.ID))=0,"Unused"=_xlfn.SINGLE(ChartLines.ID)), "·",   1=_xlfn.SINGLE(ChartLines.NumInstances), IF("USD"=_xlfn.SINGLE(ChartLines.ID), "SoleBig", "SoleOrdinary"),   1=_xlfn.SINGLE(ChartLines.InstanceNum), "Outer",   TRUE, "Inner")</f>
        <v>Inner</v>
      </c>
      <c r="H201">
        <f t="shared" si="547"/>
        <v>255</v>
      </c>
      <c r="I201">
        <f t="shared" si="548"/>
        <v>215</v>
      </c>
      <c r="J201">
        <f t="shared" si="549"/>
        <v>0</v>
      </c>
      <c r="K201" cm="1">
        <f t="array" ref="K201" xml:space="preserve"> 1 + ROW() - _xlfn.SINGLE(ROW(ChartLines.RowNum))</f>
        <v>199</v>
      </c>
    </row>
    <row r="202" spans="2:11">
      <c r="B202" t="s">
        <v>473</v>
      </c>
      <c r="C202" t="s">
        <v>1916</v>
      </c>
      <c r="E202">
        <f t="shared" ref="E202" si="550" xml:space="preserve"> IF(AND(LEN(ChartLines.ID)&gt;0,"Unused"&lt;&gt;ChartLines.ID), COUNTIFS(ChartLines.ID,ChartLines.ID), "·")</f>
        <v>2</v>
      </c>
      <c r="F202">
        <f t="shared" ref="F202" si="551" xml:space="preserve"> IF(AND(LEN(ChartLines.ID)&gt;0,"Unused"&lt;&gt;ChartLines.ID), COUNTIFS(ChartLines.ID,ChartLines.ID,   ChartLines.RowNum,"&lt;="&amp;ChartLines.RowNum), "·")</f>
        <v>1</v>
      </c>
      <c r="G202" t="str" cm="1">
        <f t="array" ref="G202" xml:space="preserve"> _xlfn.IFS(OR(LEN(_xlfn.SINGLE(ChartLines.ID))=0,"Unused"=_xlfn.SINGLE(ChartLines.ID)), "·",   1=_xlfn.SINGLE(ChartLines.NumInstances), IF("USD"=_xlfn.SINGLE(ChartLines.ID), "SoleBig", "SoleOrdinary"),   1=_xlfn.SINGLE(ChartLines.InstanceNum), "Outer",   TRUE, "Inner")</f>
        <v>Outer</v>
      </c>
      <c r="H202">
        <f t="shared" ref="H202" si="552" xml:space="preserve"> IF(LEN(ChartLines.Hex6)=6, HEX2DEC(LEFT(ChartLines.Hex6, 2)), "·")</f>
        <v>108</v>
      </c>
      <c r="I202">
        <f t="shared" ref="I202" si="553" xml:space="preserve"> IF(LEN(ChartLines.Hex6)=6, HEX2DEC(MID(ChartLines.Hex6, 3, 2)), "·")</f>
        <v>29</v>
      </c>
      <c r="J202">
        <f t="shared" ref="J202" si="554" xml:space="preserve"> IF(LEN(ChartLines.Hex6)=6, HEX2DEC(RIGHT(ChartLines.Hex6, 2)), "·")</f>
        <v>69</v>
      </c>
      <c r="K202" cm="1">
        <f t="array" ref="K202" xml:space="preserve"> 1 + ROW() - _xlfn.SINGLE(ROW(ChartLines.RowNum))</f>
        <v>200</v>
      </c>
    </row>
    <row r="203" spans="2:11">
      <c r="B203" t="s">
        <v>473</v>
      </c>
      <c r="C203" t="s">
        <v>1840</v>
      </c>
      <c r="E203">
        <f t="shared" ref="E203:E204" si="555" xml:space="preserve"> IF(AND(LEN(ChartLines.ID)&gt;0,"Unused"&lt;&gt;ChartLines.ID), COUNTIFS(ChartLines.ID,ChartLines.ID), "·")</f>
        <v>2</v>
      </c>
      <c r="F203">
        <f t="shared" ref="F203:F204" si="556" xml:space="preserve"> IF(AND(LEN(ChartLines.ID)&gt;0,"Unused"&lt;&gt;ChartLines.ID), COUNTIFS(ChartLines.ID,ChartLines.ID,   ChartLines.RowNum,"&lt;="&amp;ChartLines.RowNum), "·")</f>
        <v>2</v>
      </c>
      <c r="G203" t="str" cm="1">
        <f t="array" ref="G203" xml:space="preserve"> _xlfn.IFS(OR(LEN(_xlfn.SINGLE(ChartLines.ID))=0,"Unused"=_xlfn.SINGLE(ChartLines.ID)), "·",   1=_xlfn.SINGLE(ChartLines.NumInstances), IF("USD"=_xlfn.SINGLE(ChartLines.ID), "SoleBig", "SoleOrdinary"),   1=_xlfn.SINGLE(ChartLines.InstanceNum), "Outer",   TRUE, "Inner")</f>
        <v>Inner</v>
      </c>
      <c r="H203">
        <f t="shared" ref="H203:H204" si="557" xml:space="preserve"> IF(LEN(ChartLines.Hex6)=6, HEX2DEC(LEFT(ChartLines.Hex6, 2)), "·")</f>
        <v>255</v>
      </c>
      <c r="I203">
        <f t="shared" ref="I203:I204" si="558" xml:space="preserve"> IF(LEN(ChartLines.Hex6)=6, HEX2DEC(MID(ChartLines.Hex6, 3, 2)), "·")</f>
        <v>255</v>
      </c>
      <c r="J203">
        <f t="shared" ref="J203:J204" si="559" xml:space="preserve"> IF(LEN(ChartLines.Hex6)=6, HEX2DEC(RIGHT(ChartLines.Hex6, 2)), "·")</f>
        <v>255</v>
      </c>
      <c r="K203" cm="1">
        <f t="array" ref="K203" xml:space="preserve"> 1 + ROW() - _xlfn.SINGLE(ROW(ChartLines.RowNum))</f>
        <v>201</v>
      </c>
    </row>
    <row r="204" spans="2:11">
      <c r="B204" t="s">
        <v>2414</v>
      </c>
      <c r="C204" t="s">
        <v>1858</v>
      </c>
      <c r="E204">
        <f t="shared" si="555"/>
        <v>1</v>
      </c>
      <c r="F204">
        <f t="shared" si="556"/>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si="557"/>
        <v>218</v>
      </c>
      <c r="I204">
        <f t="shared" si="558"/>
        <v>41</v>
      </c>
      <c r="J204">
        <f t="shared" si="559"/>
        <v>28</v>
      </c>
      <c r="K204" cm="1">
        <f t="array" ref="K204" xml:space="preserve"> 1 + ROW() - _xlfn.SINGLE(ROW(ChartLines.RowNum))</f>
        <v>202</v>
      </c>
    </row>
    <row r="205" spans="2:11">
      <c r="B205" t="s">
        <v>1917</v>
      </c>
      <c r="C205" t="str">
        <f xml:space="preserve"> "000000"</f>
        <v>000000</v>
      </c>
      <c r="E205">
        <f t="shared" ref="E205" si="560" xml:space="preserve"> IF(AND(LEN(ChartLines.ID)&gt;0,"Unused"&lt;&gt;ChartLines.ID), COUNTIFS(ChartLines.ID,ChartLines.ID), "·")</f>
        <v>2</v>
      </c>
      <c r="F205">
        <f t="shared" ref="F205" si="561"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f t="shared" ref="H205" si="562" xml:space="preserve"> IF(LEN(ChartLines.Hex6)=6, HEX2DEC(LEFT(ChartLines.Hex6, 2)), "·")</f>
        <v>0</v>
      </c>
      <c r="I205">
        <f t="shared" ref="I205" si="563" xml:space="preserve"> IF(LEN(ChartLines.Hex6)=6, HEX2DEC(MID(ChartLines.Hex6, 3, 2)), "·")</f>
        <v>0</v>
      </c>
      <c r="J205">
        <f t="shared" ref="J205" si="564" xml:space="preserve"> IF(LEN(ChartLines.Hex6)=6, HEX2DEC(RIGHT(ChartLines.Hex6, 2)), "·")</f>
        <v>0</v>
      </c>
      <c r="K205" cm="1">
        <f t="array" ref="K205" xml:space="preserve"> 1 + ROW() - _xlfn.SINGLE(ROW(ChartLines.RowNum))</f>
        <v>203</v>
      </c>
    </row>
    <row r="206" spans="2:11">
      <c r="B206" t="s">
        <v>1917</v>
      </c>
      <c r="C206" t="s">
        <v>1918</v>
      </c>
      <c r="E206">
        <f t="shared" ref="E206:E210" si="565" xml:space="preserve"> IF(AND(LEN(ChartLines.ID)&gt;0,"Unused"&lt;&gt;ChartLines.ID), COUNTIFS(ChartLines.ID,ChartLines.ID), "·")</f>
        <v>2</v>
      </c>
      <c r="F206">
        <f t="shared" ref="F206:F210" si="566"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f t="shared" ref="H206:H210" si="567" xml:space="preserve"> IF(LEN(ChartLines.Hex6)=6, HEX2DEC(LEFT(ChartLines.Hex6, 2)), "·")</f>
        <v>206</v>
      </c>
      <c r="I206">
        <f t="shared" ref="I206:I210" si="568" xml:space="preserve"> IF(LEN(ChartLines.Hex6)=6, HEX2DEC(MID(ChartLines.Hex6, 3, 2)), "·")</f>
        <v>17</v>
      </c>
      <c r="J206">
        <f t="shared" ref="J206:J210" si="569" xml:space="preserve"> IF(LEN(ChartLines.Hex6)=6, HEX2DEC(RIGHT(ChartLines.Hex6, 2)), "·")</f>
        <v>38</v>
      </c>
      <c r="K206" cm="1">
        <f t="array" ref="K206" xml:space="preserve"> 1 + ROW() - _xlfn.SINGLE(ROW(ChartLines.RowNum))</f>
        <v>204</v>
      </c>
    </row>
    <row r="207" spans="2:11">
      <c r="B207" t="s">
        <v>2027</v>
      </c>
      <c r="C207" t="s">
        <v>2026</v>
      </c>
      <c r="E207">
        <f t="shared" si="565"/>
        <v>2</v>
      </c>
      <c r="F207">
        <f t="shared" si="566"/>
        <v>1</v>
      </c>
      <c r="G207" t="str" cm="1">
        <f t="array" ref="G207" xml:space="preserve"> _xlfn.IFS(OR(LEN(_xlfn.SINGLE(ChartLines.ID))=0,"Unused"=_xlfn.SINGLE(ChartLines.ID)), "·",   1=_xlfn.SINGLE(ChartLines.NumInstances), IF("USD"=_xlfn.SINGLE(ChartLines.ID), "SoleBig", "SoleOrdinary"),   1=_xlfn.SINGLE(ChartLines.InstanceNum), "Outer",   TRUE, "Inner")</f>
        <v>Outer</v>
      </c>
      <c r="H207">
        <f t="shared" si="567"/>
        <v>196</v>
      </c>
      <c r="I207">
        <f t="shared" si="568"/>
        <v>156</v>
      </c>
      <c r="J207">
        <f t="shared" si="569"/>
        <v>91</v>
      </c>
      <c r="K207" cm="1">
        <f t="array" ref="K207" xml:space="preserve"> 1 + ROW() - _xlfn.SINGLE(ROW(ChartLines.RowNum))</f>
        <v>205</v>
      </c>
    </row>
    <row r="208" spans="2:11">
      <c r="B208" t="s">
        <v>2027</v>
      </c>
      <c r="C208" t="str">
        <f xml:space="preserve"> "000000"</f>
        <v>000000</v>
      </c>
      <c r="E208">
        <f t="shared" si="565"/>
        <v>2</v>
      </c>
      <c r="F208">
        <f t="shared" si="566"/>
        <v>2</v>
      </c>
      <c r="G208" t="str" cm="1">
        <f t="array" ref="G208" xml:space="preserve"> _xlfn.IFS(OR(LEN(_xlfn.SINGLE(ChartLines.ID))=0,"Unused"=_xlfn.SINGLE(ChartLines.ID)), "·",   1=_xlfn.SINGLE(ChartLines.NumInstances), IF("USD"=_xlfn.SINGLE(ChartLines.ID), "SoleBig", "SoleOrdinary"),   1=_xlfn.SINGLE(ChartLines.InstanceNum), "Outer",   TRUE, "Inner")</f>
        <v>Inner</v>
      </c>
      <c r="H208">
        <f t="shared" si="567"/>
        <v>0</v>
      </c>
      <c r="I208">
        <f t="shared" si="568"/>
        <v>0</v>
      </c>
      <c r="J208">
        <f t="shared" si="569"/>
        <v>0</v>
      </c>
      <c r="K208" cm="1">
        <f t="array" ref="K208" xml:space="preserve"> 1 + ROW() - _xlfn.SINGLE(ROW(ChartLines.RowNum))</f>
        <v>206</v>
      </c>
    </row>
    <row r="209" spans="2:11">
      <c r="B209" t="s">
        <v>2311</v>
      </c>
      <c r="C209" t="s">
        <v>2405</v>
      </c>
      <c r="E209">
        <f t="shared" si="565"/>
        <v>2</v>
      </c>
      <c r="F209">
        <f t="shared" si="566"/>
        <v>1</v>
      </c>
      <c r="G209" t="str" cm="1">
        <f t="array" ref="G209" xml:space="preserve"> _xlfn.IFS(OR(LEN(_xlfn.SINGLE(ChartLines.ID))=0,"Unused"=_xlfn.SINGLE(ChartLines.ID)), "·",   1=_xlfn.SINGLE(ChartLines.NumInstances), IF("USD"=_xlfn.SINGLE(ChartLines.ID), "SoleBig", "SoleOrdinary"),   1=_xlfn.SINGLE(ChartLines.InstanceNum), "Outer",   TRUE, "Inner")</f>
        <v>Outer</v>
      </c>
      <c r="H209">
        <f t="shared" si="567"/>
        <v>0</v>
      </c>
      <c r="I209">
        <f t="shared" si="568"/>
        <v>122</v>
      </c>
      <c r="J209">
        <f t="shared" si="569"/>
        <v>61</v>
      </c>
      <c r="K209" cm="1">
        <f t="array" ref="K209" xml:space="preserve"> 1 + ROW() - _xlfn.SINGLE(ROW(ChartLines.RowNum))</f>
        <v>207</v>
      </c>
    </row>
    <row r="210" spans="2:11">
      <c r="B210" t="s">
        <v>2311</v>
      </c>
      <c r="C210" t="str">
        <f xml:space="preserve"> "000000"</f>
        <v>000000</v>
      </c>
      <c r="E210">
        <f t="shared" si="565"/>
        <v>2</v>
      </c>
      <c r="F210">
        <f t="shared" si="566"/>
        <v>2</v>
      </c>
      <c r="G210" t="str" cm="1">
        <f t="array" ref="G210" xml:space="preserve"> _xlfn.IFS(OR(LEN(_xlfn.SINGLE(ChartLines.ID))=0,"Unused"=_xlfn.SINGLE(ChartLines.ID)), "·",   1=_xlfn.SINGLE(ChartLines.NumInstances), IF("USD"=_xlfn.SINGLE(ChartLines.ID), "SoleBig", "SoleOrdinary"),   1=_xlfn.SINGLE(ChartLines.InstanceNum), "Outer",   TRUE, "Inner")</f>
        <v>Inner</v>
      </c>
      <c r="H210">
        <f t="shared" si="567"/>
        <v>0</v>
      </c>
      <c r="I210">
        <f t="shared" si="568"/>
        <v>0</v>
      </c>
      <c r="J210">
        <f t="shared" si="569"/>
        <v>0</v>
      </c>
      <c r="K210" cm="1">
        <f t="array" ref="K210" xml:space="preserve"> 1 + ROW() - _xlfn.SINGLE(ROW(ChartLines.RowNum))</f>
        <v>208</v>
      </c>
    </row>
    <row r="211" spans="2:11">
      <c r="B211" t="s">
        <v>491</v>
      </c>
      <c r="C211" t="s">
        <v>1918</v>
      </c>
      <c r="E211">
        <f t="shared" ref="E211" si="570" xml:space="preserve"> IF(AND(LEN(ChartLines.ID)&gt;0,"Unused"&lt;&gt;ChartLines.ID), COUNTIFS(ChartLines.ID,ChartLines.ID), "·")</f>
        <v>2</v>
      </c>
      <c r="F211">
        <f t="shared" ref="F211" si="571" xml:space="preserve"> IF(AND(LEN(ChartLines.ID)&gt;0,"Unused"&lt;&gt;ChartLines.ID), COUNTIFS(ChartLines.ID,ChartLines.ID,   ChartLines.RowNum,"&lt;="&amp;ChartLines.RowNum), "·")</f>
        <v>1</v>
      </c>
      <c r="G211" t="str" cm="1">
        <f t="array" ref="G211" xml:space="preserve"> _xlfn.IFS(OR(LEN(_xlfn.SINGLE(ChartLines.ID))=0,"Unused"=_xlfn.SINGLE(ChartLines.ID)), "·",   1=_xlfn.SINGLE(ChartLines.NumInstances), IF("USD"=_xlfn.SINGLE(ChartLines.ID), "SoleBig", "SoleOrdinary"),   1=_xlfn.SINGLE(ChartLines.InstanceNum), "Outer",   TRUE, "Inner")</f>
        <v>Outer</v>
      </c>
      <c r="H211">
        <f t="shared" ref="H211" si="572" xml:space="preserve"> IF(LEN(ChartLines.Hex6)=6, HEX2DEC(LEFT(ChartLines.Hex6, 2)), "·")</f>
        <v>206</v>
      </c>
      <c r="I211">
        <f t="shared" ref="I211" si="573" xml:space="preserve"> IF(LEN(ChartLines.Hex6)=6, HEX2DEC(MID(ChartLines.Hex6, 3, 2)), "·")</f>
        <v>17</v>
      </c>
      <c r="J211">
        <f t="shared" ref="J211" si="574" xml:space="preserve"> IF(LEN(ChartLines.Hex6)=6, HEX2DEC(RIGHT(ChartLines.Hex6, 2)), "·")</f>
        <v>38</v>
      </c>
      <c r="K211" cm="1">
        <f t="array" ref="K211" xml:space="preserve"> 1 + ROW() - _xlfn.SINGLE(ROW(ChartLines.RowNum))</f>
        <v>209</v>
      </c>
    </row>
    <row r="212" spans="2:11">
      <c r="B212" t="s">
        <v>491</v>
      </c>
      <c r="C212" t="str">
        <f xml:space="preserve"> "000000"</f>
        <v>000000</v>
      </c>
      <c r="E212">
        <f t="shared" ref="E212" si="575" xml:space="preserve"> IF(AND(LEN(ChartLines.ID)&gt;0,"Unused"&lt;&gt;ChartLines.ID), COUNTIFS(ChartLines.ID,ChartLines.ID), "·")</f>
        <v>2</v>
      </c>
      <c r="F212">
        <f t="shared" ref="F212" si="576" xml:space="preserve"> IF(AND(LEN(ChartLines.ID)&gt;0,"Unused"&lt;&gt;ChartLines.ID), COUNTIFS(ChartLines.ID,ChartLines.ID,   ChartLines.RowNum,"&lt;="&amp;ChartLines.RowNum), "·")</f>
        <v>2</v>
      </c>
      <c r="G212" t="str" cm="1">
        <f t="array" ref="G212" xml:space="preserve"> _xlfn.IFS(OR(LEN(_xlfn.SINGLE(ChartLines.ID))=0,"Unused"=_xlfn.SINGLE(ChartLines.ID)), "·",   1=_xlfn.SINGLE(ChartLines.NumInstances), IF("USD"=_xlfn.SINGLE(ChartLines.ID), "SoleBig", "SoleOrdinary"),   1=_xlfn.SINGLE(ChartLines.InstanceNum), "Outer",   TRUE, "Inner")</f>
        <v>Inner</v>
      </c>
      <c r="H212">
        <f t="shared" ref="H212" si="577" xml:space="preserve"> IF(LEN(ChartLines.Hex6)=6, HEX2DEC(LEFT(ChartLines.Hex6, 2)), "·")</f>
        <v>0</v>
      </c>
      <c r="I212">
        <f t="shared" ref="I212" si="578" xml:space="preserve"> IF(LEN(ChartLines.Hex6)=6, HEX2DEC(MID(ChartLines.Hex6, 3, 2)), "·")</f>
        <v>0</v>
      </c>
      <c r="J212">
        <f t="shared" ref="J212" si="579" xml:space="preserve"> IF(LEN(ChartLines.Hex6)=6, HEX2DEC(RIGHT(ChartLines.Hex6, 2)), "·")</f>
        <v>0</v>
      </c>
      <c r="K212" cm="1">
        <f t="array" ref="K212" xml:space="preserve"> 1 + ROW() - _xlfn.SINGLE(ROW(ChartLines.RowNum))</f>
        <v>210</v>
      </c>
    </row>
    <row r="213" spans="2:11">
      <c r="B213" t="s">
        <v>167</v>
      </c>
      <c r="C213" t="s">
        <v>1838</v>
      </c>
      <c r="E213">
        <f t="shared" ref="E213" si="580" xml:space="preserve"> IF(AND(LEN(ChartLines.ID)&gt;0,"Unused"&lt;&gt;ChartLines.ID), COUNTIFS(ChartLines.ID,ChartLines.ID), "·")</f>
        <v>2</v>
      </c>
      <c r="F213">
        <f t="shared" ref="F213" si="581" xml:space="preserve"> IF(AND(LEN(ChartLines.ID)&gt;0,"Unused"&lt;&gt;ChartLines.ID), COUNTIFS(ChartLines.ID,ChartLines.ID,   ChartLines.RowNum,"&lt;="&amp;ChartLines.RowNum), "·")</f>
        <v>1</v>
      </c>
      <c r="G213" t="str" cm="1">
        <f t="array" ref="G213" xml:space="preserve"> _xlfn.IFS(OR(LEN(_xlfn.SINGLE(ChartLines.ID))=0,"Unused"=_xlfn.SINGLE(ChartLines.ID)), "·",   1=_xlfn.SINGLE(ChartLines.NumInstances), IF("USD"=_xlfn.SINGLE(ChartLines.ID), "SoleBig", "SoleOrdinary"),   1=_xlfn.SINGLE(ChartLines.InstanceNum), "Outer",   TRUE, "Inner")</f>
        <v>Outer</v>
      </c>
      <c r="H213">
        <f t="shared" ref="H213" si="582" xml:space="preserve"> IF(LEN(ChartLines.Hex6)=6, HEX2DEC(LEFT(ChartLines.Hex6, 2)), "·")</f>
        <v>239</v>
      </c>
      <c r="I213">
        <f t="shared" ref="I213" si="583" xml:space="preserve"> IF(LEN(ChartLines.Hex6)=6, HEX2DEC(MID(ChartLines.Hex6, 3, 2)), "·")</f>
        <v>51</v>
      </c>
      <c r="J213">
        <f t="shared" ref="J213" si="584" xml:space="preserve"> IF(LEN(ChartLines.Hex6)=6, HEX2DEC(RIGHT(ChartLines.Hex6, 2)), "·")</f>
        <v>64</v>
      </c>
      <c r="K213" cm="1">
        <f t="array" ref="K213" xml:space="preserve"> 1 + ROW() - _xlfn.SINGLE(ROW(ChartLines.RowNum))</f>
        <v>211</v>
      </c>
    </row>
    <row r="214" spans="2:11">
      <c r="B214" t="s">
        <v>167</v>
      </c>
      <c r="C214" t="str">
        <f xml:space="preserve"> "009639"</f>
        <v>009639</v>
      </c>
      <c r="E214">
        <f t="shared" ref="E214" si="585" xml:space="preserve"> IF(AND(LEN(ChartLines.ID)&gt;0,"Unused"&lt;&gt;ChartLines.ID), COUNTIFS(ChartLines.ID,ChartLines.ID), "·")</f>
        <v>2</v>
      </c>
      <c r="F214">
        <f t="shared" ref="F214" si="586" xml:space="preserve"> IF(AND(LEN(ChartLines.ID)&gt;0,"Unused"&lt;&gt;ChartLines.ID), COUNTIFS(ChartLines.ID,ChartLines.ID,   ChartLines.RowNum,"&lt;="&amp;ChartLines.RowNum), "·")</f>
        <v>2</v>
      </c>
      <c r="G214" t="str" cm="1">
        <f t="array" ref="G214" xml:space="preserve"> _xlfn.IFS(OR(LEN(_xlfn.SINGLE(ChartLines.ID))=0,"Unused"=_xlfn.SINGLE(ChartLines.ID)), "·",   1=_xlfn.SINGLE(ChartLines.NumInstances), IF("USD"=_xlfn.SINGLE(ChartLines.ID), "SoleBig", "SoleOrdinary"),   1=_xlfn.SINGLE(ChartLines.InstanceNum), "Outer",   TRUE, "Inner")</f>
        <v>Inner</v>
      </c>
      <c r="H214">
        <f t="shared" ref="H214" si="587" xml:space="preserve"> IF(LEN(ChartLines.Hex6)=6, HEX2DEC(LEFT(ChartLines.Hex6, 2)), "·")</f>
        <v>0</v>
      </c>
      <c r="I214">
        <f t="shared" ref="I214" si="588" xml:space="preserve"> IF(LEN(ChartLines.Hex6)=6, HEX2DEC(MID(ChartLines.Hex6, 3, 2)), "·")</f>
        <v>150</v>
      </c>
      <c r="J214">
        <f t="shared" ref="J214" si="589" xml:space="preserve"> IF(LEN(ChartLines.Hex6)=6, HEX2DEC(RIGHT(ChartLines.Hex6, 2)), "·")</f>
        <v>57</v>
      </c>
      <c r="K214" cm="1">
        <f t="array" ref="K214" xml:space="preserve"> 1 + ROW() - _xlfn.SINGLE(ROW(ChartLines.RowNum))</f>
        <v>212</v>
      </c>
    </row>
    <row r="215" spans="2:11">
      <c r="B215" t="s">
        <v>2307</v>
      </c>
      <c r="C215" t="str">
        <f xml:space="preserve"> "009736"</f>
        <v>009736</v>
      </c>
      <c r="E215">
        <f t="shared" ref="E215:E217" si="590" xml:space="preserve"> IF(AND(LEN(ChartLines.ID)&gt;0,"Unused"&lt;&gt;ChartLines.ID), COUNTIFS(ChartLines.ID,ChartLines.ID), "·")</f>
        <v>2</v>
      </c>
      <c r="F215">
        <f t="shared" ref="F215:F217" si="59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H217" si="592" xml:space="preserve"> IF(LEN(ChartLines.Hex6)=6, HEX2DEC(LEFT(ChartLines.Hex6, 2)), "·")</f>
        <v>0</v>
      </c>
      <c r="I215">
        <f t="shared" ref="I215:I217" si="593" xml:space="preserve"> IF(LEN(ChartLines.Hex6)=6, HEX2DEC(MID(ChartLines.Hex6, 3, 2)), "·")</f>
        <v>151</v>
      </c>
      <c r="J215">
        <f t="shared" ref="J215:J217" si="594" xml:space="preserve"> IF(LEN(ChartLines.Hex6)=6, HEX2DEC(RIGHT(ChartLines.Hex6, 2)), "·")</f>
        <v>54</v>
      </c>
      <c r="K215" cm="1">
        <f t="array" ref="K215" xml:space="preserve"> 1 + ROW() - _xlfn.SINGLE(ROW(ChartLines.RowNum))</f>
        <v>213</v>
      </c>
    </row>
    <row r="216" spans="2:11">
      <c r="B216" t="s">
        <v>2307</v>
      </c>
      <c r="C216" t="str">
        <f xml:space="preserve"> "000000"</f>
        <v>000000</v>
      </c>
      <c r="E216">
        <f t="shared" ref="E216:E218" si="595" xml:space="preserve"> IF(AND(LEN(ChartLines.ID)&gt;0,"Unused"&lt;&gt;ChartLines.ID), COUNTIFS(ChartLines.ID,ChartLines.ID), "·")</f>
        <v>2</v>
      </c>
      <c r="F216">
        <f t="shared" ref="F216:F218" si="59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18" si="597" xml:space="preserve"> IF(LEN(ChartLines.Hex6)=6, HEX2DEC(LEFT(ChartLines.Hex6, 2)), "·")</f>
        <v>0</v>
      </c>
      <c r="I216">
        <f t="shared" ref="I216:I218" si="598" xml:space="preserve"> IF(LEN(ChartLines.Hex6)=6, HEX2DEC(MID(ChartLines.Hex6, 3, 2)), "·")</f>
        <v>0</v>
      </c>
      <c r="J216">
        <f t="shared" ref="J216:J218" si="599" xml:space="preserve"> IF(LEN(ChartLines.Hex6)=6, HEX2DEC(RIGHT(ChartLines.Hex6, 2)), "·")</f>
        <v>0</v>
      </c>
      <c r="K216" cm="1">
        <f t="array" ref="K216" xml:space="preserve"> 1 + ROW() - _xlfn.SINGLE(ROW(ChartLines.RowNum))</f>
        <v>214</v>
      </c>
    </row>
    <row r="217" spans="2:11">
      <c r="B217" t="s">
        <v>1919</v>
      </c>
      <c r="C217" t="str">
        <f xml:space="preserve"> "000000"</f>
        <v>000000</v>
      </c>
      <c r="E217">
        <f t="shared" si="590"/>
        <v>2</v>
      </c>
      <c r="F217">
        <f t="shared" si="591"/>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92"/>
        <v>0</v>
      </c>
      <c r="I217">
        <f t="shared" si="593"/>
        <v>0</v>
      </c>
      <c r="J217">
        <f t="shared" si="594"/>
        <v>0</v>
      </c>
      <c r="K217" cm="1">
        <f t="array" ref="K217" xml:space="preserve"> 1 + ROW() - _xlfn.SINGLE(ROW(ChartLines.RowNum))</f>
        <v>215</v>
      </c>
    </row>
    <row r="218" spans="2:11">
      <c r="B218" t="s">
        <v>1919</v>
      </c>
      <c r="C218" t="s">
        <v>1840</v>
      </c>
      <c r="E218">
        <f t="shared" si="595"/>
        <v>2</v>
      </c>
      <c r="F218">
        <f t="shared" si="59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97"/>
        <v>255</v>
      </c>
      <c r="I218">
        <f t="shared" si="598"/>
        <v>255</v>
      </c>
      <c r="J218">
        <f t="shared" si="599"/>
        <v>255</v>
      </c>
      <c r="K218" cm="1">
        <f t="array" ref="K218" xml:space="preserve"> 1 + ROW() - _xlfn.SINGLE(ROW(ChartLines.RowNum))</f>
        <v>216</v>
      </c>
    </row>
    <row r="219" spans="2:11">
      <c r="B219" t="s">
        <v>137</v>
      </c>
      <c r="C219" t="s">
        <v>1920</v>
      </c>
      <c r="E219">
        <f t="shared" ref="E219" si="600" xml:space="preserve"> IF(AND(LEN(ChartLines.ID)&gt;0,"Unused"&lt;&gt;ChartLines.ID), COUNTIFS(ChartLines.ID,ChartLines.ID), "·")</f>
        <v>2</v>
      </c>
      <c r="F219">
        <f t="shared" ref="F219" si="601"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ref="H219" si="602" xml:space="preserve"> IF(LEN(ChartLines.Hex6)=6, HEX2DEC(LEFT(ChartLines.Hex6, 2)), "·")</f>
        <v>231</v>
      </c>
      <c r="I219">
        <f t="shared" ref="I219" si="603" xml:space="preserve"> IF(LEN(ChartLines.Hex6)=6, HEX2DEC(MID(ChartLines.Hex6, 3, 2)), "·")</f>
        <v>0</v>
      </c>
      <c r="J219">
        <f t="shared" ref="J219" si="604" xml:space="preserve"> IF(LEN(ChartLines.Hex6)=6, HEX2DEC(RIGHT(ChartLines.Hex6, 2)), "·")</f>
        <v>19</v>
      </c>
      <c r="K219" cm="1">
        <f t="array" ref="K219" xml:space="preserve"> 1 + ROW() - _xlfn.SINGLE(ROW(ChartLines.RowNum))</f>
        <v>217</v>
      </c>
    </row>
    <row r="220" spans="2:11">
      <c r="B220" t="s">
        <v>137</v>
      </c>
      <c r="C220" t="s">
        <v>1840</v>
      </c>
      <c r="E220">
        <f t="shared" ref="E220" si="605" xml:space="preserve"> IF(AND(LEN(ChartLines.ID)&gt;0,"Unused"&lt;&gt;ChartLines.ID), COUNTIFS(ChartLines.ID,ChartLines.ID), "·")</f>
        <v>2</v>
      </c>
      <c r="F220">
        <f t="shared" ref="F220" si="606"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ref="H220" si="607" xml:space="preserve"> IF(LEN(ChartLines.Hex6)=6, HEX2DEC(LEFT(ChartLines.Hex6, 2)), "·")</f>
        <v>255</v>
      </c>
      <c r="I220">
        <f t="shared" ref="I220" si="608" xml:space="preserve"> IF(LEN(ChartLines.Hex6)=6, HEX2DEC(MID(ChartLines.Hex6, 3, 2)), "·")</f>
        <v>255</v>
      </c>
      <c r="J220">
        <f t="shared" ref="J220" si="609" xml:space="preserve"> IF(LEN(ChartLines.Hex6)=6, HEX2DEC(RIGHT(ChartLines.Hex6, 2)), "·")</f>
        <v>255</v>
      </c>
      <c r="K220" cm="1">
        <f t="array" ref="K220" xml:space="preserve"> 1 + ROW() - _xlfn.SINGLE(ROW(ChartLines.RowNum))</f>
        <v>218</v>
      </c>
    </row>
    <row r="221" spans="2:11">
      <c r="B221" t="s">
        <v>138</v>
      </c>
      <c r="C221" t="str">
        <f xml:space="preserve"> "006233"</f>
        <v>006233</v>
      </c>
      <c r="E221">
        <f t="shared" ref="E221" si="610" xml:space="preserve"> IF(AND(LEN(ChartLines.ID)&gt;0,"Unused"&lt;&gt;ChartLines.ID), COUNTIFS(ChartLines.ID,ChartLines.ID), "·")</f>
        <v>2</v>
      </c>
      <c r="F221">
        <f t="shared" ref="F221" si="61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612" xml:space="preserve"> IF(LEN(ChartLines.Hex6)=6, HEX2DEC(LEFT(ChartLines.Hex6, 2)), "·")</f>
        <v>0</v>
      </c>
      <c r="I221">
        <f t="shared" ref="I221" si="613" xml:space="preserve"> IF(LEN(ChartLines.Hex6)=6, HEX2DEC(MID(ChartLines.Hex6, 3, 2)), "·")</f>
        <v>98</v>
      </c>
      <c r="J221">
        <f t="shared" ref="J221" si="614" xml:space="preserve"> IF(LEN(ChartLines.Hex6)=6, HEX2DEC(RIGHT(ChartLines.Hex6, 2)), "·")</f>
        <v>51</v>
      </c>
      <c r="K221" cm="1">
        <f t="array" ref="K221" xml:space="preserve"> 1 + ROW() - _xlfn.SINGLE(ROW(ChartLines.RowNum))</f>
        <v>219</v>
      </c>
    </row>
    <row r="222" spans="2:11">
      <c r="B222" t="s">
        <v>138</v>
      </c>
      <c r="C222" t="s">
        <v>1921</v>
      </c>
      <c r="E222">
        <f t="shared" ref="E222" si="615" xml:space="preserve"> IF(AND(LEN(ChartLines.ID)&gt;0,"Unused"&lt;&gt;ChartLines.ID), COUNTIFS(ChartLines.ID,ChartLines.ID), "·")</f>
        <v>2</v>
      </c>
      <c r="F222">
        <f t="shared" ref="F222" si="61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617" xml:space="preserve"> IF(LEN(ChartLines.Hex6)=6, HEX2DEC(LEFT(ChartLines.Hex6, 2)), "·")</f>
        <v>251</v>
      </c>
      <c r="I222">
        <f t="shared" ref="I222" si="618" xml:space="preserve"> IF(LEN(ChartLines.Hex6)=6, HEX2DEC(MID(ChartLines.Hex6, 3, 2)), "·")</f>
        <v>15</v>
      </c>
      <c r="J222">
        <f t="shared" ref="J222" si="619" xml:space="preserve"> IF(LEN(ChartLines.Hex6)=6, HEX2DEC(RIGHT(ChartLines.Hex6, 2)), "·")</f>
        <v>12</v>
      </c>
      <c r="K222" cm="1">
        <f t="array" ref="K222" xml:space="preserve"> 1 + ROW() - _xlfn.SINGLE(ROW(ChartLines.RowNum))</f>
        <v>220</v>
      </c>
    </row>
    <row r="223" spans="2:11">
      <c r="B223" t="s">
        <v>1624</v>
      </c>
      <c r="C223" t="str">
        <f xml:space="preserve"> "006633"</f>
        <v>006633</v>
      </c>
      <c r="E223">
        <f t="shared" ref="E223" si="620" xml:space="preserve"> IF(AND(LEN(ChartLines.ID)&gt;0,"Unused"&lt;&gt;ChartLines.ID), COUNTIFS(ChartLines.ID,ChartLines.ID), "·")</f>
        <v>2</v>
      </c>
      <c r="F223">
        <f t="shared" ref="F223" si="62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622" xml:space="preserve"> IF(LEN(ChartLines.Hex6)=6, HEX2DEC(LEFT(ChartLines.Hex6, 2)), "·")</f>
        <v>0</v>
      </c>
      <c r="I223">
        <f t="shared" ref="I223" si="623" xml:space="preserve"> IF(LEN(ChartLines.Hex6)=6, HEX2DEC(MID(ChartLines.Hex6, 3, 2)), "·")</f>
        <v>102</v>
      </c>
      <c r="J223">
        <f t="shared" ref="J223" si="624" xml:space="preserve"> IF(LEN(ChartLines.Hex6)=6, HEX2DEC(RIGHT(ChartLines.Hex6, 2)), "·")</f>
        <v>51</v>
      </c>
      <c r="K223" cm="1">
        <f t="array" ref="K223" xml:space="preserve"> 1 + ROW() - _xlfn.SINGLE(ROW(ChartLines.RowNum))</f>
        <v>221</v>
      </c>
    </row>
    <row r="224" spans="2:11">
      <c r="B224" t="s">
        <v>1624</v>
      </c>
      <c r="C224" t="s">
        <v>1840</v>
      </c>
      <c r="E224">
        <f t="shared" ref="E224" si="625" xml:space="preserve"> IF(AND(LEN(ChartLines.ID)&gt;0,"Unused"&lt;&gt;ChartLines.ID), COUNTIFS(ChartLines.ID,ChartLines.ID), "·")</f>
        <v>2</v>
      </c>
      <c r="F224">
        <f t="shared" ref="F224" si="62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627" xml:space="preserve"> IF(LEN(ChartLines.Hex6)=6, HEX2DEC(LEFT(ChartLines.Hex6, 2)), "·")</f>
        <v>255</v>
      </c>
      <c r="I224">
        <f t="shared" ref="I224" si="628" xml:space="preserve"> IF(LEN(ChartLines.Hex6)=6, HEX2DEC(MID(ChartLines.Hex6, 3, 2)), "·")</f>
        <v>255</v>
      </c>
      <c r="J224">
        <f t="shared" ref="J224" si="629" xml:space="preserve"> IF(LEN(ChartLines.Hex6)=6, HEX2DEC(RIGHT(ChartLines.Hex6, 2)), "·")</f>
        <v>255</v>
      </c>
      <c r="K224" cm="1">
        <f t="array" ref="K224" xml:space="preserve"> 1 + ROW() - _xlfn.SINGLE(ROW(ChartLines.RowNum))</f>
        <v>222</v>
      </c>
    </row>
    <row r="225" spans="2:11">
      <c r="B225" t="s">
        <v>492</v>
      </c>
      <c r="C225" t="s">
        <v>1922</v>
      </c>
      <c r="E225">
        <f t="shared" ref="E225" si="630" xml:space="preserve"> IF(AND(LEN(ChartLines.ID)&gt;0,"Unused"&lt;&gt;ChartLines.ID), COUNTIFS(ChartLines.ID,ChartLines.ID), "·")</f>
        <v>2</v>
      </c>
      <c r="F225">
        <f t="shared" ref="F225" si="63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 si="632" xml:space="preserve"> IF(LEN(ChartLines.Hex6)=6, HEX2DEC(LEFT(ChartLines.Hex6, 2)), "·")</f>
        <v>35</v>
      </c>
      <c r="I225">
        <f t="shared" ref="I225" si="633" xml:space="preserve"> IF(LEN(ChartLines.Hex6)=6, HEX2DEC(MID(ChartLines.Hex6, 3, 2)), "·")</f>
        <v>159</v>
      </c>
      <c r="J225">
        <f t="shared" ref="J225" si="634" xml:space="preserve"> IF(LEN(ChartLines.Hex6)=6, HEX2DEC(RIGHT(ChartLines.Hex6, 2)), "·")</f>
        <v>64</v>
      </c>
      <c r="K225" cm="1">
        <f t="array" ref="K225" xml:space="preserve"> 1 + ROW() - _xlfn.SINGLE(ROW(ChartLines.RowNum))</f>
        <v>223</v>
      </c>
    </row>
    <row r="226" spans="2:11">
      <c r="B226" t="s">
        <v>492</v>
      </c>
      <c r="C226" t="s">
        <v>1840</v>
      </c>
      <c r="E226">
        <f t="shared" ref="E226" si="635" xml:space="preserve"> IF(AND(LEN(ChartLines.ID)&gt;0,"Unused"&lt;&gt;ChartLines.ID), COUNTIFS(ChartLines.ID,ChartLines.ID), "·")</f>
        <v>2</v>
      </c>
      <c r="F226">
        <f t="shared" ref="F226" si="63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 si="637" xml:space="preserve"> IF(LEN(ChartLines.Hex6)=6, HEX2DEC(LEFT(ChartLines.Hex6, 2)), "·")</f>
        <v>255</v>
      </c>
      <c r="I226">
        <f t="shared" ref="I226" si="638" xml:space="preserve"> IF(LEN(ChartLines.Hex6)=6, HEX2DEC(MID(ChartLines.Hex6, 3, 2)), "·")</f>
        <v>255</v>
      </c>
      <c r="J226">
        <f t="shared" ref="J226" si="639" xml:space="preserve"> IF(LEN(ChartLines.Hex6)=6, HEX2DEC(RIGHT(ChartLines.Hex6, 2)), "·")</f>
        <v>255</v>
      </c>
      <c r="K226" cm="1">
        <f t="array" ref="K226" xml:space="preserve"> 1 + ROW() - _xlfn.SINGLE(ROW(ChartLines.RowNum))</f>
        <v>224</v>
      </c>
    </row>
    <row r="227" spans="2:11">
      <c r="B227" t="s">
        <v>900</v>
      </c>
      <c r="C227" t="str">
        <f xml:space="preserve"> "000000"</f>
        <v>000000</v>
      </c>
      <c r="E227">
        <f t="shared" ref="E227" si="640" xml:space="preserve"> IF(AND(LEN(ChartLines.ID)&gt;0,"Unused"&lt;&gt;ChartLines.ID), COUNTIFS(ChartLines.ID,ChartLines.ID), "·")</f>
        <v>2</v>
      </c>
      <c r="F227">
        <f t="shared" ref="F227" si="641"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ref="H227" si="642" xml:space="preserve"> IF(LEN(ChartLines.Hex6)=6, HEX2DEC(LEFT(ChartLines.Hex6, 2)), "·")</f>
        <v>0</v>
      </c>
      <c r="I227">
        <f t="shared" ref="I227" si="643" xml:space="preserve"> IF(LEN(ChartLines.Hex6)=6, HEX2DEC(MID(ChartLines.Hex6, 3, 2)), "·")</f>
        <v>0</v>
      </c>
      <c r="J227">
        <f t="shared" ref="J227" si="644" xml:space="preserve"> IF(LEN(ChartLines.Hex6)=6, HEX2DEC(RIGHT(ChartLines.Hex6, 2)), "·")</f>
        <v>0</v>
      </c>
      <c r="K227" cm="1">
        <f t="array" ref="K227" xml:space="preserve"> 1 + ROW() - _xlfn.SINGLE(ROW(ChartLines.RowNum))</f>
        <v>225</v>
      </c>
    </row>
    <row r="228" spans="2:11">
      <c r="B228" t="s">
        <v>900</v>
      </c>
      <c r="C228" t="s">
        <v>1923</v>
      </c>
      <c r="E228">
        <f t="shared" ref="E228" si="645" xml:space="preserve"> IF(AND(LEN(ChartLines.ID)&gt;0,"Unused"&lt;&gt;ChartLines.ID), COUNTIFS(ChartLines.ID,ChartLines.ID), "·")</f>
        <v>2</v>
      </c>
      <c r="F228">
        <f t="shared" ref="F228" si="646"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ref="H228" si="647" xml:space="preserve"> IF(LEN(ChartLines.Hex6)=6, HEX2DEC(LEFT(ChartLines.Hex6, 2)), "·")</f>
        <v>227</v>
      </c>
      <c r="I228">
        <f t="shared" ref="I228" si="648" xml:space="preserve"> IF(LEN(ChartLines.Hex6)=6, HEX2DEC(MID(ChartLines.Hex6, 3, 2)), "·")</f>
        <v>179</v>
      </c>
      <c r="J228">
        <f t="shared" ref="J228" si="649" xml:space="preserve"> IF(LEN(ChartLines.Hex6)=6, HEX2DEC(RIGHT(ChartLines.Hex6, 2)), "·")</f>
        <v>41</v>
      </c>
      <c r="K228" cm="1">
        <f t="array" ref="K228" xml:space="preserve"> 1 + ROW() - _xlfn.SINGLE(ROW(ChartLines.RowNum))</f>
        <v>226</v>
      </c>
    </row>
    <row r="229" spans="2:11">
      <c r="B229" t="s">
        <v>510</v>
      </c>
      <c r="C229" t="s">
        <v>1924</v>
      </c>
      <c r="E229">
        <f t="shared" ref="E229" si="650" xml:space="preserve"> IF(AND(LEN(ChartLines.ID)&gt;0,"Unused"&lt;&gt;ChartLines.ID), COUNTIFS(ChartLines.ID,ChartLines.ID), "·")</f>
        <v>2</v>
      </c>
      <c r="F229">
        <f t="shared" ref="F229" si="65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52" xml:space="preserve"> IF(LEN(ChartLines.Hex6)=6, HEX2DEC(LEFT(ChartLines.Hex6, 2)), "·")</f>
        <v>0</v>
      </c>
      <c r="I229">
        <f t="shared" ref="I229" si="653" xml:space="preserve"> IF(LEN(ChartLines.Hex6)=6, HEX2DEC(MID(ChartLines.Hex6, 3, 2)), "·")</f>
        <v>94</v>
      </c>
      <c r="J229">
        <f t="shared" ref="J229" si="654" xml:space="preserve"> IF(LEN(ChartLines.Hex6)=6, HEX2DEC(RIGHT(ChartLines.Hex6, 2)), "·")</f>
        <v>184</v>
      </c>
      <c r="K229" cm="1">
        <f t="array" ref="K229" xml:space="preserve"> 1 + ROW() - _xlfn.SINGLE(ROW(ChartLines.RowNum))</f>
        <v>227</v>
      </c>
    </row>
    <row r="230" spans="2:11">
      <c r="B230" t="s">
        <v>510</v>
      </c>
      <c r="C230" t="s">
        <v>1840</v>
      </c>
      <c r="E230">
        <f t="shared" ref="E230" si="655" xml:space="preserve"> IF(AND(LEN(ChartLines.ID)&gt;0,"Unused"&lt;&gt;ChartLines.ID), COUNTIFS(ChartLines.ID,ChartLines.ID), "·")</f>
        <v>2</v>
      </c>
      <c r="F230">
        <f t="shared" ref="F230" si="65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57" xml:space="preserve"> IF(LEN(ChartLines.Hex6)=6, HEX2DEC(LEFT(ChartLines.Hex6, 2)), "·")</f>
        <v>255</v>
      </c>
      <c r="I230">
        <f t="shared" ref="I230" si="658" xml:space="preserve"> IF(LEN(ChartLines.Hex6)=6, HEX2DEC(MID(ChartLines.Hex6, 3, 2)), "·")</f>
        <v>255</v>
      </c>
      <c r="J230">
        <f t="shared" ref="J230" si="659" xml:space="preserve"> IF(LEN(ChartLines.Hex6)=6, HEX2DEC(RIGHT(ChartLines.Hex6, 2)), "·")</f>
        <v>255</v>
      </c>
      <c r="K230" cm="1">
        <f t="array" ref="K230" xml:space="preserve"> 1 + ROW() - _xlfn.SINGLE(ROW(ChartLines.RowNum))</f>
        <v>228</v>
      </c>
    </row>
    <row r="231" spans="2:11">
      <c r="E231" t="str">
        <f t="shared" ref="E231" si="660" xml:space="preserve"> IF(AND(LEN(ChartLines.ID)&gt;0,"Unused"&lt;&gt;ChartLines.ID), COUNTIFS(ChartLines.ID,ChartLines.ID), "·")</f>
        <v>·</v>
      </c>
      <c r="F231" t="str">
        <f t="shared" ref="F231" si="661" xml:space="preserve"> IF(AND(LEN(ChartLines.ID)&gt;0,"Unused"&lt;&gt;ChartLines.ID), COUNTIFS(ChartLines.ID,ChartLines.ID,   ChartLines.RowNum,"&lt;="&amp;ChartLines.RowNum), "·")</f>
        <v>·</v>
      </c>
      <c r="G231" t="str" cm="1">
        <f t="array" ref="G231" xml:space="preserve"> _xlfn.IFS(OR(LEN(_xlfn.SINGLE(ChartLines.ID))=0,"Unused"=_xlfn.SINGLE(ChartLines.ID)), "·",   1=_xlfn.SINGLE(ChartLines.NumInstances), IF("USD"=_xlfn.SINGLE(ChartLines.ID), "SoleBig", "SoleOrdinary"),   1=_xlfn.SINGLE(ChartLines.InstanceNum), "Outer",   TRUE, "Inner")</f>
        <v>·</v>
      </c>
      <c r="H231" t="str">
        <f t="shared" ref="H231" si="662" xml:space="preserve"> IF(LEN(ChartLines.Hex6)=6, HEX2DEC(LEFT(ChartLines.Hex6, 2)), "·")</f>
        <v>·</v>
      </c>
      <c r="I231" t="str">
        <f t="shared" ref="I231" si="663" xml:space="preserve"> IF(LEN(ChartLines.Hex6)=6, HEX2DEC(MID(ChartLines.Hex6, 3, 2)), "·")</f>
        <v>·</v>
      </c>
      <c r="J231" t="str">
        <f t="shared" ref="J231" si="664" xml:space="preserve"> IF(LEN(ChartLines.Hex6)=6, HEX2DEC(RIGHT(ChartLines.Hex6, 2)), "·")</f>
        <v>·</v>
      </c>
      <c r="K231" cm="1">
        <f t="array" ref="K231" xml:space="preserve"> 1 + ROW() - _xlfn.SINGLE(ROW(ChartLines.RowNum))</f>
        <v>229</v>
      </c>
    </row>
    <row r="232" spans="2:11">
      <c r="B232" t="s">
        <v>433</v>
      </c>
      <c r="C232" t="str">
        <f xml:space="preserve"> "007749"</f>
        <v>007749</v>
      </c>
      <c r="E232">
        <f t="shared" ref="E232" si="665" xml:space="preserve"> IF(AND(LEN(ChartLines.ID)&gt;0,"Unused"&lt;&gt;ChartLines.ID), COUNTIFS(ChartLines.ID,ChartLines.ID), "·")</f>
        <v>2</v>
      </c>
      <c r="F232">
        <f t="shared" ref="F232" si="666" xml:space="preserve"> IF(AND(LEN(ChartLines.ID)&gt;0,"Unused"&lt;&gt;ChartLines.ID), COUNTIFS(ChartLines.ID,ChartLines.ID,   ChartLines.RowNum,"&lt;="&amp;ChartLines.RowNum), "·")</f>
        <v>1</v>
      </c>
      <c r="G232" t="str" cm="1">
        <f t="array" ref="G232" xml:space="preserve"> _xlfn.IFS(OR(LEN(_xlfn.SINGLE(ChartLines.ID))=0,"Unused"=_xlfn.SINGLE(ChartLines.ID)), "·",   1=_xlfn.SINGLE(ChartLines.NumInstances), IF("USD"=_xlfn.SINGLE(ChartLines.ID), "SoleBig", "SoleOrdinary"),   1=_xlfn.SINGLE(ChartLines.InstanceNum), "Outer",   TRUE, "Inner")</f>
        <v>Outer</v>
      </c>
      <c r="H232">
        <f t="shared" ref="H232" si="667" xml:space="preserve"> IF(LEN(ChartLines.Hex6)=6, HEX2DEC(LEFT(ChartLines.Hex6, 2)), "·")</f>
        <v>0</v>
      </c>
      <c r="I232">
        <f t="shared" ref="I232" si="668" xml:space="preserve"> IF(LEN(ChartLines.Hex6)=6, HEX2DEC(MID(ChartLines.Hex6, 3, 2)), "·")</f>
        <v>119</v>
      </c>
      <c r="J232">
        <f t="shared" ref="J232" si="669" xml:space="preserve"> IF(LEN(ChartLines.Hex6)=6, HEX2DEC(RIGHT(ChartLines.Hex6, 2)), "·")</f>
        <v>73</v>
      </c>
      <c r="K232" cm="1">
        <f t="array" ref="K232" xml:space="preserve"> 1 + ROW() - _xlfn.SINGLE(ROW(ChartLines.RowNum))</f>
        <v>230</v>
      </c>
    </row>
    <row r="233" spans="2:11">
      <c r="B233" t="s">
        <v>433</v>
      </c>
      <c r="C233" t="str">
        <f xml:space="preserve"> "FFA500"</f>
        <v>FFA500</v>
      </c>
      <c r="E233">
        <f t="shared" ref="E233" si="670" xml:space="preserve"> IF(AND(LEN(ChartLines.ID)&gt;0,"Unused"&lt;&gt;ChartLines.ID), COUNTIFS(ChartLines.ID,ChartLines.ID), "·")</f>
        <v>2</v>
      </c>
      <c r="F233">
        <f t="shared" ref="F233" si="671" xml:space="preserve"> IF(AND(LEN(ChartLines.ID)&gt;0,"Unused"&lt;&gt;ChartLines.ID), COUNTIFS(ChartLines.ID,ChartLines.ID,   ChartLines.RowNum,"&lt;="&amp;ChartLines.RowNum), "·")</f>
        <v>2</v>
      </c>
      <c r="G233" t="str" cm="1">
        <f t="array" ref="G233" xml:space="preserve"> _xlfn.IFS(OR(LEN(_xlfn.SINGLE(ChartLines.ID))=0,"Unused"=_xlfn.SINGLE(ChartLines.ID)), "·",   1=_xlfn.SINGLE(ChartLines.NumInstances), IF("USD"=_xlfn.SINGLE(ChartLines.ID), "SoleBig", "SoleOrdinary"),   1=_xlfn.SINGLE(ChartLines.InstanceNum), "Outer",   TRUE, "Inner")</f>
        <v>Inner</v>
      </c>
      <c r="H233">
        <f t="shared" ref="H233" si="672" xml:space="preserve"> IF(LEN(ChartLines.Hex6)=6, HEX2DEC(LEFT(ChartLines.Hex6, 2)), "·")</f>
        <v>255</v>
      </c>
      <c r="I233">
        <f t="shared" ref="I233" si="673" xml:space="preserve"> IF(LEN(ChartLines.Hex6)=6, HEX2DEC(MID(ChartLines.Hex6, 3, 2)), "·")</f>
        <v>165</v>
      </c>
      <c r="J233">
        <f t="shared" ref="J233" si="674" xml:space="preserve"> IF(LEN(ChartLines.Hex6)=6, HEX2DEC(RIGHT(ChartLines.Hex6, 2)), "·")</f>
        <v>0</v>
      </c>
      <c r="K233" cm="1">
        <f t="array" ref="K233" xml:space="preserve"> 1 + ROW() - _xlfn.SINGLE(ROW(ChartLines.RowNum))</f>
        <v>231</v>
      </c>
    </row>
    <row r="234" spans="2:11">
      <c r="B234" t="s">
        <v>168</v>
      </c>
      <c r="C234" t="str">
        <f xml:space="preserve"> "009639"</f>
        <v>009639</v>
      </c>
      <c r="E234">
        <f t="shared" ref="E234" si="675" xml:space="preserve"> IF(AND(LEN(ChartLines.ID)&gt;0,"Unused"&lt;&gt;ChartLines.ID), COUNTIFS(ChartLines.ID,ChartLines.ID), "·")</f>
        <v>2</v>
      </c>
      <c r="F234">
        <f t="shared" ref="F234" si="676" xml:space="preserve"> IF(AND(LEN(ChartLines.ID)&gt;0,"Unused"&lt;&gt;ChartLines.ID), COUNTIFS(ChartLines.ID,ChartLines.ID,   ChartLines.RowNum,"&lt;="&amp;ChartLines.RowNum), "·")</f>
        <v>1</v>
      </c>
      <c r="G234" t="str" cm="1">
        <f t="array" ref="G234" xml:space="preserve"> _xlfn.IFS(OR(LEN(_xlfn.SINGLE(ChartLines.ID))=0,"Unused"=_xlfn.SINGLE(ChartLines.ID)), "·",   1=_xlfn.SINGLE(ChartLines.NumInstances), IF("USD"=_xlfn.SINGLE(ChartLines.ID), "SoleBig", "SoleOrdinary"),   1=_xlfn.SINGLE(ChartLines.InstanceNum), "Outer",   TRUE, "Inner")</f>
        <v>Outer</v>
      </c>
      <c r="H234">
        <f t="shared" ref="H234" si="677" xml:space="preserve"> IF(LEN(ChartLines.Hex6)=6, HEX2DEC(LEFT(ChartLines.Hex6, 2)), "·")</f>
        <v>0</v>
      </c>
      <c r="I234">
        <f t="shared" ref="I234" si="678" xml:space="preserve"> IF(LEN(ChartLines.Hex6)=6, HEX2DEC(MID(ChartLines.Hex6, 3, 2)), "·")</f>
        <v>150</v>
      </c>
      <c r="J234">
        <f t="shared" ref="J234" si="679" xml:space="preserve"> IF(LEN(ChartLines.Hex6)=6, HEX2DEC(RIGHT(ChartLines.Hex6, 2)), "·")</f>
        <v>57</v>
      </c>
      <c r="K234" cm="1">
        <f t="array" ref="K234" xml:space="preserve"> 1 + ROW() - _xlfn.SINGLE(ROW(ChartLines.RowNum))</f>
        <v>232</v>
      </c>
    </row>
    <row r="235" spans="2:11">
      <c r="B235" t="s">
        <v>168</v>
      </c>
      <c r="C235" t="s">
        <v>1840</v>
      </c>
      <c r="E235">
        <f t="shared" ref="E235" si="680" xml:space="preserve"> IF(AND(LEN(ChartLines.ID)&gt;0,"Unused"&lt;&gt;ChartLines.ID), COUNTIFS(ChartLines.ID,ChartLines.ID), "·")</f>
        <v>2</v>
      </c>
      <c r="F235">
        <f t="shared" ref="F235" si="681" xml:space="preserve"> IF(AND(LEN(ChartLines.ID)&gt;0,"Unused"&lt;&gt;ChartLines.ID), COUNTIFS(ChartLines.ID,ChartLines.ID,   ChartLines.RowNum,"&lt;="&amp;ChartLines.RowNum), "·")</f>
        <v>2</v>
      </c>
      <c r="G235" t="str" cm="1">
        <f t="array" ref="G235" xml:space="preserve"> _xlfn.IFS(OR(LEN(_xlfn.SINGLE(ChartLines.ID))=0,"Unused"=_xlfn.SINGLE(ChartLines.ID)), "·",   1=_xlfn.SINGLE(ChartLines.NumInstances), IF("USD"=_xlfn.SINGLE(ChartLines.ID), "SoleBig", "SoleOrdinary"),   1=_xlfn.SINGLE(ChartLines.InstanceNum), "Outer",   TRUE, "Inner")</f>
        <v>Inner</v>
      </c>
      <c r="H235">
        <f t="shared" ref="H235" si="682" xml:space="preserve"> IF(LEN(ChartLines.Hex6)=6, HEX2DEC(LEFT(ChartLines.Hex6, 2)), "·")</f>
        <v>255</v>
      </c>
      <c r="I235">
        <f t="shared" ref="I235" si="683" xml:space="preserve"> IF(LEN(ChartLines.Hex6)=6, HEX2DEC(MID(ChartLines.Hex6, 3, 2)), "·")</f>
        <v>255</v>
      </c>
      <c r="J235">
        <f t="shared" ref="J235" si="684" xml:space="preserve"> IF(LEN(ChartLines.Hex6)=6, HEX2DEC(RIGHT(ChartLines.Hex6, 2)), "·")</f>
        <v>255</v>
      </c>
      <c r="K235" cm="1">
        <f t="array" ref="K235" xml:space="preserve"> 1 + ROW() - _xlfn.SINGLE(ROW(ChartLines.RowNum))</f>
        <v>233</v>
      </c>
    </row>
    <row r="236" spans="2:11">
      <c r="B236" t="s">
        <v>1617</v>
      </c>
      <c r="C236" t="str">
        <f xml:space="preserve"> "0F47AF"</f>
        <v>0F47AF</v>
      </c>
      <c r="E236">
        <f t="shared" ref="E236" si="685" xml:space="preserve"> IF(AND(LEN(ChartLines.ID)&gt;0,"Unused"&lt;&gt;ChartLines.ID), COUNTIFS(ChartLines.ID,ChartLines.ID), "·")</f>
        <v>2</v>
      </c>
      <c r="F236">
        <f t="shared" ref="F236" si="686" xml:space="preserve"> IF(AND(LEN(ChartLines.ID)&gt;0,"Unused"&lt;&gt;ChartLines.ID), COUNTIFS(ChartLines.ID,ChartLines.ID,   ChartLines.RowNum,"&lt;="&amp;ChartLines.RowNum), "·")</f>
        <v>1</v>
      </c>
      <c r="G236" t="str" cm="1">
        <f t="array" ref="G236" xml:space="preserve"> _xlfn.IFS(OR(LEN(_xlfn.SINGLE(ChartLines.ID))=0,"Unused"=_xlfn.SINGLE(ChartLines.ID)), "·",   1=_xlfn.SINGLE(ChartLines.NumInstances), IF("USD"=_xlfn.SINGLE(ChartLines.ID), "SoleBig", "SoleOrdinary"),   1=_xlfn.SINGLE(ChartLines.InstanceNum), "Outer",   TRUE, "Inner")</f>
        <v>Outer</v>
      </c>
      <c r="H236">
        <f t="shared" ref="H236" si="687" xml:space="preserve"> IF(LEN(ChartLines.Hex6)=6, HEX2DEC(LEFT(ChartLines.Hex6, 2)), "·")</f>
        <v>15</v>
      </c>
      <c r="I236">
        <f t="shared" ref="I236" si="688" xml:space="preserve"> IF(LEN(ChartLines.Hex6)=6, HEX2DEC(MID(ChartLines.Hex6, 3, 2)), "·")</f>
        <v>71</v>
      </c>
      <c r="J236">
        <f t="shared" ref="J236" si="689" xml:space="preserve"> IF(LEN(ChartLines.Hex6)=6, HEX2DEC(RIGHT(ChartLines.Hex6, 2)), "·")</f>
        <v>175</v>
      </c>
      <c r="K236" cm="1">
        <f t="array" ref="K236" xml:space="preserve"> 1 + ROW() - _xlfn.SINGLE(ROW(ChartLines.RowNum))</f>
        <v>234</v>
      </c>
    </row>
    <row r="237" spans="2:11">
      <c r="B237" t="s">
        <v>1617</v>
      </c>
      <c r="C237" t="s">
        <v>1925</v>
      </c>
      <c r="E237">
        <f t="shared" ref="E237:E239" si="690" xml:space="preserve"> IF(AND(LEN(ChartLines.ID)&gt;0,"Unused"&lt;&gt;ChartLines.ID), COUNTIFS(ChartLines.ID,ChartLines.ID), "·")</f>
        <v>2</v>
      </c>
      <c r="F237">
        <f t="shared" ref="F237:F239" si="691" xml:space="preserve"> IF(AND(LEN(ChartLines.ID)&gt;0,"Unused"&lt;&gt;ChartLines.ID), COUNTIFS(ChartLines.ID,ChartLines.ID,   ChartLines.RowNum,"&lt;="&amp;ChartLines.RowNum), "·")</f>
        <v>2</v>
      </c>
      <c r="G237" t="str" cm="1">
        <f t="array" ref="G237" xml:space="preserve"> _xlfn.IFS(OR(LEN(_xlfn.SINGLE(ChartLines.ID))=0,"Unused"=_xlfn.SINGLE(ChartLines.ID)), "·",   1=_xlfn.SINGLE(ChartLines.NumInstances), IF("USD"=_xlfn.SINGLE(ChartLines.ID), "SoleBig", "SoleOrdinary"),   1=_xlfn.SINGLE(ChartLines.InstanceNum), "Outer",   TRUE, "Inner")</f>
        <v>Inner</v>
      </c>
      <c r="H237">
        <f t="shared" ref="H237:H239" si="692" xml:space="preserve"> IF(LEN(ChartLines.Hex6)=6, HEX2DEC(LEFT(ChartLines.Hex6, 2)), "·")</f>
        <v>252</v>
      </c>
      <c r="I237">
        <f t="shared" ref="I237:I239" si="693" xml:space="preserve"> IF(LEN(ChartLines.Hex6)=6, HEX2DEC(MID(ChartLines.Hex6, 3, 2)), "·")</f>
        <v>221</v>
      </c>
      <c r="J237">
        <f t="shared" ref="J237:J239" si="694" xml:space="preserve"> IF(LEN(ChartLines.Hex6)=6, HEX2DEC(RIGHT(ChartLines.Hex6, 2)), "·")</f>
        <v>9</v>
      </c>
      <c r="K237" cm="1">
        <f t="array" ref="K237" xml:space="preserve"> 1 + ROW() - _xlfn.SINGLE(ROW(ChartLines.RowNum))</f>
        <v>235</v>
      </c>
    </row>
    <row r="238" spans="2:11">
      <c r="B238" t="s">
        <v>2006</v>
      </c>
      <c r="C238" t="str">
        <f xml:space="preserve"> "000000"</f>
        <v>000000</v>
      </c>
      <c r="E238">
        <f t="shared" si="690"/>
        <v>2</v>
      </c>
      <c r="F238">
        <f t="shared" si="691"/>
        <v>1</v>
      </c>
      <c r="G238" t="str" cm="1">
        <f t="array" ref="G238" xml:space="preserve"> _xlfn.IFS(OR(LEN(_xlfn.SINGLE(ChartLines.ID))=0,"Unused"=_xlfn.SINGLE(ChartLines.ID)), "·",   1=_xlfn.SINGLE(ChartLines.NumInstances), IF("USD"=_xlfn.SINGLE(ChartLines.ID), "SoleBig", "SoleOrdinary"),   1=_xlfn.SINGLE(ChartLines.InstanceNum), "Outer",   TRUE, "Inner")</f>
        <v>Outer</v>
      </c>
      <c r="H238">
        <f t="shared" si="692"/>
        <v>0</v>
      </c>
      <c r="I238">
        <f t="shared" si="693"/>
        <v>0</v>
      </c>
      <c r="J238">
        <f t="shared" si="694"/>
        <v>0</v>
      </c>
      <c r="K238" cm="1">
        <f t="array" ref="K238" xml:space="preserve"> 1 + ROW() - _xlfn.SINGLE(ROW(ChartLines.RowNum))</f>
        <v>236</v>
      </c>
    </row>
    <row r="239" spans="2:11">
      <c r="B239" t="s">
        <v>2006</v>
      </c>
      <c r="C239" t="s">
        <v>1840</v>
      </c>
      <c r="E239">
        <f t="shared" si="690"/>
        <v>2</v>
      </c>
      <c r="F239">
        <f t="shared" si="691"/>
        <v>2</v>
      </c>
      <c r="G239" t="str" cm="1">
        <f t="array" ref="G239" xml:space="preserve"> _xlfn.IFS(OR(LEN(_xlfn.SINGLE(ChartLines.ID))=0,"Unused"=_xlfn.SINGLE(ChartLines.ID)), "·",   1=_xlfn.SINGLE(ChartLines.NumInstances), IF("USD"=_xlfn.SINGLE(ChartLines.ID), "SoleBig", "SoleOrdinary"),   1=_xlfn.SINGLE(ChartLines.InstanceNum), "Outer",   TRUE, "Inner")</f>
        <v>Inner</v>
      </c>
      <c r="H239">
        <f t="shared" si="692"/>
        <v>255</v>
      </c>
      <c r="I239">
        <f t="shared" si="693"/>
        <v>255</v>
      </c>
      <c r="J239">
        <f t="shared" si="694"/>
        <v>255</v>
      </c>
      <c r="K239" cm="1">
        <f t="array" ref="K239" xml:space="preserve"> 1 + ROW() - _xlfn.SINGLE(ROW(ChartLines.RowNum))</f>
        <v>237</v>
      </c>
    </row>
    <row r="240" spans="2:11">
      <c r="B240" t="s">
        <v>1627</v>
      </c>
      <c r="C240" t="s">
        <v>1926</v>
      </c>
      <c r="E240">
        <f t="shared" ref="E240" si="695" xml:space="preserve"> IF(AND(LEN(ChartLines.ID)&gt;0,"Unused"&lt;&gt;ChartLines.ID), COUNTIFS(ChartLines.ID,ChartLines.ID), "·")</f>
        <v>2</v>
      </c>
      <c r="F240">
        <f t="shared" ref="F240" si="696" xml:space="preserve"> IF(AND(LEN(ChartLines.ID)&gt;0,"Unused"&lt;&gt;ChartLines.ID), COUNTIFS(ChartLines.ID,ChartLines.ID,   ChartLines.RowNum,"&lt;="&amp;ChartLines.RowNum), "·")</f>
        <v>1</v>
      </c>
      <c r="G240" t="str" cm="1">
        <f t="array" ref="G240" xml:space="preserve"> _xlfn.IFS(OR(LEN(_xlfn.SINGLE(ChartLines.ID))=0,"Unused"=_xlfn.SINGLE(ChartLines.ID)), "·",   1=_xlfn.SINGLE(ChartLines.NumInstances), IF("USD"=_xlfn.SINGLE(ChartLines.ID), "SoleBig", "SoleOrdinary"),   1=_xlfn.SINGLE(ChartLines.InstanceNum), "Outer",   TRUE, "Inner")</f>
        <v>Outer</v>
      </c>
      <c r="H240">
        <f t="shared" ref="H240" si="697" xml:space="preserve"> IF(LEN(ChartLines.Hex6)=6, HEX2DEC(LEFT(ChartLines.Hex6, 2)), "·")</f>
        <v>187</v>
      </c>
      <c r="I240">
        <f t="shared" ref="I240" si="698" xml:space="preserve"> IF(LEN(ChartLines.Hex6)=6, HEX2DEC(MID(ChartLines.Hex6, 3, 2)), "·")</f>
        <v>0</v>
      </c>
      <c r="J240">
        <f t="shared" ref="J240" si="699" xml:space="preserve"> IF(LEN(ChartLines.Hex6)=6, HEX2DEC(RIGHT(ChartLines.Hex6, 2)), "·")</f>
        <v>0</v>
      </c>
      <c r="K240" cm="1">
        <f t="array" ref="K240" xml:space="preserve"> 1 + ROW() - _xlfn.SINGLE(ROW(ChartLines.RowNum))</f>
        <v>238</v>
      </c>
    </row>
    <row r="241" spans="2:11">
      <c r="B241" t="s">
        <v>1627</v>
      </c>
      <c r="C241" t="str">
        <f xml:space="preserve"> "000000"</f>
        <v>000000</v>
      </c>
      <c r="E241">
        <f t="shared" ref="E241" si="700" xml:space="preserve"> IF(AND(LEN(ChartLines.ID)&gt;0,"Unused"&lt;&gt;ChartLines.ID), COUNTIFS(ChartLines.ID,ChartLines.ID), "·")</f>
        <v>2</v>
      </c>
      <c r="F241">
        <f t="shared" ref="F241" si="701" xml:space="preserve"> IF(AND(LEN(ChartLines.ID)&gt;0,"Unused"&lt;&gt;ChartLines.ID), COUNTIFS(ChartLines.ID,ChartLines.ID,   ChartLines.RowNum,"&lt;="&amp;ChartLines.RowNum), "·")</f>
        <v>2</v>
      </c>
      <c r="G241" t="str" cm="1">
        <f t="array" ref="G241" xml:space="preserve"> _xlfn.IFS(OR(LEN(_xlfn.SINGLE(ChartLines.ID))=0,"Unused"=_xlfn.SINGLE(ChartLines.ID)), "·",   1=_xlfn.SINGLE(ChartLines.NumInstances), IF("USD"=_xlfn.SINGLE(ChartLines.ID), "SoleBig", "SoleOrdinary"),   1=_xlfn.SINGLE(ChartLines.InstanceNum), "Outer",   TRUE, "Inner")</f>
        <v>Inner</v>
      </c>
      <c r="H241">
        <f t="shared" ref="H241" si="702" xml:space="preserve"> IF(LEN(ChartLines.Hex6)=6, HEX2DEC(LEFT(ChartLines.Hex6, 2)), "·")</f>
        <v>0</v>
      </c>
      <c r="I241">
        <f t="shared" ref="I241" si="703" xml:space="preserve"> IF(LEN(ChartLines.Hex6)=6, HEX2DEC(MID(ChartLines.Hex6, 3, 2)), "·")</f>
        <v>0</v>
      </c>
      <c r="J241">
        <f t="shared" ref="J241" si="704" xml:space="preserve"> IF(LEN(ChartLines.Hex6)=6, HEX2DEC(RIGHT(ChartLines.Hex6, 2)), "·")</f>
        <v>0</v>
      </c>
      <c r="K241" cm="1">
        <f t="array" ref="K241" xml:space="preserve"> 1 + ROW() - _xlfn.SINGLE(ROW(ChartLines.RowNum))</f>
        <v>239</v>
      </c>
    </row>
    <row r="242" spans="2:11">
      <c r="B242" t="s">
        <v>1623</v>
      </c>
      <c r="C242" t="s">
        <v>1881</v>
      </c>
      <c r="E242">
        <f t="shared" ref="E242" si="705" xml:space="preserve"> IF(AND(LEN(ChartLines.ID)&gt;0,"Unused"&lt;&gt;ChartLines.ID), COUNTIFS(ChartLines.ID,ChartLines.ID), "·")</f>
        <v>2</v>
      </c>
      <c r="F242">
        <f t="shared" ref="F242" si="70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707" xml:space="preserve"> IF(LEN(ChartLines.Hex6)=6, HEX2DEC(LEFT(ChartLines.Hex6, 2)), "·")</f>
        <v>252</v>
      </c>
      <c r="I242">
        <f t="shared" ref="I242" si="708" xml:space="preserve"> IF(LEN(ChartLines.Hex6)=6, HEX2DEC(MID(ChartLines.Hex6, 3, 2)), "·")</f>
        <v>209</v>
      </c>
      <c r="J242">
        <f t="shared" ref="J242" si="709" xml:space="preserve"> IF(LEN(ChartLines.Hex6)=6, HEX2DEC(RIGHT(ChartLines.Hex6, 2)), "·")</f>
        <v>22</v>
      </c>
      <c r="K242" cm="1">
        <f t="array" ref="K242" xml:space="preserve"> 1 + ROW() - _xlfn.SINGLE(ROW(ChartLines.RowNum))</f>
        <v>240</v>
      </c>
    </row>
    <row r="243" spans="2:11">
      <c r="B243" t="s">
        <v>1623</v>
      </c>
      <c r="C243" t="str">
        <f xml:space="preserve"> "000000"</f>
        <v>000000</v>
      </c>
      <c r="E243">
        <f t="shared" ref="E243" si="710" xml:space="preserve"> IF(AND(LEN(ChartLines.ID)&gt;0,"Unused"&lt;&gt;ChartLines.ID), COUNTIFS(ChartLines.ID,ChartLines.ID), "·")</f>
        <v>2</v>
      </c>
      <c r="F243">
        <f t="shared" ref="F243" si="71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712" xml:space="preserve"> IF(LEN(ChartLines.Hex6)=6, HEX2DEC(LEFT(ChartLines.Hex6, 2)), "·")</f>
        <v>0</v>
      </c>
      <c r="I243">
        <f t="shared" ref="I243" si="713" xml:space="preserve"> IF(LEN(ChartLines.Hex6)=6, HEX2DEC(MID(ChartLines.Hex6, 3, 2)), "·")</f>
        <v>0</v>
      </c>
      <c r="J243">
        <f t="shared" ref="J243" si="714" xml:space="preserve"> IF(LEN(ChartLines.Hex6)=6, HEX2DEC(RIGHT(ChartLines.Hex6, 2)), "·")</f>
        <v>0</v>
      </c>
      <c r="K243" cm="1">
        <f t="array" ref="K243" xml:space="preserve"> 1 + ROW() - _xlfn.SINGLE(ROW(ChartLines.RowNum))</f>
        <v>241</v>
      </c>
    </row>
    <row r="244" spans="2:11">
      <c r="B244" t="s">
        <v>1637</v>
      </c>
      <c r="C244" t="str">
        <f xml:space="preserve"> "000000"</f>
        <v>000000</v>
      </c>
      <c r="E244">
        <f t="shared" ref="E244" si="715" xml:space="preserve"> IF(AND(LEN(ChartLines.ID)&gt;0,"Unused"&lt;&gt;ChartLines.ID), COUNTIFS(ChartLines.ID,ChartLines.ID), "·")</f>
        <v>2</v>
      </c>
      <c r="F244">
        <f t="shared" ref="F244" si="71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717" xml:space="preserve"> IF(LEN(ChartLines.Hex6)=6, HEX2DEC(LEFT(ChartLines.Hex6, 2)), "·")</f>
        <v>0</v>
      </c>
      <c r="I244">
        <f t="shared" ref="I244" si="718" xml:space="preserve"> IF(LEN(ChartLines.Hex6)=6, HEX2DEC(MID(ChartLines.Hex6, 3, 2)), "·")</f>
        <v>0</v>
      </c>
      <c r="J244">
        <f t="shared" ref="J244" si="719" xml:space="preserve"> IF(LEN(ChartLines.Hex6)=6, HEX2DEC(RIGHT(ChartLines.Hex6, 2)), "·")</f>
        <v>0</v>
      </c>
      <c r="K244" cm="1">
        <f t="array" ref="K244" xml:space="preserve"> 1 + ROW() - _xlfn.SINGLE(ROW(ChartLines.RowNum))</f>
        <v>242</v>
      </c>
    </row>
    <row r="245" spans="2:11">
      <c r="B245" t="s">
        <v>1637</v>
      </c>
      <c r="C245" t="s">
        <v>1927</v>
      </c>
      <c r="E245">
        <f t="shared" ref="E245" si="720" xml:space="preserve"> IF(AND(LEN(ChartLines.ID)&gt;0,"Unused"&lt;&gt;ChartLines.ID), COUNTIFS(ChartLines.ID,ChartLines.ID), "·")</f>
        <v>2</v>
      </c>
      <c r="F245">
        <f t="shared" ref="F245" si="72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722" xml:space="preserve"> IF(LEN(ChartLines.Hex6)=6, HEX2DEC(LEFT(ChartLines.Hex6, 2)), "·")</f>
        <v>217</v>
      </c>
      <c r="I245">
        <f t="shared" ref="I245" si="723" xml:space="preserve"> IF(LEN(ChartLines.Hex6)=6, HEX2DEC(MID(ChartLines.Hex6, 3, 2)), "·")</f>
        <v>0</v>
      </c>
      <c r="J245">
        <f t="shared" ref="J245" si="724" xml:space="preserve"> IF(LEN(ChartLines.Hex6)=6, HEX2DEC(RIGHT(ChartLines.Hex6, 2)), "·")</f>
        <v>0</v>
      </c>
      <c r="K245" cm="1">
        <f t="array" ref="K245" xml:space="preserve"> 1 + ROW() - _xlfn.SINGLE(ROW(ChartLines.RowNum))</f>
        <v>243</v>
      </c>
    </row>
    <row r="246" spans="2:11">
      <c r="B246" t="s">
        <v>1620</v>
      </c>
      <c r="C246" t="str">
        <f xml:space="preserve"> "007FFF"</f>
        <v>007FFF</v>
      </c>
      <c r="E246">
        <f t="shared" ref="E246" si="725" xml:space="preserve"> IF(AND(LEN(ChartLines.ID)&gt;0,"Unused"&lt;&gt;ChartLines.ID), COUNTIFS(ChartLines.ID,ChartLines.ID), "·")</f>
        <v>2</v>
      </c>
      <c r="F246">
        <f t="shared" ref="F246" si="72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727" xml:space="preserve"> IF(LEN(ChartLines.Hex6)=6, HEX2DEC(LEFT(ChartLines.Hex6, 2)), "·")</f>
        <v>0</v>
      </c>
      <c r="I246">
        <f t="shared" ref="I246" si="728" xml:space="preserve"> IF(LEN(ChartLines.Hex6)=6, HEX2DEC(MID(ChartLines.Hex6, 3, 2)), "·")</f>
        <v>127</v>
      </c>
      <c r="J246">
        <f t="shared" ref="J246" si="729" xml:space="preserve"> IF(LEN(ChartLines.Hex6)=6, HEX2DEC(RIGHT(ChartLines.Hex6, 2)), "·")</f>
        <v>255</v>
      </c>
      <c r="K246" cm="1">
        <f t="array" ref="K246" xml:space="preserve"> 1 + ROW() - _xlfn.SINGLE(ROW(ChartLines.RowNum))</f>
        <v>244</v>
      </c>
    </row>
    <row r="247" spans="2:11">
      <c r="B247" t="s">
        <v>1620</v>
      </c>
      <c r="C247" t="s">
        <v>1928</v>
      </c>
      <c r="E247">
        <f t="shared" ref="E247" si="730" xml:space="preserve"> IF(AND(LEN(ChartLines.ID)&gt;0,"Unused"&lt;&gt;ChartLines.ID), COUNTIFS(ChartLines.ID,ChartLines.ID), "·")</f>
        <v>2</v>
      </c>
      <c r="F247">
        <f t="shared" ref="F247" si="73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 si="732" xml:space="preserve"> IF(LEN(ChartLines.Hex6)=6, HEX2DEC(LEFT(ChartLines.Hex6, 2)), "·")</f>
        <v>247</v>
      </c>
      <c r="I247">
        <f t="shared" ref="I247" si="733" xml:space="preserve"> IF(LEN(ChartLines.Hex6)=6, HEX2DEC(MID(ChartLines.Hex6, 3, 2)), "·")</f>
        <v>214</v>
      </c>
      <c r="J247">
        <f t="shared" ref="J247" si="734" xml:space="preserve"> IF(LEN(ChartLines.Hex6)=6, HEX2DEC(RIGHT(ChartLines.Hex6, 2)), "·")</f>
        <v>24</v>
      </c>
      <c r="K247" cm="1">
        <f t="array" ref="K247" xml:space="preserve"> 1 + ROW() - _xlfn.SINGLE(ROW(ChartLines.RowNum))</f>
        <v>245</v>
      </c>
    </row>
    <row r="248" spans="2:11">
      <c r="B248" t="s">
        <v>1960</v>
      </c>
      <c r="C248" t="str">
        <f xml:space="preserve"> "000000"</f>
        <v>000000</v>
      </c>
      <c r="E248">
        <f t="shared" ref="E248" si="735" xml:space="preserve"> IF(AND(LEN(ChartLines.ID)&gt;0,"Unused"&lt;&gt;ChartLines.ID), COUNTIFS(ChartLines.ID,ChartLines.ID), "·")</f>
        <v>2</v>
      </c>
      <c r="F248">
        <f t="shared" ref="F248" si="736"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ref="H248" si="737" xml:space="preserve"> IF(LEN(ChartLines.Hex6)=6, HEX2DEC(LEFT(ChartLines.Hex6, 2)), "·")</f>
        <v>0</v>
      </c>
      <c r="I248">
        <f t="shared" ref="I248" si="738" xml:space="preserve"> IF(LEN(ChartLines.Hex6)=6, HEX2DEC(MID(ChartLines.Hex6, 3, 2)), "·")</f>
        <v>0</v>
      </c>
      <c r="J248">
        <f t="shared" ref="J248" si="739" xml:space="preserve"> IF(LEN(ChartLines.Hex6)=6, HEX2DEC(RIGHT(ChartLines.Hex6, 2)), "·")</f>
        <v>0</v>
      </c>
      <c r="K248" cm="1">
        <f t="array" ref="K248" xml:space="preserve"> 1 + ROW() - _xlfn.SINGLE(ROW(ChartLines.RowNum))</f>
        <v>246</v>
      </c>
    </row>
    <row r="249" spans="2:11">
      <c r="B249" t="s">
        <v>1960</v>
      </c>
      <c r="C249" t="s">
        <v>1846</v>
      </c>
      <c r="E249">
        <f t="shared" ref="E249" si="740" xml:space="preserve"> IF(AND(LEN(ChartLines.ID)&gt;0,"Unused"&lt;&gt;ChartLines.ID), COUNTIFS(ChartLines.ID,ChartLines.ID), "·")</f>
        <v>2</v>
      </c>
      <c r="F249">
        <f t="shared" ref="F249" si="741"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ref="H249" si="742" xml:space="preserve"> IF(LEN(ChartLines.Hex6)=6, HEX2DEC(LEFT(ChartLines.Hex6, 2)), "·")</f>
        <v>255</v>
      </c>
      <c r="I249">
        <f t="shared" ref="I249" si="743" xml:space="preserve"> IF(LEN(ChartLines.Hex6)=6, HEX2DEC(MID(ChartLines.Hex6, 3, 2)), "·")</f>
        <v>209</v>
      </c>
      <c r="J249">
        <f t="shared" ref="J249" si="744" xml:space="preserve"> IF(LEN(ChartLines.Hex6)=6, HEX2DEC(RIGHT(ChartLines.Hex6, 2)), "·")</f>
        <v>0</v>
      </c>
      <c r="K249" cm="1">
        <f t="array" ref="K249" xml:space="preserve"> 1 + ROW() - _xlfn.SINGLE(ROW(ChartLines.RowNum))</f>
        <v>247</v>
      </c>
    </row>
    <row r="250" spans="2:11">
      <c r="B250" t="s">
        <v>139</v>
      </c>
      <c r="C250" t="s">
        <v>1930</v>
      </c>
      <c r="E250">
        <f t="shared" ref="E250" si="745" xml:space="preserve"> IF(AND(LEN(ChartLines.ID)&gt;0,"Unused"&lt;&gt;ChartLines.ID), COUNTIFS(ChartLines.ID,ChartLines.ID), "·")</f>
        <v>2</v>
      </c>
      <c r="F250">
        <f t="shared" ref="F250" si="74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747" xml:space="preserve"> IF(LEN(ChartLines.Hex6)=6, HEX2DEC(LEFT(ChartLines.Hex6, 2)), "·")</f>
        <v>253</v>
      </c>
      <c r="I250">
        <f t="shared" ref="I250" si="748" xml:space="preserve"> IF(LEN(ChartLines.Hex6)=6, HEX2DEC(MID(ChartLines.Hex6, 3, 2)), "·")</f>
        <v>239</v>
      </c>
      <c r="J250">
        <f t="shared" ref="J250" si="749" xml:space="preserve"> IF(LEN(ChartLines.Hex6)=6, HEX2DEC(RIGHT(ChartLines.Hex6, 2)), "·")</f>
        <v>66</v>
      </c>
      <c r="K250" cm="1">
        <f t="array" ref="K250" xml:space="preserve"> 1 + ROW() - _xlfn.SINGLE(ROW(ChartLines.RowNum))</f>
        <v>248</v>
      </c>
    </row>
    <row r="251" spans="2:11">
      <c r="B251" t="s">
        <v>139</v>
      </c>
      <c r="C251" t="s">
        <v>1929</v>
      </c>
      <c r="E251">
        <f t="shared" ref="E251" si="750" xml:space="preserve"> IF(AND(LEN(ChartLines.ID)&gt;0,"Unused"&lt;&gt;ChartLines.ID), COUNTIFS(ChartLines.ID,ChartLines.ID), "·")</f>
        <v>2</v>
      </c>
      <c r="F251">
        <f t="shared" ref="F251" si="75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52" xml:space="preserve"> IF(LEN(ChartLines.Hex6)=6, HEX2DEC(LEFT(ChartLines.Hex6, 2)), "·")</f>
        <v>29</v>
      </c>
      <c r="I251">
        <f t="shared" ref="I251" si="753" xml:space="preserve"> IF(LEN(ChartLines.Hex6)=6, HEX2DEC(MID(ChartLines.Hex6, 3, 2)), "·")</f>
        <v>98</v>
      </c>
      <c r="J251">
        <f t="shared" ref="J251" si="754" xml:space="preserve"> IF(LEN(ChartLines.Hex6)=6, HEX2DEC(RIGHT(ChartLines.Hex6, 2)), "·")</f>
        <v>51</v>
      </c>
      <c r="K251" cm="1">
        <f t="array" ref="K251" xml:space="preserve"> 1 + ROW() - _xlfn.SINGLE(ROW(ChartLines.RowNum))</f>
        <v>249</v>
      </c>
    </row>
    <row r="252" spans="2:11">
      <c r="B252" t="s">
        <v>99</v>
      </c>
      <c r="C252" t="s">
        <v>1853</v>
      </c>
      <c r="E252">
        <f t="shared" ref="E252" si="755" xml:space="preserve"> IF(AND(LEN(ChartLines.ID)&gt;0,"Unused"&lt;&gt;ChartLines.ID), COUNTIFS(ChartLines.ID,ChartLines.ID), "·")</f>
        <v>2</v>
      </c>
      <c r="F252">
        <f t="shared" ref="F252" si="75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57" xml:space="preserve"> IF(LEN(ChartLines.Hex6)=6, HEX2DEC(LEFT(ChartLines.Hex6, 2)), "·")</f>
        <v>0</v>
      </c>
      <c r="I252">
        <f t="shared" ref="I252" si="758" xml:space="preserve"> IF(LEN(ChartLines.Hex6)=6, HEX2DEC(MID(ChartLines.Hex6, 3, 2)), "·")</f>
        <v>61</v>
      </c>
      <c r="J252">
        <f t="shared" ref="J252" si="759" xml:space="preserve"> IF(LEN(ChartLines.Hex6)=6, HEX2DEC(RIGHT(ChartLines.Hex6, 2)), "·")</f>
        <v>165</v>
      </c>
      <c r="K252" cm="1">
        <f t="array" ref="K252" xml:space="preserve"> 1 + ROW() - _xlfn.SINGLE(ROW(ChartLines.RowNum))</f>
        <v>250</v>
      </c>
    </row>
    <row r="253" spans="2:11">
      <c r="B253" t="s">
        <v>99</v>
      </c>
      <c r="C253" t="str">
        <f xml:space="preserve"> "009639"</f>
        <v>009639</v>
      </c>
      <c r="E253">
        <f t="shared" ref="E253" si="760" xml:space="preserve"> IF(AND(LEN(ChartLines.ID)&gt;0,"Unused"&lt;&gt;ChartLines.ID), COUNTIFS(ChartLines.ID,ChartLines.ID), "·")</f>
        <v>2</v>
      </c>
      <c r="F253">
        <f t="shared" ref="F253" si="76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62" xml:space="preserve"> IF(LEN(ChartLines.Hex6)=6, HEX2DEC(LEFT(ChartLines.Hex6, 2)), "·")</f>
        <v>0</v>
      </c>
      <c r="I253">
        <f t="shared" ref="I253" si="763" xml:space="preserve"> IF(LEN(ChartLines.Hex6)=6, HEX2DEC(MID(ChartLines.Hex6, 3, 2)), "·")</f>
        <v>150</v>
      </c>
      <c r="J253">
        <f t="shared" ref="J253" si="764" xml:space="preserve"> IF(LEN(ChartLines.Hex6)=6, HEX2DEC(RIGHT(ChartLines.Hex6, 2)), "·")</f>
        <v>57</v>
      </c>
      <c r="K253" cm="1">
        <f t="array" ref="K253" xml:space="preserve"> 1 + ROW() - _xlfn.SINGLE(ROW(ChartLines.RowNum))</f>
        <v>251</v>
      </c>
    </row>
    <row r="254" spans="2:11">
      <c r="B254" t="s">
        <v>98</v>
      </c>
      <c r="C254" t="s">
        <v>1931</v>
      </c>
      <c r="E254">
        <f t="shared" ref="E254" si="765" xml:space="preserve"> IF(AND(LEN(ChartLines.ID)&gt;0,"Unused"&lt;&gt;ChartLines.ID), COUNTIFS(ChartLines.ID,ChartLines.ID), "·")</f>
        <v>2</v>
      </c>
      <c r="F254">
        <f t="shared" ref="F254" si="76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67" xml:space="preserve"> IF(LEN(ChartLines.Hex6)=6, HEX2DEC(LEFT(ChartLines.Hex6, 2)), "·")</f>
        <v>234</v>
      </c>
      <c r="I254">
        <f t="shared" ref="I254" si="768" xml:space="preserve"> IF(LEN(ChartLines.Hex6)=6, HEX2DEC(MID(ChartLines.Hex6, 3, 2)), "·")</f>
        <v>118</v>
      </c>
      <c r="J254">
        <f t="shared" ref="J254" si="769" xml:space="preserve"> IF(LEN(ChartLines.Hex6)=6, HEX2DEC(RIGHT(ChartLines.Hex6, 2)), "·")</f>
        <v>0</v>
      </c>
      <c r="K254" cm="1">
        <f t="array" ref="K254" xml:space="preserve"> 1 + ROW() - _xlfn.SINGLE(ROW(ChartLines.RowNum))</f>
        <v>252</v>
      </c>
    </row>
    <row r="255" spans="2:11">
      <c r="B255" t="s">
        <v>98</v>
      </c>
      <c r="C255" t="s">
        <v>1932</v>
      </c>
      <c r="E255">
        <f t="shared" ref="E255:E261" si="770" xml:space="preserve"> IF(AND(LEN(ChartLines.ID)&gt;0,"Unused"&lt;&gt;ChartLines.ID), COUNTIFS(ChartLines.ID,ChartLines.ID), "·")</f>
        <v>2</v>
      </c>
      <c r="F255">
        <f t="shared" ref="F255:F261" si="77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H261" si="772" xml:space="preserve"> IF(LEN(ChartLines.Hex6)=6, HEX2DEC(LEFT(ChartLines.Hex6, 2)), "·")</f>
        <v>0</v>
      </c>
      <c r="I255">
        <f t="shared" ref="I255:I261" si="773" xml:space="preserve"> IF(LEN(ChartLines.Hex6)=6, HEX2DEC(MID(ChartLines.Hex6, 3, 2)), "·")</f>
        <v>154</v>
      </c>
      <c r="J255">
        <f t="shared" ref="J255:J261" si="774" xml:space="preserve"> IF(LEN(ChartLines.Hex6)=6, HEX2DEC(RIGHT(ChartLines.Hex6, 2)), "·")</f>
        <v>68</v>
      </c>
      <c r="K255" cm="1">
        <f t="array" ref="K255" xml:space="preserve"> 1 + ROW() - _xlfn.SINGLE(ROW(ChartLines.RowNum))</f>
        <v>253</v>
      </c>
    </row>
    <row r="256" spans="2:11">
      <c r="B256" t="s">
        <v>2419</v>
      </c>
      <c r="C256" t="s">
        <v>1881</v>
      </c>
      <c r="E256">
        <f t="shared" si="770"/>
        <v>2</v>
      </c>
      <c r="F256">
        <f t="shared" si="771"/>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si="772"/>
        <v>252</v>
      </c>
      <c r="I256">
        <f t="shared" si="773"/>
        <v>209</v>
      </c>
      <c r="J256">
        <f t="shared" si="774"/>
        <v>22</v>
      </c>
      <c r="K256" cm="1">
        <f t="array" ref="K256" xml:space="preserve"> 1 + ROW() - _xlfn.SINGLE(ROW(ChartLines.RowNum))</f>
        <v>254</v>
      </c>
    </row>
    <row r="257" spans="2:11">
      <c r="B257" t="s">
        <v>2419</v>
      </c>
      <c r="C257" t="s">
        <v>1918</v>
      </c>
      <c r="E257">
        <f t="shared" si="770"/>
        <v>2</v>
      </c>
      <c r="F257">
        <f t="shared" si="771"/>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si="772"/>
        <v>206</v>
      </c>
      <c r="I257">
        <f t="shared" si="773"/>
        <v>17</v>
      </c>
      <c r="J257">
        <f t="shared" si="774"/>
        <v>38</v>
      </c>
      <c r="K257" cm="1">
        <f t="array" ref="K257" xml:space="preserve"> 1 + ROW() - _xlfn.SINGLE(ROW(ChartLines.RowNum))</f>
        <v>255</v>
      </c>
    </row>
    <row r="258" spans="2:11">
      <c r="B258" t="s">
        <v>2152</v>
      </c>
      <c r="C258" t="s">
        <v>1845</v>
      </c>
      <c r="E258">
        <f t="shared" si="770"/>
        <v>2</v>
      </c>
      <c r="F258">
        <f t="shared" si="771"/>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si="772"/>
        <v>200</v>
      </c>
      <c r="I258">
        <f t="shared" si="773"/>
        <v>16</v>
      </c>
      <c r="J258">
        <f t="shared" si="774"/>
        <v>46</v>
      </c>
      <c r="K258" cm="1">
        <f t="array" ref="K258" xml:space="preserve"> 1 + ROW() - _xlfn.SINGLE(ROW(ChartLines.RowNum))</f>
        <v>256</v>
      </c>
    </row>
    <row r="259" spans="2:11">
      <c r="B259" t="s">
        <v>2152</v>
      </c>
      <c r="C259" t="s">
        <v>1844</v>
      </c>
      <c r="E259">
        <f t="shared" si="770"/>
        <v>2</v>
      </c>
      <c r="F259">
        <f t="shared" si="771"/>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si="772"/>
        <v>255</v>
      </c>
      <c r="I259">
        <f t="shared" si="773"/>
        <v>205</v>
      </c>
      <c r="J259">
        <f t="shared" si="774"/>
        <v>0</v>
      </c>
      <c r="K259" cm="1">
        <f t="array" ref="K259" xml:space="preserve"> 1 + ROW() - _xlfn.SINGLE(ROW(ChartLines.RowNum))</f>
        <v>257</v>
      </c>
    </row>
    <row r="260" spans="2:11">
      <c r="E260" t="str">
        <f t="shared" si="770"/>
        <v>·</v>
      </c>
      <c r="F260" t="str">
        <f t="shared" si="771"/>
        <v>·</v>
      </c>
      <c r="G260" t="str" cm="1">
        <f t="array" ref="G260" xml:space="preserve"> _xlfn.IFS(OR(LEN(_xlfn.SINGLE(ChartLines.ID))=0,"Unused"=_xlfn.SINGLE(ChartLines.ID)), "·",   1=_xlfn.SINGLE(ChartLines.NumInstances), IF("USD"=_xlfn.SINGLE(ChartLines.ID), "SoleBig", "SoleOrdinary"),   1=_xlfn.SINGLE(ChartLines.InstanceNum), "Outer",   TRUE, "Inner")</f>
        <v>·</v>
      </c>
      <c r="H260" t="str">
        <f t="shared" si="772"/>
        <v>·</v>
      </c>
      <c r="I260" t="str">
        <f t="shared" si="773"/>
        <v>·</v>
      </c>
      <c r="J260" t="str">
        <f t="shared" si="774"/>
        <v>·</v>
      </c>
      <c r="K260" cm="1">
        <f t="array" ref="K260" xml:space="preserve"> 1 + ROW() - _xlfn.SINGLE(ROW(ChartLines.RowNum))</f>
        <v>258</v>
      </c>
    </row>
    <row r="261" spans="2:11">
      <c r="B261" t="s">
        <v>526</v>
      </c>
      <c r="C261" t="str">
        <f xml:space="preserve"> "006341"</f>
        <v>006341</v>
      </c>
      <c r="E261">
        <f t="shared" si="770"/>
        <v>2</v>
      </c>
      <c r="F261">
        <f t="shared" si="771"/>
        <v>1</v>
      </c>
      <c r="G261" t="str" cm="1">
        <f t="array" ref="G261" xml:space="preserve"> _xlfn.IFS(OR(LEN(_xlfn.SINGLE(ChartLines.ID))=0,"Unused"=_xlfn.SINGLE(ChartLines.ID)), "·",   1=_xlfn.SINGLE(ChartLines.NumInstances), IF("USD"=_xlfn.SINGLE(ChartLines.ID), "SoleBig", "SoleOrdinary"),   1=_xlfn.SINGLE(ChartLines.InstanceNum), "Outer",   TRUE, "Inner")</f>
        <v>Outer</v>
      </c>
      <c r="H261">
        <f t="shared" si="772"/>
        <v>0</v>
      </c>
      <c r="I261">
        <f t="shared" si="773"/>
        <v>99</v>
      </c>
      <c r="J261">
        <f t="shared" si="774"/>
        <v>65</v>
      </c>
      <c r="K261" cm="1">
        <f t="array" ref="K261" xml:space="preserve"> 1 + ROW() - _xlfn.SINGLE(ROW(ChartLines.RowNum))</f>
        <v>259</v>
      </c>
    </row>
    <row r="262" spans="2:11">
      <c r="B262" t="s">
        <v>526</v>
      </c>
      <c r="C262" t="s">
        <v>1845</v>
      </c>
      <c r="E262">
        <f t="shared" ref="E262" si="775" xml:space="preserve"> IF(AND(LEN(ChartLines.ID)&gt;0,"Unused"&lt;&gt;ChartLines.ID), COUNTIFS(ChartLines.ID,ChartLines.ID), "·")</f>
        <v>2</v>
      </c>
      <c r="F262">
        <f t="shared" ref="F262" si="776" xml:space="preserve"> IF(AND(LEN(ChartLines.ID)&gt;0,"Unused"&lt;&gt;ChartLines.ID), COUNTIFS(ChartLines.ID,ChartLines.ID,   ChartLines.RowNum,"&lt;="&amp;ChartLines.RowNum), "·")</f>
        <v>2</v>
      </c>
      <c r="G262" t="str" cm="1">
        <f t="array" ref="G262" xml:space="preserve"> _xlfn.IFS(OR(LEN(_xlfn.SINGLE(ChartLines.ID))=0,"Unused"=_xlfn.SINGLE(ChartLines.ID)), "·",   1=_xlfn.SINGLE(ChartLines.NumInstances), IF("USD"=_xlfn.SINGLE(ChartLines.ID), "SoleBig", "SoleOrdinary"),   1=_xlfn.SINGLE(ChartLines.InstanceNum), "Outer",   TRUE, "Inner")</f>
        <v>Inner</v>
      </c>
      <c r="H262">
        <f t="shared" ref="H262" si="777" xml:space="preserve"> IF(LEN(ChartLines.Hex6)=6, HEX2DEC(LEFT(ChartLines.Hex6, 2)), "·")</f>
        <v>200</v>
      </c>
      <c r="I262">
        <f t="shared" ref="I262" si="778" xml:space="preserve"> IF(LEN(ChartLines.Hex6)=6, HEX2DEC(MID(ChartLines.Hex6, 3, 2)), "·")</f>
        <v>16</v>
      </c>
      <c r="J262">
        <f t="shared" ref="J262" si="779" xml:space="preserve"> IF(LEN(ChartLines.Hex6)=6, HEX2DEC(RIGHT(ChartLines.Hex6, 2)), "·")</f>
        <v>46</v>
      </c>
      <c r="K262" cm="1">
        <f t="array" ref="K262" xml:space="preserve"> 1 + ROW() - _xlfn.SINGLE(ROW(ChartLines.RowNum))</f>
        <v>260</v>
      </c>
    </row>
    <row r="263" spans="2:11">
      <c r="B263" t="s">
        <v>528</v>
      </c>
      <c r="C263" t="str">
        <f xml:space="preserve"> "009639"</f>
        <v>009639</v>
      </c>
      <c r="E263">
        <f t="shared" ref="E263" si="780" xml:space="preserve"> IF(AND(LEN(ChartLines.ID)&gt;0,"Unused"&lt;&gt;ChartLines.ID), COUNTIFS(ChartLines.ID,ChartLines.ID), "·")</f>
        <v>2</v>
      </c>
      <c r="F263">
        <f t="shared" ref="F263" si="781" xml:space="preserve"> IF(AND(LEN(ChartLines.ID)&gt;0,"Unused"&lt;&gt;ChartLines.ID), COUNTIFS(ChartLines.ID,ChartLines.ID,   ChartLines.RowNum,"&lt;="&amp;ChartLines.RowNum), "·")</f>
        <v>1</v>
      </c>
      <c r="G263" t="str" cm="1">
        <f t="array" ref="G263" xml:space="preserve"> _xlfn.IFS(OR(LEN(_xlfn.SINGLE(ChartLines.ID))=0,"Unused"=_xlfn.SINGLE(ChartLines.ID)), "·",   1=_xlfn.SINGLE(ChartLines.NumInstances), IF("USD"=_xlfn.SINGLE(ChartLines.ID), "SoleBig", "SoleOrdinary"),   1=_xlfn.SINGLE(ChartLines.InstanceNum), "Outer",   TRUE, "Inner")</f>
        <v>Outer</v>
      </c>
      <c r="H263">
        <f t="shared" ref="H263" si="782" xml:space="preserve"> IF(LEN(ChartLines.Hex6)=6, HEX2DEC(LEFT(ChartLines.Hex6, 2)), "·")</f>
        <v>0</v>
      </c>
      <c r="I263">
        <f t="shared" ref="I263" si="783" xml:space="preserve"> IF(LEN(ChartLines.Hex6)=6, HEX2DEC(MID(ChartLines.Hex6, 3, 2)), "·")</f>
        <v>150</v>
      </c>
      <c r="J263">
        <f t="shared" ref="J263" si="784" xml:space="preserve"> IF(LEN(ChartLines.Hex6)=6, HEX2DEC(RIGHT(ChartLines.Hex6, 2)), "·")</f>
        <v>57</v>
      </c>
      <c r="K263" cm="1">
        <f t="array" ref="K263" xml:space="preserve"> 1 + ROW() - _xlfn.SINGLE(ROW(ChartLines.RowNum))</f>
        <v>261</v>
      </c>
    </row>
    <row r="264" spans="2:11">
      <c r="B264" t="s">
        <v>528</v>
      </c>
      <c r="C264" t="s">
        <v>1933</v>
      </c>
      <c r="E264">
        <f t="shared" ref="E264" si="785" xml:space="preserve"> IF(AND(LEN(ChartLines.ID)&gt;0,"Unused"&lt;&gt;ChartLines.ID), COUNTIFS(ChartLines.ID,ChartLines.ID), "·")</f>
        <v>2</v>
      </c>
      <c r="F264">
        <f t="shared" ref="F264" si="786" xml:space="preserve"> IF(AND(LEN(ChartLines.ID)&gt;0,"Unused"&lt;&gt;ChartLines.ID), COUNTIFS(ChartLines.ID,ChartLines.ID,   ChartLines.RowNum,"&lt;="&amp;ChartLines.RowNum), "·")</f>
        <v>2</v>
      </c>
      <c r="G264" t="str" cm="1">
        <f t="array" ref="G264" xml:space="preserve"> _xlfn.IFS(OR(LEN(_xlfn.SINGLE(ChartLines.ID))=0,"Unused"=_xlfn.SINGLE(ChartLines.ID)), "·",   1=_xlfn.SINGLE(ChartLines.NumInstances), IF("USD"=_xlfn.SINGLE(ChartLines.ID), "SoleBig", "SoleOrdinary"),   1=_xlfn.SINGLE(ChartLines.InstanceNum), "Outer",   TRUE, "Inner")</f>
        <v>Inner</v>
      </c>
      <c r="H264">
        <f t="shared" ref="H264" si="787" xml:space="preserve"> IF(LEN(ChartLines.Hex6)=6, HEX2DEC(LEFT(ChartLines.Hex6, 2)), "·")</f>
        <v>254</v>
      </c>
      <c r="I264">
        <f t="shared" ref="I264" si="788" xml:space="preserve"> IF(LEN(ChartLines.Hex6)=6, HEX2DEC(MID(ChartLines.Hex6, 3, 2)), "·")</f>
        <v>221</v>
      </c>
      <c r="J264">
        <f t="shared" ref="J264" si="789" xml:space="preserve"> IF(LEN(ChartLines.Hex6)=6, HEX2DEC(RIGHT(ChartLines.Hex6, 2)), "·")</f>
        <v>0</v>
      </c>
      <c r="K264" cm="1">
        <f t="array" ref="K264" xml:space="preserve"> 1 + ROW() - _xlfn.SINGLE(ROW(ChartLines.RowNum))</f>
        <v>262</v>
      </c>
    </row>
    <row r="265" spans="2:11">
      <c r="B265" t="s">
        <v>140</v>
      </c>
      <c r="C265" t="s">
        <v>1934</v>
      </c>
      <c r="E265">
        <f t="shared" ref="E265" si="790" xml:space="preserve"> IF(AND(LEN(ChartLines.ID)&gt;0,"Unused"&lt;&gt;ChartLines.ID), COUNTIFS(ChartLines.ID,ChartLines.ID), "·")</f>
        <v>2</v>
      </c>
      <c r="F265">
        <f t="shared" ref="F265" si="791" xml:space="preserve"> IF(AND(LEN(ChartLines.ID)&gt;0,"Unused"&lt;&gt;ChartLines.ID), COUNTIFS(ChartLines.ID,ChartLines.ID,   ChartLines.RowNum,"&lt;="&amp;ChartLines.RowNum), "·")</f>
        <v>1</v>
      </c>
      <c r="G265" t="str" cm="1">
        <f t="array" ref="G265" xml:space="preserve"> _xlfn.IFS(OR(LEN(_xlfn.SINGLE(ChartLines.ID))=0,"Unused"=_xlfn.SINGLE(ChartLines.ID)), "·",   1=_xlfn.SINGLE(ChartLines.NumInstances), IF("USD"=_xlfn.SINGLE(ChartLines.ID), "SoleBig", "SoleOrdinary"),   1=_xlfn.SINGLE(ChartLines.InstanceNum), "Outer",   TRUE, "Inner")</f>
        <v>Outer</v>
      </c>
      <c r="H265">
        <f t="shared" ref="H265" si="792" xml:space="preserve"> IF(LEN(ChartLines.Hex6)=6, HEX2DEC(LEFT(ChartLines.Hex6, 2)), "·")</f>
        <v>213</v>
      </c>
      <c r="I265">
        <f t="shared" ref="I265" si="793" xml:space="preserve"> IF(LEN(ChartLines.Hex6)=6, HEX2DEC(MID(ChartLines.Hex6, 3, 2)), "·")</f>
        <v>43</v>
      </c>
      <c r="J265">
        <f t="shared" ref="J265" si="794" xml:space="preserve"> IF(LEN(ChartLines.Hex6)=6, HEX2DEC(RIGHT(ChartLines.Hex6, 2)), "·")</f>
        <v>30</v>
      </c>
      <c r="K265" cm="1">
        <f t="array" ref="K265" xml:space="preserve"> 1 + ROW() - _xlfn.SINGLE(ROW(ChartLines.RowNum))</f>
        <v>263</v>
      </c>
    </row>
    <row r="266" spans="2:11">
      <c r="B266" t="s">
        <v>140</v>
      </c>
      <c r="C266" t="s">
        <v>1935</v>
      </c>
      <c r="E266">
        <f t="shared" ref="E266" si="795" xml:space="preserve"> IF(AND(LEN(ChartLines.ID)&gt;0,"Unused"&lt;&gt;ChartLines.ID), COUNTIFS(ChartLines.ID,ChartLines.ID), "·")</f>
        <v>2</v>
      </c>
      <c r="F266">
        <f t="shared" ref="F266" si="796" xml:space="preserve"> IF(AND(LEN(ChartLines.ID)&gt;0,"Unused"&lt;&gt;ChartLines.ID), COUNTIFS(ChartLines.ID,ChartLines.ID,   ChartLines.RowNum,"&lt;="&amp;ChartLines.RowNum), "·")</f>
        <v>2</v>
      </c>
      <c r="G266" t="str" cm="1">
        <f t="array" ref="G266" xml:space="preserve"> _xlfn.IFS(OR(LEN(_xlfn.SINGLE(ChartLines.ID))=0,"Unused"=_xlfn.SINGLE(ChartLines.ID)), "·",   1=_xlfn.SINGLE(ChartLines.NumInstances), IF("USD"=_xlfn.SINGLE(ChartLines.ID), "SoleBig", "SoleOrdinary"),   1=_xlfn.SINGLE(ChartLines.InstanceNum), "Outer",   TRUE, "Inner")</f>
        <v>Inner</v>
      </c>
      <c r="H266">
        <f t="shared" ref="H266" si="797" xml:space="preserve"> IF(LEN(ChartLines.Hex6)=6, HEX2DEC(LEFT(ChartLines.Hex6, 2)), "·")</f>
        <v>0</v>
      </c>
      <c r="I266">
        <f t="shared" ref="I266" si="798" xml:space="preserve"> IF(LEN(ChartLines.Hex6)=6, HEX2DEC(MID(ChartLines.Hex6, 3, 2)), "·")</f>
        <v>51</v>
      </c>
      <c r="J266">
        <f t="shared" ref="J266" si="799" xml:space="preserve"> IF(LEN(ChartLines.Hex6)=6, HEX2DEC(RIGHT(ChartLines.Hex6, 2)), "·")</f>
        <v>160</v>
      </c>
      <c r="K266" cm="1">
        <f t="array" ref="K266" xml:space="preserve"> 1 + ROW() - _xlfn.SINGLE(ROW(ChartLines.RowNum))</f>
        <v>264</v>
      </c>
    </row>
    <row r="267" spans="2:11">
      <c r="B267" t="s">
        <v>100</v>
      </c>
      <c r="C267" t="str">
        <f xml:space="preserve"> "003087"</f>
        <v>003087</v>
      </c>
      <c r="E267">
        <f t="shared" ref="E267" si="800" xml:space="preserve"> IF(AND(LEN(ChartLines.ID)&gt;0,"Unused"&lt;&gt;ChartLines.ID), COUNTIFS(ChartLines.ID,ChartLines.ID), "·")</f>
        <v>2</v>
      </c>
      <c r="F267">
        <f t="shared" ref="F267" si="801" xml:space="preserve"> IF(AND(LEN(ChartLines.ID)&gt;0,"Unused"&lt;&gt;ChartLines.ID), COUNTIFS(ChartLines.ID,ChartLines.ID,   ChartLines.RowNum,"&lt;="&amp;ChartLines.RowNum), "·")</f>
        <v>1</v>
      </c>
      <c r="G267" t="str" cm="1">
        <f t="array" ref="G267" xml:space="preserve"> _xlfn.IFS(OR(LEN(_xlfn.SINGLE(ChartLines.ID))=0,"Unused"=_xlfn.SINGLE(ChartLines.ID)), "·",   1=_xlfn.SINGLE(ChartLines.NumInstances), IF("USD"=_xlfn.SINGLE(ChartLines.ID), "SoleBig", "SoleOrdinary"),   1=_xlfn.SINGLE(ChartLines.InstanceNum), "Outer",   TRUE, "Inner")</f>
        <v>Outer</v>
      </c>
      <c r="H267">
        <f t="shared" ref="H267" si="802" xml:space="preserve"> IF(LEN(ChartLines.Hex6)=6, HEX2DEC(LEFT(ChartLines.Hex6, 2)), "·")</f>
        <v>0</v>
      </c>
      <c r="I267">
        <f t="shared" ref="I267" si="803" xml:space="preserve"> IF(LEN(ChartLines.Hex6)=6, HEX2DEC(MID(ChartLines.Hex6, 3, 2)), "·")</f>
        <v>48</v>
      </c>
      <c r="J267">
        <f t="shared" ref="J267" si="804" xml:space="preserve"> IF(LEN(ChartLines.Hex6)=6, HEX2DEC(RIGHT(ChartLines.Hex6, 2)), "·")</f>
        <v>135</v>
      </c>
      <c r="K267" cm="1">
        <f t="array" ref="K267" xml:space="preserve"> 1 + ROW() - _xlfn.SINGLE(ROW(ChartLines.RowNum))</f>
        <v>265</v>
      </c>
    </row>
    <row r="268" spans="2:11">
      <c r="B268" t="s">
        <v>100</v>
      </c>
      <c r="C268" t="s">
        <v>1844</v>
      </c>
      <c r="E268">
        <f t="shared" ref="E268" si="805" xml:space="preserve"> IF(AND(LEN(ChartLines.ID)&gt;0,"Unused"&lt;&gt;ChartLines.ID), COUNTIFS(ChartLines.ID,ChartLines.ID), "·")</f>
        <v>2</v>
      </c>
      <c r="F268">
        <f t="shared" ref="F268" si="806" xml:space="preserve"> IF(AND(LEN(ChartLines.ID)&gt;0,"Unused"&lt;&gt;ChartLines.ID), COUNTIFS(ChartLines.ID,ChartLines.ID,   ChartLines.RowNum,"&lt;="&amp;ChartLines.RowNum), "·")</f>
        <v>2</v>
      </c>
      <c r="G268" t="str" cm="1">
        <f t="array" ref="G268" xml:space="preserve"> _xlfn.IFS(OR(LEN(_xlfn.SINGLE(ChartLines.ID))=0,"Unused"=_xlfn.SINGLE(ChartLines.ID)), "·",   1=_xlfn.SINGLE(ChartLines.NumInstances), IF("USD"=_xlfn.SINGLE(ChartLines.ID), "SoleBig", "SoleOrdinary"),   1=_xlfn.SINGLE(ChartLines.InstanceNum), "Outer",   TRUE, "Inner")</f>
        <v>Inner</v>
      </c>
      <c r="H268">
        <f t="shared" ref="H268" si="807" xml:space="preserve"> IF(LEN(ChartLines.Hex6)=6, HEX2DEC(LEFT(ChartLines.Hex6, 2)), "·")</f>
        <v>255</v>
      </c>
      <c r="I268">
        <f t="shared" ref="I268" si="808" xml:space="preserve"> IF(LEN(ChartLines.Hex6)=6, HEX2DEC(MID(ChartLines.Hex6, 3, 2)), "·")</f>
        <v>205</v>
      </c>
      <c r="J268">
        <f t="shared" ref="J268" si="809" xml:space="preserve"> IF(LEN(ChartLines.Hex6)=6, HEX2DEC(RIGHT(ChartLines.Hex6, 2)), "·")</f>
        <v>0</v>
      </c>
      <c r="K268" cm="1">
        <f t="array" ref="K268" xml:space="preserve"> 1 + ROW() - _xlfn.SINGLE(ROW(ChartLines.RowNum))</f>
        <v>266</v>
      </c>
    </row>
    <row r="269" spans="2:11">
      <c r="B269" t="s">
        <v>101</v>
      </c>
      <c r="C269" t="s">
        <v>1845</v>
      </c>
      <c r="E269">
        <f t="shared" ref="E269" si="810" xml:space="preserve"> IF(AND(LEN(ChartLines.ID)&gt;0,"Unused"&lt;&gt;ChartLines.ID), COUNTIFS(ChartLines.ID,ChartLines.ID), "·")</f>
        <v>2</v>
      </c>
      <c r="F269">
        <f t="shared" ref="F269" si="811" xml:space="preserve"> IF(AND(LEN(ChartLines.ID)&gt;0,"Unused"&lt;&gt;ChartLines.ID), COUNTIFS(ChartLines.ID,ChartLines.ID,   ChartLines.RowNum,"&lt;="&amp;ChartLines.RowNum), "·")</f>
        <v>1</v>
      </c>
      <c r="G269" t="str" cm="1">
        <f t="array" ref="G269" xml:space="preserve"> _xlfn.IFS(OR(LEN(_xlfn.SINGLE(ChartLines.ID))=0,"Unused"=_xlfn.SINGLE(ChartLines.ID)), "·",   1=_xlfn.SINGLE(ChartLines.NumInstances), IF("USD"=_xlfn.SINGLE(ChartLines.ID), "SoleBig", "SoleOrdinary"),   1=_xlfn.SINGLE(ChartLines.InstanceNum), "Outer",   TRUE, "Inner")</f>
        <v>Outer</v>
      </c>
      <c r="H269">
        <f t="shared" ref="H269" si="812" xml:space="preserve"> IF(LEN(ChartLines.Hex6)=6, HEX2DEC(LEFT(ChartLines.Hex6, 2)), "·")</f>
        <v>200</v>
      </c>
      <c r="I269">
        <f t="shared" ref="I269" si="813" xml:space="preserve"> IF(LEN(ChartLines.Hex6)=6, HEX2DEC(MID(ChartLines.Hex6, 3, 2)), "·")</f>
        <v>16</v>
      </c>
      <c r="J269">
        <f t="shared" ref="J269" si="814" xml:space="preserve"> IF(LEN(ChartLines.Hex6)=6, HEX2DEC(RIGHT(ChartLines.Hex6, 2)), "·")</f>
        <v>46</v>
      </c>
      <c r="K269" cm="1">
        <f t="array" ref="K269" xml:space="preserve"> 1 + ROW() - _xlfn.SINGLE(ROW(ChartLines.RowNum))</f>
        <v>267</v>
      </c>
    </row>
    <row r="270" spans="2:11">
      <c r="B270" t="s">
        <v>101</v>
      </c>
      <c r="C270" t="s">
        <v>1840</v>
      </c>
      <c r="E270">
        <f t="shared" ref="E270" si="815" xml:space="preserve"> IF(AND(LEN(ChartLines.ID)&gt;0,"Unused"&lt;&gt;ChartLines.ID), COUNTIFS(ChartLines.ID,ChartLines.ID), "·")</f>
        <v>2</v>
      </c>
      <c r="F270">
        <f t="shared" ref="F270" si="816" xml:space="preserve"> IF(AND(LEN(ChartLines.ID)&gt;0,"Unused"&lt;&gt;ChartLines.ID), COUNTIFS(ChartLines.ID,ChartLines.ID,   ChartLines.RowNum,"&lt;="&amp;ChartLines.RowNum), "·")</f>
        <v>2</v>
      </c>
      <c r="G270" t="str" cm="1">
        <f t="array" ref="G270" xml:space="preserve"> _xlfn.IFS(OR(LEN(_xlfn.SINGLE(ChartLines.ID))=0,"Unused"=_xlfn.SINGLE(ChartLines.ID)), "·",   1=_xlfn.SINGLE(ChartLines.NumInstances), IF("USD"=_xlfn.SINGLE(ChartLines.ID), "SoleBig", "SoleOrdinary"),   1=_xlfn.SINGLE(ChartLines.InstanceNum), "Outer",   TRUE, "Inner")</f>
        <v>Inner</v>
      </c>
      <c r="H270">
        <f t="shared" ref="H270" si="817" xml:space="preserve"> IF(LEN(ChartLines.Hex6)=6, HEX2DEC(LEFT(ChartLines.Hex6, 2)), "·")</f>
        <v>255</v>
      </c>
      <c r="I270">
        <f t="shared" ref="I270" si="818" xml:space="preserve"> IF(LEN(ChartLines.Hex6)=6, HEX2DEC(MID(ChartLines.Hex6, 3, 2)), "·")</f>
        <v>255</v>
      </c>
      <c r="J270">
        <f t="shared" ref="J270" si="819" xml:space="preserve"> IF(LEN(ChartLines.Hex6)=6, HEX2DEC(RIGHT(ChartLines.Hex6, 2)), "·")</f>
        <v>255</v>
      </c>
      <c r="K270" cm="1">
        <f t="array" ref="K270" xml:space="preserve"> 1 + ROW() - _xlfn.SINGLE(ROW(ChartLines.RowNum))</f>
        <v>268</v>
      </c>
    </row>
    <row r="271" spans="2:11">
      <c r="B271" t="s">
        <v>544</v>
      </c>
      <c r="C271" t="s">
        <v>2162</v>
      </c>
      <c r="E271">
        <f t="shared" ref="E271" si="820" xml:space="preserve"> IF(AND(LEN(ChartLines.ID)&gt;0,"Unused"&lt;&gt;ChartLines.ID), COUNTIFS(ChartLines.ID,ChartLines.ID), "·")</f>
        <v>2</v>
      </c>
      <c r="F271">
        <f t="shared" ref="F271" si="821" xml:space="preserve"> IF(AND(LEN(ChartLines.ID)&gt;0,"Unused"&lt;&gt;ChartLines.ID), COUNTIFS(ChartLines.ID,ChartLines.ID,   ChartLines.RowNum,"&lt;="&amp;ChartLines.RowNum), "·")</f>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ref="H271" si="822" xml:space="preserve"> IF(LEN(ChartLines.Hex6)=6, HEX2DEC(LEFT(ChartLines.Hex6, 2)), "·")</f>
        <v>123</v>
      </c>
      <c r="I271">
        <f t="shared" ref="I271" si="823" xml:space="preserve"> IF(LEN(ChartLines.Hex6)=6, HEX2DEC(MID(ChartLines.Hex6, 3, 2)), "·")</f>
        <v>63</v>
      </c>
      <c r="J271">
        <f t="shared" ref="J271" si="824" xml:space="preserve"> IF(LEN(ChartLines.Hex6)=6, HEX2DEC(RIGHT(ChartLines.Hex6, 2)), "·")</f>
        <v>0</v>
      </c>
      <c r="K271" cm="1">
        <f t="array" ref="K271" xml:space="preserve"> 1 + ROW() - _xlfn.SINGLE(ROW(ChartLines.RowNum))</f>
        <v>269</v>
      </c>
    </row>
    <row r="272" spans="2:11">
      <c r="B272" t="s">
        <v>544</v>
      </c>
      <c r="C272" t="s">
        <v>1840</v>
      </c>
      <c r="E272">
        <f t="shared" ref="E272" si="825" xml:space="preserve"> IF(AND(LEN(ChartLines.ID)&gt;0,"Unused"&lt;&gt;ChartLines.ID), COUNTIFS(ChartLines.ID,ChartLines.ID), "·")</f>
        <v>2</v>
      </c>
      <c r="F272">
        <f t="shared" ref="F272" si="82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827" xml:space="preserve"> IF(LEN(ChartLines.Hex6)=6, HEX2DEC(LEFT(ChartLines.Hex6, 2)), "·")</f>
        <v>255</v>
      </c>
      <c r="I272">
        <f t="shared" ref="I272" si="828" xml:space="preserve"> IF(LEN(ChartLines.Hex6)=6, HEX2DEC(MID(ChartLines.Hex6, 3, 2)), "·")</f>
        <v>255</v>
      </c>
      <c r="J272">
        <f t="shared" ref="J272" si="829" xml:space="preserve"> IF(LEN(ChartLines.Hex6)=6, HEX2DEC(RIGHT(ChartLines.Hex6, 2)), "·")</f>
        <v>255</v>
      </c>
      <c r="K272" cm="1">
        <f t="array" ref="K272" xml:space="preserve"> 1 + ROW() - _xlfn.SINGLE(ROW(ChartLines.RowNum))</f>
        <v>270</v>
      </c>
    </row>
    <row r="273" spans="2:11">
      <c r="B273" t="s">
        <v>102</v>
      </c>
      <c r="C273" t="s">
        <v>1936</v>
      </c>
      <c r="E273">
        <f t="shared" ref="E273" si="830" xml:space="preserve"> IF(AND(LEN(ChartLines.ID)&gt;0,"Unused"&lt;&gt;ChartLines.ID), COUNTIFS(ChartLines.ID,ChartLines.ID), "·")</f>
        <v>2</v>
      </c>
      <c r="F273">
        <f t="shared" ref="F273" si="83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832" xml:space="preserve"> IF(LEN(ChartLines.Hex6)=6, HEX2DEC(LEFT(ChartLines.Hex6, 2)), "·")</f>
        <v>108</v>
      </c>
      <c r="I273">
        <f t="shared" ref="I273" si="833" xml:space="preserve"> IF(LEN(ChartLines.Hex6)=6, HEX2DEC(MID(ChartLines.Hex6, 3, 2)), "·")</f>
        <v>172</v>
      </c>
      <c r="J273">
        <f t="shared" ref="J273" si="834" xml:space="preserve"> IF(LEN(ChartLines.Hex6)=6, HEX2DEC(RIGHT(ChartLines.Hex6, 2)), "·")</f>
        <v>228</v>
      </c>
      <c r="K273" cm="1">
        <f t="array" ref="K273" xml:space="preserve"> 1 + ROW() - _xlfn.SINGLE(ROW(ChartLines.RowNum))</f>
        <v>271</v>
      </c>
    </row>
    <row r="274" spans="2:11">
      <c r="B274" t="s">
        <v>102</v>
      </c>
      <c r="C274" t="s">
        <v>1840</v>
      </c>
      <c r="E274">
        <f t="shared" ref="E274" si="835" xml:space="preserve"> IF(AND(LEN(ChartLines.ID)&gt;0,"Unused"&lt;&gt;ChartLines.ID), COUNTIFS(ChartLines.ID,ChartLines.ID), "·")</f>
        <v>2</v>
      </c>
      <c r="F274">
        <f t="shared" ref="F274" si="83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837" xml:space="preserve"> IF(LEN(ChartLines.Hex6)=6, HEX2DEC(LEFT(ChartLines.Hex6, 2)), "·")</f>
        <v>255</v>
      </c>
      <c r="I274">
        <f t="shared" ref="I274" si="838" xml:space="preserve"> IF(LEN(ChartLines.Hex6)=6, HEX2DEC(MID(ChartLines.Hex6, 3, 2)), "·")</f>
        <v>255</v>
      </c>
      <c r="J274">
        <f t="shared" ref="J274" si="839" xml:space="preserve"> IF(LEN(ChartLines.Hex6)=6, HEX2DEC(RIGHT(ChartLines.Hex6, 2)), "·")</f>
        <v>255</v>
      </c>
      <c r="K274" cm="1">
        <f t="array" ref="K274" xml:space="preserve"> 1 + ROW() - _xlfn.SINGLE(ROW(ChartLines.RowNum))</f>
        <v>272</v>
      </c>
    </row>
    <row r="275" spans="2:11">
      <c r="B275" t="s">
        <v>1937</v>
      </c>
      <c r="C275" t="str">
        <f xml:space="preserve"> "000000"</f>
        <v>000000</v>
      </c>
      <c r="E275">
        <f t="shared" ref="E275" si="840" xml:space="preserve"> IF(AND(LEN(ChartLines.ID)&gt;0,"Unused"&lt;&gt;ChartLines.ID), COUNTIFS(ChartLines.ID,ChartLines.ID), "·")</f>
        <v>2</v>
      </c>
      <c r="F275">
        <f t="shared" ref="F275" si="84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842" xml:space="preserve"> IF(LEN(ChartLines.Hex6)=6, HEX2DEC(LEFT(ChartLines.Hex6, 2)), "·")</f>
        <v>0</v>
      </c>
      <c r="I275">
        <f t="shared" ref="I275" si="843" xml:space="preserve"> IF(LEN(ChartLines.Hex6)=6, HEX2DEC(MID(ChartLines.Hex6, 3, 2)), "·")</f>
        <v>0</v>
      </c>
      <c r="J275">
        <f t="shared" ref="J275" si="844" xml:space="preserve"> IF(LEN(ChartLines.Hex6)=6, HEX2DEC(RIGHT(ChartLines.Hex6, 2)), "·")</f>
        <v>0</v>
      </c>
      <c r="K275" cm="1">
        <f t="array" ref="K275" xml:space="preserve"> 1 + ROW() - _xlfn.SINGLE(ROW(ChartLines.RowNum))</f>
        <v>273</v>
      </c>
    </row>
    <row r="276" spans="2:11">
      <c r="B276" t="s">
        <v>1937</v>
      </c>
      <c r="C276" t="s">
        <v>1840</v>
      </c>
      <c r="E276">
        <f t="shared" ref="E276" si="845" xml:space="preserve"> IF(AND(LEN(ChartLines.ID)&gt;0,"Unused"&lt;&gt;ChartLines.ID), COUNTIFS(ChartLines.ID,ChartLines.ID), "·")</f>
        <v>2</v>
      </c>
      <c r="F276">
        <f t="shared" ref="F276" si="84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847" xml:space="preserve"> IF(LEN(ChartLines.Hex6)=6, HEX2DEC(LEFT(ChartLines.Hex6, 2)), "·")</f>
        <v>255</v>
      </c>
      <c r="I276">
        <f t="shared" ref="I276" si="848" xml:space="preserve"> IF(LEN(ChartLines.Hex6)=6, HEX2DEC(MID(ChartLines.Hex6, 3, 2)), "·")</f>
        <v>255</v>
      </c>
      <c r="J276">
        <f t="shared" ref="J276" si="849" xml:space="preserve"> IF(LEN(ChartLines.Hex6)=6, HEX2DEC(RIGHT(ChartLines.Hex6, 2)), "·")</f>
        <v>255</v>
      </c>
      <c r="K276" cm="1">
        <f t="array" ref="K276" xml:space="preserve"> 1 + ROW() - _xlfn.SINGLE(ROW(ChartLines.RowNum))</f>
        <v>274</v>
      </c>
    </row>
    <row r="277" spans="2:11">
      <c r="B277" t="s">
        <v>560</v>
      </c>
      <c r="C277" t="s">
        <v>1938</v>
      </c>
      <c r="E277">
        <f t="shared" ref="E277" si="850" xml:space="preserve"> IF(AND(LEN(ChartLines.ID)&gt;0,"Unused"&lt;&gt;ChartLines.ID), COUNTIFS(ChartLines.ID,ChartLines.ID), "·")</f>
        <v>2</v>
      </c>
      <c r="F277">
        <f t="shared" ref="F277" si="85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52" xml:space="preserve"> IF(LEN(ChartLines.Hex6)=6, HEX2DEC(LEFT(ChartLines.Hex6, 2)), "·")</f>
        <v>29</v>
      </c>
      <c r="I277">
        <f t="shared" ref="I277" si="853" xml:space="preserve"> IF(LEN(ChartLines.Hex6)=6, HEX2DEC(MID(ChartLines.Hex6, 3, 2)), "·")</f>
        <v>66</v>
      </c>
      <c r="J277">
        <f t="shared" ref="J277" si="854" xml:space="preserve"> IF(LEN(ChartLines.Hex6)=6, HEX2DEC(RIGHT(ChartLines.Hex6, 2)), "·")</f>
        <v>138</v>
      </c>
      <c r="K277" cm="1">
        <f t="array" ref="K277" xml:space="preserve"> 1 + ROW() - _xlfn.SINGLE(ROW(ChartLines.RowNum))</f>
        <v>275</v>
      </c>
    </row>
    <row r="278" spans="2:11">
      <c r="B278" t="s">
        <v>560</v>
      </c>
      <c r="C278" t="s">
        <v>1845</v>
      </c>
      <c r="E278">
        <f t="shared" ref="E278" si="855" xml:space="preserve"> IF(AND(LEN(ChartLines.ID)&gt;0,"Unused"&lt;&gt;ChartLines.ID), COUNTIFS(ChartLines.ID,ChartLines.ID), "·")</f>
        <v>2</v>
      </c>
      <c r="F278">
        <f t="shared" ref="F278" si="85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57" xml:space="preserve"> IF(LEN(ChartLines.Hex6)=6, HEX2DEC(LEFT(ChartLines.Hex6, 2)), "·")</f>
        <v>200</v>
      </c>
      <c r="I278">
        <f t="shared" ref="I278" si="858" xml:space="preserve"> IF(LEN(ChartLines.Hex6)=6, HEX2DEC(MID(ChartLines.Hex6, 3, 2)), "·")</f>
        <v>16</v>
      </c>
      <c r="J278">
        <f t="shared" ref="J278" si="859" xml:space="preserve"> IF(LEN(ChartLines.Hex6)=6, HEX2DEC(RIGHT(ChartLines.Hex6, 2)), "·")</f>
        <v>46</v>
      </c>
      <c r="K278" cm="1">
        <f t="array" ref="K278" xml:space="preserve"> 1 + ROW() - _xlfn.SINGLE(ROW(ChartLines.RowNum))</f>
        <v>276</v>
      </c>
    </row>
    <row r="279" spans="2:11">
      <c r="B279" t="s">
        <v>563</v>
      </c>
      <c r="C279" t="s">
        <v>1867</v>
      </c>
      <c r="E279">
        <f t="shared" ref="E279:E281" si="860" xml:space="preserve"> IF(AND(LEN(ChartLines.ID)&gt;0,"Unused"&lt;&gt;ChartLines.ID), COUNTIFS(ChartLines.ID,ChartLines.ID), "·")</f>
        <v>2</v>
      </c>
      <c r="F279">
        <f t="shared" ref="F279:F281" si="86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H281" si="862" xml:space="preserve"> IF(LEN(ChartLines.Hex6)=6, HEX2DEC(LEFT(ChartLines.Hex6, 2)), "·")</f>
        <v>0</v>
      </c>
      <c r="I279">
        <f t="shared" ref="I279:I281" si="863" xml:space="preserve"> IF(LEN(ChartLines.Hex6)=6, HEX2DEC(MID(ChartLines.Hex6, 3, 2)), "·")</f>
        <v>114</v>
      </c>
      <c r="J279">
        <f t="shared" ref="J279:J281" si="864" xml:space="preserve"> IF(LEN(ChartLines.Hex6)=6, HEX2DEC(RIGHT(ChartLines.Hex6, 2)), "·")</f>
        <v>206</v>
      </c>
      <c r="K279" cm="1">
        <f t="array" ref="K279" xml:space="preserve"> 1 + ROW() - _xlfn.SINGLE(ROW(ChartLines.RowNum))</f>
        <v>277</v>
      </c>
    </row>
    <row r="280" spans="2:11">
      <c r="B280" t="s">
        <v>563</v>
      </c>
      <c r="C280" t="s">
        <v>1846</v>
      </c>
      <c r="E280">
        <f t="shared" ref="E280:E282" si="865" xml:space="preserve"> IF(AND(LEN(ChartLines.ID)&gt;0,"Unused"&lt;&gt;ChartLines.ID), COUNTIFS(ChartLines.ID,ChartLines.ID), "·")</f>
        <v>2</v>
      </c>
      <c r="F280">
        <f t="shared" ref="F280:F282" si="86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H282" si="867" xml:space="preserve"> IF(LEN(ChartLines.Hex6)=6, HEX2DEC(LEFT(ChartLines.Hex6, 2)), "·")</f>
        <v>255</v>
      </c>
      <c r="I280">
        <f t="shared" ref="I280:I282" si="868" xml:space="preserve"> IF(LEN(ChartLines.Hex6)=6, HEX2DEC(MID(ChartLines.Hex6, 3, 2)), "·")</f>
        <v>209</v>
      </c>
      <c r="J280">
        <f t="shared" ref="J280:J282" si="869" xml:space="preserve"> IF(LEN(ChartLines.Hex6)=6, HEX2DEC(RIGHT(ChartLines.Hex6, 2)), "·")</f>
        <v>0</v>
      </c>
      <c r="K280" cm="1">
        <f t="array" ref="K280" xml:space="preserve"> 1 + ROW() - _xlfn.SINGLE(ROW(ChartLines.RowNum))</f>
        <v>278</v>
      </c>
    </row>
    <row r="281" spans="2:11">
      <c r="B281" t="s">
        <v>2315</v>
      </c>
      <c r="C281" t="s">
        <v>2412</v>
      </c>
      <c r="E281">
        <f t="shared" si="860"/>
        <v>2</v>
      </c>
      <c r="F281">
        <f t="shared" si="861"/>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si="862"/>
        <v>42</v>
      </c>
      <c r="I281">
        <f t="shared" si="863"/>
        <v>147</v>
      </c>
      <c r="J281">
        <f t="shared" si="864"/>
        <v>106</v>
      </c>
      <c r="K281" cm="1">
        <f t="array" ref="K281" xml:space="preserve"> 1 + ROW() - _xlfn.SINGLE(ROW(ChartLines.RowNum))</f>
        <v>279</v>
      </c>
    </row>
    <row r="282" spans="2:11">
      <c r="B282" t="s">
        <v>2315</v>
      </c>
      <c r="C282" t="s">
        <v>2413</v>
      </c>
      <c r="E282">
        <f t="shared" si="865"/>
        <v>2</v>
      </c>
      <c r="F282">
        <f t="shared" si="866"/>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si="867"/>
        <v>190</v>
      </c>
      <c r="I282">
        <f t="shared" si="868"/>
        <v>30</v>
      </c>
      <c r="J282">
        <f t="shared" si="869"/>
        <v>45</v>
      </c>
      <c r="K282" cm="1">
        <f t="array" ref="K282" xml:space="preserve"> 1 + ROW() - _xlfn.SINGLE(ROW(ChartLines.RowNum))</f>
        <v>280</v>
      </c>
    </row>
    <row r="283" spans="2:11">
      <c r="B283" t="s">
        <v>2310</v>
      </c>
      <c r="C283" t="s">
        <v>1939</v>
      </c>
      <c r="E283">
        <f t="shared" ref="E283" si="870" xml:space="preserve"> IF(AND(LEN(ChartLines.ID)&gt;0,"Unused"&lt;&gt;ChartLines.ID), COUNTIFS(ChartLines.ID,ChartLines.ID), "·")</f>
        <v>2</v>
      </c>
      <c r="F283">
        <f t="shared" ref="F283" si="87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72" xml:space="preserve"> IF(LEN(ChartLines.Hex6)=6, HEX2DEC(LEFT(ChartLines.Hex6, 2)), "·")</f>
        <v>252</v>
      </c>
      <c r="I283">
        <f t="shared" ref="I283" si="873" xml:space="preserve"> IF(LEN(ChartLines.Hex6)=6, HEX2DEC(MID(ChartLines.Hex6, 3, 2)), "·")</f>
        <v>227</v>
      </c>
      <c r="J283">
        <f t="shared" ref="J283" si="874" xml:space="preserve"> IF(LEN(ChartLines.Hex6)=6, HEX2DEC(RIGHT(ChartLines.Hex6, 2)), "·")</f>
        <v>0</v>
      </c>
      <c r="K283" cm="1">
        <f t="array" ref="K283" xml:space="preserve"> 1 + ROW() - _xlfn.SINGLE(ROW(ChartLines.RowNum))</f>
        <v>281</v>
      </c>
    </row>
    <row r="284" spans="2:11">
      <c r="B284" t="s">
        <v>2310</v>
      </c>
      <c r="C284" t="s">
        <v>1853</v>
      </c>
      <c r="E284">
        <f t="shared" ref="E284" si="875" xml:space="preserve"> IF(AND(LEN(ChartLines.ID)&gt;0,"Unused"&lt;&gt;ChartLines.ID), COUNTIFS(ChartLines.ID,ChartLines.ID), "·")</f>
        <v>2</v>
      </c>
      <c r="F284">
        <f t="shared" ref="F284" si="87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77" xml:space="preserve"> IF(LEN(ChartLines.Hex6)=6, HEX2DEC(LEFT(ChartLines.Hex6, 2)), "·")</f>
        <v>0</v>
      </c>
      <c r="I284">
        <f t="shared" ref="I284" si="878" xml:space="preserve"> IF(LEN(ChartLines.Hex6)=6, HEX2DEC(MID(ChartLines.Hex6, 3, 2)), "·")</f>
        <v>61</v>
      </c>
      <c r="J284">
        <f t="shared" ref="J284" si="879" xml:space="preserve"> IF(LEN(ChartLines.Hex6)=6, HEX2DEC(RIGHT(ChartLines.Hex6, 2)), "·")</f>
        <v>165</v>
      </c>
      <c r="K284" cm="1">
        <f t="array" ref="K284" xml:space="preserve"> 1 + ROW() - _xlfn.SINGLE(ROW(ChartLines.RowNum))</f>
        <v>282</v>
      </c>
    </row>
    <row r="285" spans="2:11">
      <c r="B285" t="s">
        <v>169</v>
      </c>
      <c r="C285" t="s">
        <v>1924</v>
      </c>
      <c r="E285">
        <f t="shared" ref="E285:E289" si="880" xml:space="preserve"> IF(AND(LEN(ChartLines.ID)&gt;0,"Unused"&lt;&gt;ChartLines.ID), COUNTIFS(ChartLines.ID,ChartLines.ID), "·")</f>
        <v>2</v>
      </c>
      <c r="F285">
        <f t="shared" ref="F285:F289" si="88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H289" si="882" xml:space="preserve"> IF(LEN(ChartLines.Hex6)=6, HEX2DEC(LEFT(ChartLines.Hex6, 2)), "·")</f>
        <v>0</v>
      </c>
      <c r="I285">
        <f t="shared" ref="I285:I289" si="883" xml:space="preserve"> IF(LEN(ChartLines.Hex6)=6, HEX2DEC(MID(ChartLines.Hex6, 3, 2)), "·")</f>
        <v>94</v>
      </c>
      <c r="J285">
        <f t="shared" ref="J285:J289" si="884" xml:space="preserve"> IF(LEN(ChartLines.Hex6)=6, HEX2DEC(RIGHT(ChartLines.Hex6, 2)), "·")</f>
        <v>184</v>
      </c>
      <c r="K285" cm="1">
        <f t="array" ref="K285" xml:space="preserve"> 1 + ROW() - _xlfn.SINGLE(ROW(ChartLines.RowNum))</f>
        <v>283</v>
      </c>
    </row>
    <row r="286" spans="2:11">
      <c r="B286" t="s">
        <v>169</v>
      </c>
      <c r="C286" t="s">
        <v>1840</v>
      </c>
      <c r="E286">
        <f t="shared" ref="E286:E290" si="885" xml:space="preserve"> IF(AND(LEN(ChartLines.ID)&gt;0,"Unused"&lt;&gt;ChartLines.ID), COUNTIFS(ChartLines.ID,ChartLines.ID), "·")</f>
        <v>2</v>
      </c>
      <c r="F286">
        <f t="shared" ref="F286:F290" si="88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H290" si="887" xml:space="preserve"> IF(LEN(ChartLines.Hex6)=6, HEX2DEC(LEFT(ChartLines.Hex6, 2)), "·")</f>
        <v>255</v>
      </c>
      <c r="I286">
        <f t="shared" ref="I286:I290" si="888" xml:space="preserve"> IF(LEN(ChartLines.Hex6)=6, HEX2DEC(MID(ChartLines.Hex6, 3, 2)), "·")</f>
        <v>255</v>
      </c>
      <c r="J286">
        <f t="shared" ref="J286:J290" si="889" xml:space="preserve"> IF(LEN(ChartLines.Hex6)=6, HEX2DEC(RIGHT(ChartLines.Hex6, 2)), "·")</f>
        <v>255</v>
      </c>
      <c r="K286" cm="1">
        <f t="array" ref="K286" xml:space="preserve"> 1 + ROW() - _xlfn.SINGLE(ROW(ChartLines.RowNum))</f>
        <v>284</v>
      </c>
    </row>
    <row r="287" spans="2:11">
      <c r="B287" t="s">
        <v>2358</v>
      </c>
      <c r="C287" t="str">
        <f xml:space="preserve"> "000000"</f>
        <v>000000</v>
      </c>
      <c r="E287">
        <f t="shared" si="880"/>
        <v>2</v>
      </c>
      <c r="F287">
        <f t="shared" si="881"/>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si="882"/>
        <v>0</v>
      </c>
      <c r="I287">
        <f t="shared" si="883"/>
        <v>0</v>
      </c>
      <c r="J287">
        <f t="shared" si="884"/>
        <v>0</v>
      </c>
      <c r="K287" cm="1">
        <f t="array" ref="K287" xml:space="preserve"> 1 + ROW() - _xlfn.SINGLE(ROW(ChartLines.RowNum))</f>
        <v>285</v>
      </c>
    </row>
    <row r="288" spans="2:11">
      <c r="B288" t="s">
        <v>2358</v>
      </c>
      <c r="C288" t="s">
        <v>1858</v>
      </c>
      <c r="E288">
        <f t="shared" si="885"/>
        <v>2</v>
      </c>
      <c r="F288">
        <f t="shared" si="886"/>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si="887"/>
        <v>218</v>
      </c>
      <c r="I288">
        <f t="shared" si="888"/>
        <v>41</v>
      </c>
      <c r="J288">
        <f t="shared" si="889"/>
        <v>28</v>
      </c>
      <c r="K288" cm="1">
        <f t="array" ref="K288" xml:space="preserve"> 1 + ROW() - _xlfn.SINGLE(ROW(ChartLines.RowNum))</f>
        <v>286</v>
      </c>
    </row>
    <row r="289" spans="2:11">
      <c r="B289" t="s">
        <v>2378</v>
      </c>
      <c r="C289" t="s">
        <v>2404</v>
      </c>
      <c r="E289">
        <f t="shared" si="880"/>
        <v>2</v>
      </c>
      <c r="F289">
        <f t="shared" si="881"/>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si="882"/>
        <v>73</v>
      </c>
      <c r="I289">
        <f t="shared" si="883"/>
        <v>151</v>
      </c>
      <c r="J289">
        <f t="shared" si="884"/>
        <v>208</v>
      </c>
      <c r="K289" cm="1">
        <f t="array" ref="K289" xml:space="preserve"> 1 + ROW() - _xlfn.SINGLE(ROW(ChartLines.RowNum))</f>
        <v>287</v>
      </c>
    </row>
    <row r="290" spans="2:11">
      <c r="B290" t="s">
        <v>2378</v>
      </c>
      <c r="C290" t="s">
        <v>1840</v>
      </c>
      <c r="E290">
        <f t="shared" si="885"/>
        <v>2</v>
      </c>
      <c r="F290">
        <f t="shared" si="886"/>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si="887"/>
        <v>255</v>
      </c>
      <c r="I290">
        <f t="shared" si="888"/>
        <v>255</v>
      </c>
      <c r="J290">
        <f t="shared" si="889"/>
        <v>255</v>
      </c>
      <c r="K290" cm="1">
        <f t="array" ref="K290" xml:space="preserve"> 1 + ROW() - _xlfn.SINGLE(ROW(ChartLines.RowNum))</f>
        <v>288</v>
      </c>
    </row>
    <row r="291" spans="2:11">
      <c r="B291" t="s">
        <v>1708</v>
      </c>
      <c r="C291" t="str">
        <f xml:space="preserve"> "072357"</f>
        <v>072357</v>
      </c>
      <c r="E291">
        <f t="shared" ref="E291" si="890" xml:space="preserve"> IF(AND(LEN(ChartLines.ID)&gt;0,"Unused"&lt;&gt;ChartLines.ID), COUNTIFS(ChartLines.ID,ChartLines.ID), "·")</f>
        <v>2</v>
      </c>
      <c r="F291">
        <f t="shared" ref="F291" si="891"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ref="H291" si="892" xml:space="preserve"> IF(LEN(ChartLines.Hex6)=6, HEX2DEC(LEFT(ChartLines.Hex6, 2)), "·")</f>
        <v>7</v>
      </c>
      <c r="I291">
        <f t="shared" ref="I291" si="893" xml:space="preserve"> IF(LEN(ChartLines.Hex6)=6, HEX2DEC(MID(ChartLines.Hex6, 3, 2)), "·")</f>
        <v>35</v>
      </c>
      <c r="J291">
        <f t="shared" ref="J291" si="894" xml:space="preserve"> IF(LEN(ChartLines.Hex6)=6, HEX2DEC(RIGHT(ChartLines.Hex6, 2)), "·")</f>
        <v>87</v>
      </c>
      <c r="K291" cm="1">
        <f t="array" ref="K291" xml:space="preserve"> 1 + ROW() - _xlfn.SINGLE(ROW(ChartLines.RowNum))</f>
        <v>289</v>
      </c>
    </row>
    <row r="292" spans="2:11">
      <c r="B292" t="s">
        <v>1708</v>
      </c>
      <c r="C292" t="s">
        <v>1940</v>
      </c>
      <c r="E292">
        <f t="shared" ref="E292" si="895" xml:space="preserve"> IF(AND(LEN(ChartLines.ID)&gt;0,"Unused"&lt;&gt;ChartLines.ID), COUNTIFS(ChartLines.ID,ChartLines.ID), "·")</f>
        <v>2</v>
      </c>
      <c r="F292">
        <f t="shared" ref="F292" si="896"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ref="H292" si="897" xml:space="preserve"> IF(LEN(ChartLines.Hex6)=6, HEX2DEC(LEFT(ChartLines.Hex6, 2)), "·")</f>
        <v>218</v>
      </c>
      <c r="I292">
        <f t="shared" ref="I292" si="898" xml:space="preserve"> IF(LEN(ChartLines.Hex6)=6, HEX2DEC(MID(ChartLines.Hex6, 3, 2)), "·")</f>
        <v>18</v>
      </c>
      <c r="J292">
        <f t="shared" ref="J292" si="899" xml:space="preserve"> IF(LEN(ChartLines.Hex6)=6, HEX2DEC(RIGHT(ChartLines.Hex6, 2)), "·")</f>
        <v>26</v>
      </c>
      <c r="K292" cm="1">
        <f t="array" ref="K292" xml:space="preserve"> 1 + ROW() - _xlfn.SINGLE(ROW(ChartLines.RowNum))</f>
        <v>290</v>
      </c>
    </row>
    <row r="293" spans="2:11">
      <c r="B293" t="s">
        <v>578</v>
      </c>
      <c r="C293" t="str">
        <f xml:space="preserve"> "002D62"</f>
        <v>002D62</v>
      </c>
      <c r="E293">
        <f t="shared" ref="E293" si="900" xml:space="preserve"> IF(AND(LEN(ChartLines.ID)&gt;0,"Unused"&lt;&gt;ChartLines.ID), COUNTIFS(ChartLines.ID,ChartLines.ID), "·")</f>
        <v>2</v>
      </c>
      <c r="F293">
        <f t="shared" ref="F293" si="90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902" xml:space="preserve"> IF(LEN(ChartLines.Hex6)=6, HEX2DEC(LEFT(ChartLines.Hex6, 2)), "·")</f>
        <v>0</v>
      </c>
      <c r="I293">
        <f t="shared" ref="I293" si="903" xml:space="preserve"> IF(LEN(ChartLines.Hex6)=6, HEX2DEC(MID(ChartLines.Hex6, 3, 2)), "·")</f>
        <v>45</v>
      </c>
      <c r="J293">
        <f t="shared" ref="J293" si="904" xml:space="preserve"> IF(LEN(ChartLines.Hex6)=6, HEX2DEC(RIGHT(ChartLines.Hex6, 2)), "·")</f>
        <v>98</v>
      </c>
      <c r="K293" cm="1">
        <f t="array" ref="K293" xml:space="preserve"> 1 + ROW() - _xlfn.SINGLE(ROW(ChartLines.RowNum))</f>
        <v>291</v>
      </c>
    </row>
    <row r="294" spans="2:11">
      <c r="B294" t="s">
        <v>578</v>
      </c>
      <c r="C294" t="s">
        <v>1918</v>
      </c>
      <c r="E294">
        <f t="shared" ref="E294" si="905" xml:space="preserve"> IF(AND(LEN(ChartLines.ID)&gt;0,"Unused"&lt;&gt;ChartLines.ID), COUNTIFS(ChartLines.ID,ChartLines.ID), "·")</f>
        <v>2</v>
      </c>
      <c r="F294">
        <f t="shared" ref="F294" si="90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907" xml:space="preserve"> IF(LEN(ChartLines.Hex6)=6, HEX2DEC(LEFT(ChartLines.Hex6, 2)), "·")</f>
        <v>206</v>
      </c>
      <c r="I294">
        <f t="shared" ref="I294" si="908" xml:space="preserve"> IF(LEN(ChartLines.Hex6)=6, HEX2DEC(MID(ChartLines.Hex6, 3, 2)), "·")</f>
        <v>17</v>
      </c>
      <c r="J294">
        <f t="shared" ref="J294" si="909" xml:space="preserve"> IF(LEN(ChartLines.Hex6)=6, HEX2DEC(RIGHT(ChartLines.Hex6, 2)), "·")</f>
        <v>38</v>
      </c>
      <c r="K294" cm="1">
        <f t="array" ref="K294" xml:space="preserve"> 1 + ROW() - _xlfn.SINGLE(ROW(ChartLines.RowNum))</f>
        <v>292</v>
      </c>
    </row>
    <row r="295" spans="2:11">
      <c r="B295" t="s">
        <v>579</v>
      </c>
      <c r="C295" t="str">
        <f xml:space="preserve"> "C8102E"</f>
        <v>C8102E</v>
      </c>
      <c r="E295">
        <f t="shared" ref="E295" si="910" xml:space="preserve"> IF(AND(LEN(ChartLines.ID)&gt;0,"Unused"&lt;&gt;ChartLines.ID), COUNTIFS(ChartLines.ID,ChartLines.ID), "·")</f>
        <v>2</v>
      </c>
      <c r="F295">
        <f t="shared" ref="F295" si="91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 si="912" xml:space="preserve"> IF(LEN(ChartLines.Hex6)=6, HEX2DEC(LEFT(ChartLines.Hex6, 2)), "·")</f>
        <v>200</v>
      </c>
      <c r="I295">
        <f t="shared" ref="I295" si="913" xml:space="preserve"> IF(LEN(ChartLines.Hex6)=6, HEX2DEC(MID(ChartLines.Hex6, 3, 2)), "·")</f>
        <v>16</v>
      </c>
      <c r="J295">
        <f t="shared" ref="J295" si="914" xml:space="preserve"> IF(LEN(ChartLines.Hex6)=6, HEX2DEC(RIGHT(ChartLines.Hex6, 2)), "·")</f>
        <v>46</v>
      </c>
      <c r="K295" cm="1">
        <f t="array" ref="K295" xml:space="preserve"> 1 + ROW() - _xlfn.SINGLE(ROW(ChartLines.RowNum))</f>
        <v>293</v>
      </c>
    </row>
    <row r="296" spans="2:11">
      <c r="B296" t="s">
        <v>579</v>
      </c>
      <c r="C296" t="str">
        <f xml:space="preserve"> "000000"</f>
        <v>000000</v>
      </c>
      <c r="E296">
        <f t="shared" ref="E296" si="915" xml:space="preserve"> IF(AND(LEN(ChartLines.ID)&gt;0,"Unused"&lt;&gt;ChartLines.ID), COUNTIFS(ChartLines.ID,ChartLines.ID), "·")</f>
        <v>2</v>
      </c>
      <c r="F296">
        <f t="shared" ref="F296" si="91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 si="917" xml:space="preserve"> IF(LEN(ChartLines.Hex6)=6, HEX2DEC(LEFT(ChartLines.Hex6, 2)), "·")</f>
        <v>0</v>
      </c>
      <c r="I296">
        <f t="shared" ref="I296" si="918" xml:space="preserve"> IF(LEN(ChartLines.Hex6)=6, HEX2DEC(MID(ChartLines.Hex6, 3, 2)), "·")</f>
        <v>0</v>
      </c>
      <c r="J296">
        <f t="shared" ref="J296" si="919" xml:space="preserve"> IF(LEN(ChartLines.Hex6)=6, HEX2DEC(RIGHT(ChartLines.Hex6, 2)), "·")</f>
        <v>0</v>
      </c>
      <c r="K296" cm="1">
        <f t="array" ref="K296" xml:space="preserve"> 1 + ROW() - _xlfn.SINGLE(ROW(ChartLines.RowNum))</f>
        <v>294</v>
      </c>
    </row>
    <row r="297" spans="2:11">
      <c r="B297" t="s">
        <v>580</v>
      </c>
      <c r="C297" t="str">
        <f xml:space="preserve"> "009639"</f>
        <v>009639</v>
      </c>
      <c r="E297">
        <f t="shared" ref="E297" si="920" xml:space="preserve"> IF(AND(LEN(ChartLines.ID)&gt;0,"Unused"&lt;&gt;ChartLines.ID), COUNTIFS(ChartLines.ID,ChartLines.ID), "·")</f>
        <v>2</v>
      </c>
      <c r="F297">
        <f t="shared" ref="F297" si="921"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ref="H297" si="922" xml:space="preserve"> IF(LEN(ChartLines.Hex6)=6, HEX2DEC(LEFT(ChartLines.Hex6, 2)), "·")</f>
        <v>0</v>
      </c>
      <c r="I297">
        <f t="shared" ref="I297" si="923" xml:space="preserve"> IF(LEN(ChartLines.Hex6)=6, HEX2DEC(MID(ChartLines.Hex6, 3, 2)), "·")</f>
        <v>150</v>
      </c>
      <c r="J297">
        <f t="shared" ref="J297" si="924" xml:space="preserve"> IF(LEN(ChartLines.Hex6)=6, HEX2DEC(RIGHT(ChartLines.Hex6, 2)), "·")</f>
        <v>57</v>
      </c>
      <c r="K297" cm="1">
        <f t="array" ref="K297" xml:space="preserve"> 1 + ROW() - _xlfn.SINGLE(ROW(ChartLines.RowNum))</f>
        <v>295</v>
      </c>
    </row>
    <row r="298" spans="2:11">
      <c r="B298" t="s">
        <v>580</v>
      </c>
      <c r="C298" t="str">
        <f xml:space="preserve"> "000000"</f>
        <v>000000</v>
      </c>
      <c r="E298">
        <f t="shared" ref="E298" si="925" xml:space="preserve"> IF(AND(LEN(ChartLines.ID)&gt;0,"Unused"&lt;&gt;ChartLines.ID), COUNTIFS(ChartLines.ID,ChartLines.ID), "·")</f>
        <v>2</v>
      </c>
      <c r="F298">
        <f t="shared" ref="F298" si="926"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ref="H298" si="927" xml:space="preserve"> IF(LEN(ChartLines.Hex6)=6, HEX2DEC(LEFT(ChartLines.Hex6, 2)), "·")</f>
        <v>0</v>
      </c>
      <c r="I298">
        <f t="shared" ref="I298" si="928" xml:space="preserve"> IF(LEN(ChartLines.Hex6)=6, HEX2DEC(MID(ChartLines.Hex6, 3, 2)), "·")</f>
        <v>0</v>
      </c>
      <c r="J298">
        <f t="shared" ref="J298" si="929" xml:space="preserve"> IF(LEN(ChartLines.Hex6)=6, HEX2DEC(RIGHT(ChartLines.Hex6, 2)), "·")</f>
        <v>0</v>
      </c>
      <c r="K298" cm="1">
        <f t="array" ref="K298" xml:space="preserve"> 1 + ROW() - _xlfn.SINGLE(ROW(ChartLines.RowNum))</f>
        <v>296</v>
      </c>
    </row>
    <row r="299" spans="2:11">
      <c r="B299" t="s">
        <v>1777</v>
      </c>
      <c r="C299" t="s">
        <v>1941</v>
      </c>
      <c r="E299">
        <f t="shared" ref="E299" si="930" xml:space="preserve"> IF(AND(LEN(ChartLines.ID)&gt;0,"Unused"&lt;&gt;ChartLines.ID), COUNTIFS(ChartLines.ID,ChartLines.ID), "·")</f>
        <v>2</v>
      </c>
      <c r="F299">
        <f t="shared" ref="F299" si="931" xml:space="preserve"> IF(AND(LEN(ChartLines.ID)&gt;0,"Unused"&lt;&gt;ChartLines.ID), COUNTIFS(ChartLines.ID,ChartLines.ID,   ChartLines.RowNum,"&lt;="&amp;ChartLines.RowNum), "·")</f>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ref="H299" si="932" xml:space="preserve"> IF(LEN(ChartLines.Hex6)=6, HEX2DEC(LEFT(ChartLines.Hex6, 2)), "·")</f>
        <v>255</v>
      </c>
      <c r="I299">
        <f t="shared" ref="I299" si="933" xml:space="preserve"> IF(LEN(ChartLines.Hex6)=6, HEX2DEC(MID(ChartLines.Hex6, 3, 2)), "·")</f>
        <v>199</v>
      </c>
      <c r="J299">
        <f t="shared" ref="J299" si="934" xml:space="preserve"> IF(LEN(ChartLines.Hex6)=6, HEX2DEC(RIGHT(ChartLines.Hex6, 2)), "·")</f>
        <v>44</v>
      </c>
      <c r="K299" cm="1">
        <f t="array" ref="K299" xml:space="preserve"> 1 + ROW() - _xlfn.SINGLE(ROW(ChartLines.RowNum))</f>
        <v>297</v>
      </c>
    </row>
    <row r="300" spans="2:11">
      <c r="B300" t="s">
        <v>1777</v>
      </c>
      <c r="C300" t="str">
        <f xml:space="preserve"> "00778B"</f>
        <v>00778B</v>
      </c>
      <c r="E300">
        <f t="shared" ref="E300" si="935" xml:space="preserve"> IF(AND(LEN(ChartLines.ID)&gt;0,"Unused"&lt;&gt;ChartLines.ID), COUNTIFS(ChartLines.ID,ChartLines.ID), "·")</f>
        <v>2</v>
      </c>
      <c r="F300">
        <f t="shared" ref="F300" si="936" xml:space="preserve"> IF(AND(LEN(ChartLines.ID)&gt;0,"Unused"&lt;&gt;ChartLines.ID), COUNTIFS(ChartLines.ID,ChartLines.ID,   ChartLines.RowNum,"&lt;="&amp;ChartLines.RowNum), "·")</f>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ref="H300" si="937" xml:space="preserve"> IF(LEN(ChartLines.Hex6)=6, HEX2DEC(LEFT(ChartLines.Hex6, 2)), "·")</f>
        <v>0</v>
      </c>
      <c r="I300">
        <f t="shared" ref="I300" si="938" xml:space="preserve"> IF(LEN(ChartLines.Hex6)=6, HEX2DEC(MID(ChartLines.Hex6, 3, 2)), "·")</f>
        <v>119</v>
      </c>
      <c r="J300">
        <f t="shared" ref="J300" si="939" xml:space="preserve"> IF(LEN(ChartLines.Hex6)=6, HEX2DEC(RIGHT(ChartLines.Hex6, 2)), "·")</f>
        <v>139</v>
      </c>
      <c r="K300" cm="1">
        <f t="array" ref="K300" xml:space="preserve"> 1 + ROW() - _xlfn.SINGLE(ROW(ChartLines.RowNum))</f>
        <v>298</v>
      </c>
    </row>
    <row r="301" spans="2:11">
      <c r="E301" t="str">
        <f t="shared" ref="E301" si="940" xml:space="preserve"> IF(AND(LEN(ChartLines.ID)&gt;0,"Unused"&lt;&gt;ChartLines.ID), COUNTIFS(ChartLines.ID,ChartLines.ID), "·")</f>
        <v>·</v>
      </c>
      <c r="F301" t="str">
        <f t="shared" ref="F301" si="941" xml:space="preserve"> IF(AND(LEN(ChartLines.ID)&gt;0,"Unused"&lt;&gt;ChartLines.ID), COUNTIFS(ChartLines.ID,ChartLines.ID,   ChartLines.RowNum,"&lt;="&amp;ChartLines.RowNum), "·")</f>
        <v>·</v>
      </c>
      <c r="G301" t="str" cm="1">
        <f t="array" ref="G301" xml:space="preserve"> _xlfn.IFS(OR(LEN(_xlfn.SINGLE(ChartLines.ID))=0,"Unused"=_xlfn.SINGLE(ChartLines.ID)), "·",   1=_xlfn.SINGLE(ChartLines.NumInstances), IF("USD"=_xlfn.SINGLE(ChartLines.ID), "SoleBig", "SoleOrdinary"),   1=_xlfn.SINGLE(ChartLines.InstanceNum), "Outer",   TRUE, "Inner")</f>
        <v>·</v>
      </c>
      <c r="H301" t="str">
        <f t="shared" ref="H301" si="942" xml:space="preserve"> IF(LEN(ChartLines.Hex6)=6, HEX2DEC(LEFT(ChartLines.Hex6, 2)), "·")</f>
        <v>·</v>
      </c>
      <c r="I301" t="str">
        <f t="shared" ref="I301" si="943" xml:space="preserve"> IF(LEN(ChartLines.Hex6)=6, HEX2DEC(MID(ChartLines.Hex6, 3, 2)), "·")</f>
        <v>·</v>
      </c>
      <c r="J301" t="str">
        <f t="shared" ref="J301" si="944" xml:space="preserve"> IF(LEN(ChartLines.Hex6)=6, HEX2DEC(RIGHT(ChartLines.Hex6, 2)), "·")</f>
        <v>·</v>
      </c>
      <c r="K301" cm="1">
        <f t="array" ref="K301" xml:space="preserve"> 1 + ROW() - _xlfn.SINGLE(ROW(ChartLines.RowNum))</f>
        <v>299</v>
      </c>
    </row>
    <row r="302" spans="2:11">
      <c r="B302" t="s">
        <v>172</v>
      </c>
      <c r="C302" t="str">
        <f xml:space="preserve"> "003399"</f>
        <v>003399</v>
      </c>
      <c r="E302">
        <f t="shared" ref="E302" si="945" xml:space="preserve"> IF(AND(LEN(ChartLines.ID)&gt;0,"Unused"&lt;&gt;ChartLines.ID), COUNTIFS(ChartLines.ID,ChartLines.ID), "·")</f>
        <v>2</v>
      </c>
      <c r="F302">
        <f t="shared" ref="F302" si="946" xml:space="preserve"> IF(AND(LEN(ChartLines.ID)&gt;0,"Unused"&lt;&gt;ChartLines.ID), COUNTIFS(ChartLines.ID,ChartLines.ID,   ChartLines.RowNum,"&lt;="&amp;ChartLines.RowNum), "·")</f>
        <v>1</v>
      </c>
      <c r="G302" t="str" cm="1">
        <f t="array" ref="G302" xml:space="preserve"> _xlfn.IFS(OR(LEN(_xlfn.SINGLE(ChartLines.ID))=0,"Unused"=_xlfn.SINGLE(ChartLines.ID)), "·",   1=_xlfn.SINGLE(ChartLines.NumInstances), IF("USD"=_xlfn.SINGLE(ChartLines.ID), "SoleBig", "SoleOrdinary"),   1=_xlfn.SINGLE(ChartLines.InstanceNum), "Outer",   TRUE, "Inner")</f>
        <v>Outer</v>
      </c>
      <c r="H302">
        <f t="shared" ref="H302" si="947" xml:space="preserve"> IF(LEN(ChartLines.Hex6)=6, HEX2DEC(LEFT(ChartLines.Hex6, 2)), "·")</f>
        <v>0</v>
      </c>
      <c r="I302">
        <f t="shared" ref="I302" si="948" xml:space="preserve"> IF(LEN(ChartLines.Hex6)=6, HEX2DEC(MID(ChartLines.Hex6, 3, 2)), "·")</f>
        <v>51</v>
      </c>
      <c r="J302">
        <f t="shared" ref="J302" si="949" xml:space="preserve"> IF(LEN(ChartLines.Hex6)=6, HEX2DEC(RIGHT(ChartLines.Hex6, 2)), "·")</f>
        <v>153</v>
      </c>
      <c r="K302" cm="1">
        <f t="array" ref="K302" xml:space="preserve"> 1 + ROW() - _xlfn.SINGLE(ROW(ChartLines.RowNum))</f>
        <v>300</v>
      </c>
    </row>
    <row r="303" spans="2:11">
      <c r="B303" t="s">
        <v>172</v>
      </c>
      <c r="C303" t="s">
        <v>2446</v>
      </c>
      <c r="E303">
        <f t="shared" ref="E303" si="950" xml:space="preserve"> IF(AND(LEN(ChartLines.ID)&gt;0,"Unused"&lt;&gt;ChartLines.ID), COUNTIFS(ChartLines.ID,ChartLines.ID), "·")</f>
        <v>2</v>
      </c>
      <c r="F303">
        <f t="shared" ref="F303" si="951" xml:space="preserve"> IF(AND(LEN(ChartLines.ID)&gt;0,"Unused"&lt;&gt;ChartLines.ID), COUNTIFS(ChartLines.ID,ChartLines.ID,   ChartLines.RowNum,"&lt;="&amp;ChartLines.RowNum), "·")</f>
        <v>2</v>
      </c>
      <c r="G303" t="str" cm="1">
        <f t="array" ref="G303" xml:space="preserve"> _xlfn.IFS(OR(LEN(_xlfn.SINGLE(ChartLines.ID))=0,"Unused"=_xlfn.SINGLE(ChartLines.ID)), "·",   1=_xlfn.SINGLE(ChartLines.NumInstances), IF("USD"=_xlfn.SINGLE(ChartLines.ID), "SoleBig", "SoleOrdinary"),   1=_xlfn.SINGLE(ChartLines.InstanceNum), "Outer",   TRUE, "Inner")</f>
        <v>Inner</v>
      </c>
      <c r="H303">
        <f t="shared" ref="H303" si="952" xml:space="preserve"> IF(LEN(ChartLines.Hex6)=6, HEX2DEC(LEFT(ChartLines.Hex6, 2)), "·")</f>
        <v>157</v>
      </c>
      <c r="I303">
        <f t="shared" ref="I303" si="953" xml:space="preserve"> IF(LEN(ChartLines.Hex6)=6, HEX2DEC(MID(ChartLines.Hex6, 3, 2)), "·")</f>
        <v>157</v>
      </c>
      <c r="J303">
        <f t="shared" ref="J303" si="954" xml:space="preserve"> IF(LEN(ChartLines.Hex6)=6, HEX2DEC(RIGHT(ChartLines.Hex6, 2)), "·")</f>
        <v>156</v>
      </c>
      <c r="K303" cm="1">
        <f t="array" ref="K303" xml:space="preserve"> 1 + ROW() - _xlfn.SINGLE(ROW(ChartLines.RowNum))</f>
        <v>301</v>
      </c>
    </row>
    <row r="304" spans="2:11">
      <c r="B304" t="s">
        <v>971</v>
      </c>
      <c r="C304" t="str">
        <f xml:space="preserve"> "0A6AAA"</f>
        <v>0A6AAA</v>
      </c>
      <c r="E304">
        <f t="shared" ref="E304" si="955" xml:space="preserve"> IF(AND(LEN(ChartLines.ID)&gt;0,"Unused"&lt;&gt;ChartLines.ID), COUNTIFS(ChartLines.ID,ChartLines.ID), "·")</f>
        <v>2</v>
      </c>
      <c r="F304">
        <f t="shared" ref="F304" si="956" xml:space="preserve"> IF(AND(LEN(ChartLines.ID)&gt;0,"Unused"&lt;&gt;ChartLines.ID), COUNTIFS(ChartLines.ID,ChartLines.ID,   ChartLines.RowNum,"&lt;="&amp;ChartLines.RowNum), "·")</f>
        <v>1</v>
      </c>
      <c r="G304" t="str" cm="1">
        <f t="array" ref="G304" xml:space="preserve"> _xlfn.IFS(OR(LEN(_xlfn.SINGLE(ChartLines.ID))=0,"Unused"=_xlfn.SINGLE(ChartLines.ID)), "·",   1=_xlfn.SINGLE(ChartLines.NumInstances), IF("USD"=_xlfn.SINGLE(ChartLines.ID), "SoleBig", "SoleOrdinary"),   1=_xlfn.SINGLE(ChartLines.InstanceNum), "Outer",   TRUE, "Inner")</f>
        <v>Outer</v>
      </c>
      <c r="H304">
        <f t="shared" ref="H304" si="957" xml:space="preserve"> IF(LEN(ChartLines.Hex6)=6, HEX2DEC(LEFT(ChartLines.Hex6, 2)), "·")</f>
        <v>10</v>
      </c>
      <c r="I304">
        <f t="shared" ref="I304" si="958" xml:space="preserve"> IF(LEN(ChartLines.Hex6)=6, HEX2DEC(MID(ChartLines.Hex6, 3, 2)), "·")</f>
        <v>106</v>
      </c>
      <c r="J304">
        <f t="shared" ref="J304" si="959" xml:space="preserve"> IF(LEN(ChartLines.Hex6)=6, HEX2DEC(RIGHT(ChartLines.Hex6, 2)), "·")</f>
        <v>170</v>
      </c>
      <c r="K304" cm="1">
        <f t="array" ref="K304" xml:space="preserve"> 1 + ROW() - _xlfn.SINGLE(ROW(ChartLines.RowNum))</f>
        <v>302</v>
      </c>
    </row>
    <row r="305" spans="2:11">
      <c r="B305" t="s">
        <v>971</v>
      </c>
      <c r="C305" t="s">
        <v>1840</v>
      </c>
      <c r="E305">
        <f t="shared" ref="E305:E307" si="960" xml:space="preserve"> IF(AND(LEN(ChartLines.ID)&gt;0,"Unused"&lt;&gt;ChartLines.ID), COUNTIFS(ChartLines.ID,ChartLines.ID), "·")</f>
        <v>2</v>
      </c>
      <c r="F305">
        <f t="shared" ref="F305:F307" si="961" xml:space="preserve"> IF(AND(LEN(ChartLines.ID)&gt;0,"Unused"&lt;&gt;ChartLines.ID), COUNTIFS(ChartLines.ID,ChartLines.ID,   ChartLines.RowNum,"&lt;="&amp;ChartLines.RowNum), "·")</f>
        <v>2</v>
      </c>
      <c r="G305" t="str" cm="1">
        <f t="array" ref="G305" xml:space="preserve"> _xlfn.IFS(OR(LEN(_xlfn.SINGLE(ChartLines.ID))=0,"Unused"=_xlfn.SINGLE(ChartLines.ID)), "·",   1=_xlfn.SINGLE(ChartLines.NumInstances), IF("USD"=_xlfn.SINGLE(ChartLines.ID), "SoleBig", "SoleOrdinary"),   1=_xlfn.SINGLE(ChartLines.InstanceNum), "Outer",   TRUE, "Inner")</f>
        <v>Inner</v>
      </c>
      <c r="H305">
        <f t="shared" ref="H305:H307" si="962" xml:space="preserve"> IF(LEN(ChartLines.Hex6)=6, HEX2DEC(LEFT(ChartLines.Hex6, 2)), "·")</f>
        <v>255</v>
      </c>
      <c r="I305">
        <f t="shared" ref="I305:I307" si="963" xml:space="preserve"> IF(LEN(ChartLines.Hex6)=6, HEX2DEC(MID(ChartLines.Hex6, 3, 2)), "·")</f>
        <v>255</v>
      </c>
      <c r="J305">
        <f t="shared" ref="J305:J307" si="964" xml:space="preserve"> IF(LEN(ChartLines.Hex6)=6, HEX2DEC(RIGHT(ChartLines.Hex6, 2)), "·")</f>
        <v>255</v>
      </c>
      <c r="K305" cm="1">
        <f t="array" ref="K305" xml:space="preserve"> 1 + ROW() - _xlfn.SINGLE(ROW(ChartLines.RowNum))</f>
        <v>303</v>
      </c>
    </row>
    <row r="306" spans="2:11">
      <c r="B306" t="s">
        <v>2247</v>
      </c>
      <c r="C306" t="str">
        <f xml:space="preserve"> "092251"</f>
        <v>092251</v>
      </c>
      <c r="E306">
        <f t="shared" si="960"/>
        <v>2</v>
      </c>
      <c r="F306">
        <f t="shared" si="961"/>
        <v>1</v>
      </c>
      <c r="G306" t="str" cm="1">
        <f t="array" ref="G306" xml:space="preserve"> _xlfn.IFS(OR(LEN(_xlfn.SINGLE(ChartLines.ID))=0,"Unused"=_xlfn.SINGLE(ChartLines.ID)), "·",   1=_xlfn.SINGLE(ChartLines.NumInstances), IF("USD"=_xlfn.SINGLE(ChartLines.ID), "SoleBig", "SoleOrdinary"),   1=_xlfn.SINGLE(ChartLines.InstanceNum), "Outer",   TRUE, "Inner")</f>
        <v>Outer</v>
      </c>
      <c r="H306">
        <f t="shared" si="962"/>
        <v>9</v>
      </c>
      <c r="I306">
        <f t="shared" si="963"/>
        <v>34</v>
      </c>
      <c r="J306">
        <f t="shared" si="964"/>
        <v>81</v>
      </c>
      <c r="K306" cm="1">
        <f t="array" ref="K306" xml:space="preserve"> 1 + ROW() - _xlfn.SINGLE(ROW(ChartLines.RowNum))</f>
        <v>304</v>
      </c>
    </row>
    <row r="307" spans="2:11">
      <c r="B307" t="s">
        <v>2247</v>
      </c>
      <c r="C307" t="s">
        <v>1840</v>
      </c>
      <c r="E307">
        <f t="shared" si="960"/>
        <v>2</v>
      </c>
      <c r="F307">
        <f t="shared" si="961"/>
        <v>2</v>
      </c>
      <c r="G307" t="str" cm="1">
        <f t="array" ref="G307" xml:space="preserve"> _xlfn.IFS(OR(LEN(_xlfn.SINGLE(ChartLines.ID))=0,"Unused"=_xlfn.SINGLE(ChartLines.ID)), "·",   1=_xlfn.SINGLE(ChartLines.NumInstances), IF("USD"=_xlfn.SINGLE(ChartLines.ID), "SoleBig", "SoleOrdinary"),   1=_xlfn.SINGLE(ChartLines.InstanceNum), "Outer",   TRUE, "Inner")</f>
        <v>Inner</v>
      </c>
      <c r="H307">
        <f t="shared" si="962"/>
        <v>255</v>
      </c>
      <c r="I307">
        <f t="shared" si="963"/>
        <v>255</v>
      </c>
      <c r="J307">
        <f t="shared" si="964"/>
        <v>255</v>
      </c>
      <c r="K307" cm="1">
        <f t="array" ref="K307" xml:space="preserve"> 1 + ROW() - _xlfn.SINGLE(ROW(ChartLines.RowNum))</f>
        <v>305</v>
      </c>
    </row>
    <row r="308" spans="2:11">
      <c r="B308" t="s">
        <v>1942</v>
      </c>
      <c r="C308" t="str">
        <f xml:space="preserve"> "165788"</f>
        <v>165788</v>
      </c>
      <c r="E308">
        <f t="shared" ref="E308" si="965" xml:space="preserve"> IF(AND(LEN(ChartLines.ID)&gt;0,"Unused"&lt;&gt;ChartLines.ID), COUNTIFS(ChartLines.ID,ChartLines.ID), "·")</f>
        <v>2</v>
      </c>
      <c r="F308">
        <f t="shared" ref="F308" si="966" xml:space="preserve"> IF(AND(LEN(ChartLines.ID)&gt;0,"Unused"&lt;&gt;ChartLines.ID), COUNTIFS(ChartLines.ID,ChartLines.ID,   ChartLines.RowNum,"&lt;="&amp;ChartLines.RowNum), "·")</f>
        <v>1</v>
      </c>
      <c r="G308" t="str" cm="1">
        <f t="array" ref="G308" xml:space="preserve"> _xlfn.IFS(OR(LEN(_xlfn.SINGLE(ChartLines.ID))=0,"Unused"=_xlfn.SINGLE(ChartLines.ID)), "·",   1=_xlfn.SINGLE(ChartLines.NumInstances), IF("USD"=_xlfn.SINGLE(ChartLines.ID), "SoleBig", "SoleOrdinary"),   1=_xlfn.SINGLE(ChartLines.InstanceNum), "Outer",   TRUE, "Inner")</f>
        <v>Outer</v>
      </c>
      <c r="H308">
        <f t="shared" ref="H308" si="967" xml:space="preserve"> IF(LEN(ChartLines.Hex6)=6, HEX2DEC(LEFT(ChartLines.Hex6, 2)), "·")</f>
        <v>22</v>
      </c>
      <c r="I308">
        <f t="shared" ref="I308" si="968" xml:space="preserve"> IF(LEN(ChartLines.Hex6)=6, HEX2DEC(MID(ChartLines.Hex6, 3, 2)), "·")</f>
        <v>87</v>
      </c>
      <c r="J308">
        <f t="shared" ref="J308" si="969" xml:space="preserve"> IF(LEN(ChartLines.Hex6)=6, HEX2DEC(RIGHT(ChartLines.Hex6, 2)), "·")</f>
        <v>136</v>
      </c>
      <c r="K308" cm="1">
        <f t="array" ref="K308" xml:space="preserve"> 1 + ROW() - _xlfn.SINGLE(ROW(ChartLines.RowNum))</f>
        <v>306</v>
      </c>
    </row>
    <row r="309" spans="2:11">
      <c r="B309" t="s">
        <v>1942</v>
      </c>
      <c r="C309" t="str">
        <f xml:space="preserve"> "C3DCF4"</f>
        <v>C3DCF4</v>
      </c>
      <c r="E309">
        <f t="shared" ref="E309" si="970" xml:space="preserve"> IF(AND(LEN(ChartLines.ID)&gt;0,"Unused"&lt;&gt;ChartLines.ID), COUNTIFS(ChartLines.ID,ChartLines.ID), "·")</f>
        <v>2</v>
      </c>
      <c r="F309">
        <f t="shared" ref="F309" si="971" xml:space="preserve"> IF(AND(LEN(ChartLines.ID)&gt;0,"Unused"&lt;&gt;ChartLines.ID), COUNTIFS(ChartLines.ID,ChartLines.ID,   ChartLines.RowNum,"&lt;="&amp;ChartLines.RowNum), "·")</f>
        <v>2</v>
      </c>
      <c r="G309" t="str" cm="1">
        <f t="array" ref="G309" xml:space="preserve"> _xlfn.IFS(OR(LEN(_xlfn.SINGLE(ChartLines.ID))=0,"Unused"=_xlfn.SINGLE(ChartLines.ID)), "·",   1=_xlfn.SINGLE(ChartLines.NumInstances), IF("USD"=_xlfn.SINGLE(ChartLines.ID), "SoleBig", "SoleOrdinary"),   1=_xlfn.SINGLE(ChartLines.InstanceNum), "Outer",   TRUE, "Inner")</f>
        <v>Inner</v>
      </c>
      <c r="H309">
        <f t="shared" ref="H309" si="972" xml:space="preserve"> IF(LEN(ChartLines.Hex6)=6, HEX2DEC(LEFT(ChartLines.Hex6, 2)), "·")</f>
        <v>195</v>
      </c>
      <c r="I309">
        <f t="shared" ref="I309" si="973" xml:space="preserve"> IF(LEN(ChartLines.Hex6)=6, HEX2DEC(MID(ChartLines.Hex6, 3, 2)), "·")</f>
        <v>220</v>
      </c>
      <c r="J309">
        <f t="shared" ref="J309" si="974" xml:space="preserve"> IF(LEN(ChartLines.Hex6)=6, HEX2DEC(RIGHT(ChartLines.Hex6, 2)), "·")</f>
        <v>244</v>
      </c>
      <c r="K309" cm="1">
        <f t="array" ref="K309" xml:space="preserve"> 1 + ROW() - _xlfn.SINGLE(ROW(ChartLines.RowNum))</f>
        <v>307</v>
      </c>
    </row>
    <row r="310" spans="2:11">
      <c r="B310" t="s">
        <v>798</v>
      </c>
      <c r="C310" t="s">
        <v>2131</v>
      </c>
      <c r="E310">
        <f t="shared" ref="E310:E313" si="975" xml:space="preserve"> IF(AND(LEN(ChartLines.ID)&gt;0,"Unused"&lt;&gt;ChartLines.ID), COUNTIFS(ChartLines.ID,ChartLines.ID), "·")</f>
        <v>1</v>
      </c>
      <c r="F310">
        <f t="shared" ref="F310:F313" si="976" xml:space="preserve"> IF(AND(LEN(ChartLines.ID)&gt;0,"Unused"&lt;&gt;ChartLines.ID), COUNTIFS(ChartLines.ID,ChartLines.ID,   ChartLines.RowNum,"&lt;="&amp;ChartLines.RowNum), "·")</f>
        <v>1</v>
      </c>
      <c r="G310" t="str" cm="1">
        <f t="array" ref="G310" xml:space="preserve"> _xlfn.IFS(OR(LEN(_xlfn.SINGLE(ChartLines.ID))=0,"Unused"=_xlfn.SINGLE(ChartLines.ID)), "·",   1=_xlfn.SINGLE(ChartLines.NumInstances), IF("USD"=_xlfn.SINGLE(ChartLines.ID), "SoleBig", "SoleOrdinary"),   1=_xlfn.SINGLE(ChartLines.InstanceNum), "Outer",   TRUE, "Inner")</f>
        <v>SoleOrdinary</v>
      </c>
      <c r="H310">
        <f t="shared" ref="H310:H313" si="977" xml:space="preserve"> IF(LEN(ChartLines.Hex6)=6, HEX2DEC(LEFT(ChartLines.Hex6, 2)), "·")</f>
        <v>27</v>
      </c>
      <c r="I310">
        <f t="shared" ref="I310:I313" si="978" xml:space="preserve"> IF(LEN(ChartLines.Hex6)=6, HEX2DEC(MID(ChartLines.Hex6, 3, 2)), "·")</f>
        <v>97</v>
      </c>
      <c r="J310">
        <f t="shared" ref="J310:J313" si="979" xml:space="preserve"> IF(LEN(ChartLines.Hex6)=6, HEX2DEC(RIGHT(ChartLines.Hex6, 2)), "·")</f>
        <v>140</v>
      </c>
      <c r="K310" cm="1">
        <f t="array" ref="K310" xml:space="preserve"> 1 + ROW() - _xlfn.SINGLE(ROW(ChartLines.RowNum))</f>
        <v>308</v>
      </c>
    </row>
    <row r="311" spans="2:11">
      <c r="B311" t="s">
        <v>2248</v>
      </c>
      <c r="C311">
        <v>273375</v>
      </c>
      <c r="E311">
        <f t="shared" si="975"/>
        <v>2</v>
      </c>
      <c r="F311">
        <f t="shared" si="976"/>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f t="shared" si="977"/>
        <v>39</v>
      </c>
      <c r="I311">
        <f t="shared" si="978"/>
        <v>51</v>
      </c>
      <c r="J311">
        <f t="shared" si="979"/>
        <v>117</v>
      </c>
      <c r="K311" cm="1">
        <f t="array" ref="K311" xml:space="preserve"> 1 + ROW() - _xlfn.SINGLE(ROW(ChartLines.RowNum))</f>
        <v>309</v>
      </c>
    </row>
    <row r="312" spans="2:11">
      <c r="B312" t="s">
        <v>2248</v>
      </c>
      <c r="C312" t="s">
        <v>2251</v>
      </c>
      <c r="E312">
        <f t="shared" si="975"/>
        <v>2</v>
      </c>
      <c r="F312">
        <f t="shared" si="976"/>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f t="shared" si="977"/>
        <v>226</v>
      </c>
      <c r="I312">
        <f t="shared" si="978"/>
        <v>6</v>
      </c>
      <c r="J312">
        <f t="shared" si="979"/>
        <v>19</v>
      </c>
      <c r="K312" cm="1">
        <f t="array" ref="K312" xml:space="preserve"> 1 + ROW() - _xlfn.SINGLE(ROW(ChartLines.RowNum))</f>
        <v>310</v>
      </c>
    </row>
    <row r="313" spans="2:11">
      <c r="B313" t="s">
        <v>1836</v>
      </c>
      <c r="E313" t="str">
        <f t="shared" si="975"/>
        <v>·</v>
      </c>
      <c r="F313" t="str">
        <f t="shared" si="976"/>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f t="shared" si="977"/>
        <v>·</v>
      </c>
      <c r="I313" t="str">
        <f t="shared" si="978"/>
        <v>·</v>
      </c>
      <c r="J313" t="str">
        <f t="shared" si="979"/>
        <v>·</v>
      </c>
      <c r="K313" cm="1">
        <f t="array" ref="K313" xml:space="preserve"> 1 + ROW() - _xlfn.SINGLE(ROW(ChartLines.RowNum))</f>
        <v>311</v>
      </c>
    </row>
    <row r="314" spans="2:11">
      <c r="B314" t="s">
        <v>173</v>
      </c>
      <c r="C314" t="s">
        <v>1943</v>
      </c>
      <c r="E314">
        <f t="shared" ref="E314" si="980" xml:space="preserve"> IF(AND(LEN(ChartLines.ID)&gt;0,"Unused"&lt;&gt;ChartLines.ID), COUNTIFS(ChartLines.ID,ChartLines.ID), "·")</f>
        <v>1</v>
      </c>
      <c r="F314">
        <f t="shared" ref="F314" si="981"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SoleOrdinary</v>
      </c>
      <c r="H314">
        <f t="shared" ref="H314" si="982" xml:space="preserve"> IF(LEN(ChartLines.Hex6)=6, HEX2DEC(LEFT(ChartLines.Hex6, 2)), "·")</f>
        <v>28</v>
      </c>
      <c r="I314">
        <f t="shared" ref="I314" si="983" xml:space="preserve"> IF(LEN(ChartLines.Hex6)=6, HEX2DEC(MID(ChartLines.Hex6, 3, 2)), "·")</f>
        <v>48</v>
      </c>
      <c r="J314">
        <f t="shared" ref="J314" si="984" xml:space="preserve"> IF(LEN(ChartLines.Hex6)=6, HEX2DEC(RIGHT(ChartLines.Hex6, 2)), "·")</f>
        <v>96</v>
      </c>
      <c r="K314" cm="1">
        <f t="array" ref="K314" xml:space="preserve"> 1 + ROW() - _xlfn.SINGLE(ROW(ChartLines.RowNum))</f>
        <v>312</v>
      </c>
    </row>
    <row r="315" spans="2:11">
      <c r="B315" t="s">
        <v>1836</v>
      </c>
      <c r="E315" t="str">
        <f t="shared" ref="E315" si="985" xml:space="preserve"> IF(AND(LEN(ChartLines.ID)&gt;0,"Unused"&lt;&gt;ChartLines.ID), COUNTIFS(ChartLines.ID,ChartLines.ID), "·")</f>
        <v>·</v>
      </c>
      <c r="F315" t="str">
        <f t="shared" ref="F315" si="986" xml:space="preserve"> IF(AND(LEN(ChartLines.ID)&gt;0,"Unused"&lt;&gt;ChartLines.ID), COUNTIFS(ChartLines.ID,ChartLines.ID,   ChartLines.RowNum,"&lt;="&amp;ChartLines.RowNum), "·")</f>
        <v>·</v>
      </c>
      <c r="G315" t="str" cm="1">
        <f t="array" ref="G315" xml:space="preserve"> _xlfn.IFS(OR(LEN(_xlfn.SINGLE(ChartLines.ID))=0,"Unused"=_xlfn.SINGLE(ChartLines.ID)), "·",   1=_xlfn.SINGLE(ChartLines.NumInstances), IF("USD"=_xlfn.SINGLE(ChartLines.ID), "SoleBig", "SoleOrdinary"),   1=_xlfn.SINGLE(ChartLines.InstanceNum), "Outer",   TRUE, "Inner")</f>
        <v>·</v>
      </c>
      <c r="H315" t="str">
        <f t="shared" ref="H315" si="987" xml:space="preserve"> IF(LEN(ChartLines.Hex6)=6, HEX2DEC(LEFT(ChartLines.Hex6, 2)), "·")</f>
        <v>·</v>
      </c>
      <c r="I315" t="str">
        <f t="shared" ref="I315" si="988" xml:space="preserve"> IF(LEN(ChartLines.Hex6)=6, HEX2DEC(MID(ChartLines.Hex6, 3, 2)), "·")</f>
        <v>·</v>
      </c>
      <c r="J315" t="str">
        <f t="shared" ref="J315" si="989" xml:space="preserve"> IF(LEN(ChartLines.Hex6)=6, HEX2DEC(RIGHT(ChartLines.Hex6, 2)), "·")</f>
        <v>·</v>
      </c>
      <c r="K315" cm="1">
        <f t="array" ref="K315" xml:space="preserve"> 1 + ROW() - _xlfn.SINGLE(ROW(ChartLines.RowNum))</f>
        <v>313</v>
      </c>
    </row>
    <row r="316" spans="2:11">
      <c r="B316" t="s">
        <v>1944</v>
      </c>
      <c r="C316" t="s">
        <v>1945</v>
      </c>
      <c r="E316">
        <f t="shared" ref="E316" si="990" xml:space="preserve"> IF(AND(LEN(ChartLines.ID)&gt;0,"Unused"&lt;&gt;ChartLines.ID), COUNTIFS(ChartLines.ID,ChartLines.ID), "·")</f>
        <v>2</v>
      </c>
      <c r="F316">
        <f t="shared" ref="F316" si="991"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ref="H316" si="992" xml:space="preserve"> IF(LEN(ChartLines.Hex6)=6, HEX2DEC(LEFT(ChartLines.Hex6, 2)), "·")</f>
        <v>134</v>
      </c>
      <c r="I316">
        <f t="shared" ref="I316" si="993" xml:space="preserve"> IF(LEN(ChartLines.Hex6)=6, HEX2DEC(MID(ChartLines.Hex6, 3, 2)), "·")</f>
        <v>12</v>
      </c>
      <c r="J316">
        <f t="shared" ref="J316" si="994" xml:space="preserve"> IF(LEN(ChartLines.Hex6)=6, HEX2DEC(RIGHT(ChartLines.Hex6, 2)), "·")</f>
        <v>20</v>
      </c>
      <c r="K316" cm="1">
        <f t="array" ref="K316" xml:space="preserve"> 1 + ROW() - _xlfn.SINGLE(ROW(ChartLines.RowNum))</f>
        <v>314</v>
      </c>
    </row>
    <row r="317" spans="2:11">
      <c r="B317" t="s">
        <v>1944</v>
      </c>
      <c r="C317" t="s">
        <v>1840</v>
      </c>
      <c r="E317">
        <f t="shared" ref="E317" si="995" xml:space="preserve"> IF(AND(LEN(ChartLines.ID)&gt;0,"Unused"&lt;&gt;ChartLines.ID), COUNTIFS(ChartLines.ID,ChartLines.ID), "·")</f>
        <v>2</v>
      </c>
      <c r="F317">
        <f t="shared" ref="F317" si="996"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ref="H317" si="997" xml:space="preserve"> IF(LEN(ChartLines.Hex6)=6, HEX2DEC(LEFT(ChartLines.Hex6, 2)), "·")</f>
        <v>255</v>
      </c>
      <c r="I317">
        <f t="shared" ref="I317" si="998" xml:space="preserve"> IF(LEN(ChartLines.Hex6)=6, HEX2DEC(MID(ChartLines.Hex6, 3, 2)), "·")</f>
        <v>255</v>
      </c>
      <c r="J317">
        <f t="shared" ref="J317" si="999" xml:space="preserve"> IF(LEN(ChartLines.Hex6)=6, HEX2DEC(RIGHT(ChartLines.Hex6, 2)), "·")</f>
        <v>255</v>
      </c>
      <c r="K317" cm="1">
        <f t="array" ref="K317" xml:space="preserve"> 1 + ROW() - _xlfn.SINGLE(ROW(ChartLines.RowNum))</f>
        <v>315</v>
      </c>
    </row>
    <row r="318" spans="2:11">
      <c r="B318" t="s">
        <v>955</v>
      </c>
      <c r="C318" t="str">
        <f xml:space="preserve"> "039355"</f>
        <v>039355</v>
      </c>
      <c r="E318">
        <f t="shared" ref="E318" si="1000" xml:space="preserve"> IF(AND(LEN(ChartLines.ID)&gt;0,"Unused"&lt;&gt;ChartLines.ID), COUNTIFS(ChartLines.ID,ChartLines.ID), "·")</f>
        <v>2</v>
      </c>
      <c r="F318">
        <f t="shared" ref="F318" si="1001"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1002" xml:space="preserve"> IF(LEN(ChartLines.Hex6)=6, HEX2DEC(LEFT(ChartLines.Hex6, 2)), "·")</f>
        <v>3</v>
      </c>
      <c r="I318">
        <f t="shared" ref="I318" si="1003" xml:space="preserve"> IF(LEN(ChartLines.Hex6)=6, HEX2DEC(MID(ChartLines.Hex6, 3, 2)), "·")</f>
        <v>147</v>
      </c>
      <c r="J318">
        <f t="shared" ref="J318" si="1004" xml:space="preserve"> IF(LEN(ChartLines.Hex6)=6, HEX2DEC(RIGHT(ChartLines.Hex6, 2)), "·")</f>
        <v>85</v>
      </c>
      <c r="K318" cm="1">
        <f t="array" ref="K318" xml:space="preserve"> 1 + ROW() - _xlfn.SINGLE(ROW(ChartLines.RowNum))</f>
        <v>316</v>
      </c>
    </row>
    <row r="319" spans="2:11">
      <c r="B319" t="s">
        <v>955</v>
      </c>
      <c r="C319" t="s">
        <v>1840</v>
      </c>
      <c r="E319">
        <f t="shared" ref="E319" si="1005" xml:space="preserve"> IF(AND(LEN(ChartLines.ID)&gt;0,"Unused"&lt;&gt;ChartLines.ID), COUNTIFS(ChartLines.ID,ChartLines.ID), "·")</f>
        <v>2</v>
      </c>
      <c r="F319">
        <f t="shared" ref="F319" si="1006"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1007" xml:space="preserve"> IF(LEN(ChartLines.Hex6)=6, HEX2DEC(LEFT(ChartLines.Hex6, 2)), "·")</f>
        <v>255</v>
      </c>
      <c r="I319">
        <f t="shared" ref="I319" si="1008" xml:space="preserve"> IF(LEN(ChartLines.Hex6)=6, HEX2DEC(MID(ChartLines.Hex6, 3, 2)), "·")</f>
        <v>255</v>
      </c>
      <c r="J319">
        <f t="shared" ref="J319" si="1009" xml:space="preserve"> IF(LEN(ChartLines.Hex6)=6, HEX2DEC(RIGHT(ChartLines.Hex6, 2)), "·")</f>
        <v>255</v>
      </c>
      <c r="K319" cm="1">
        <f t="array" ref="K319" xml:space="preserve"> 1 + ROW() - _xlfn.SINGLE(ROW(ChartLines.RowNum))</f>
        <v>317</v>
      </c>
    </row>
    <row r="320" spans="2:11">
      <c r="B320" t="s">
        <v>106</v>
      </c>
      <c r="C320" t="str">
        <f xml:space="preserve"> "000000"</f>
        <v>000000</v>
      </c>
      <c r="E320">
        <f t="shared" ref="E320" si="1010" xml:space="preserve"> IF(AND(LEN(ChartLines.ID)&gt;0,"Unused"&lt;&gt;ChartLines.ID), COUNTIFS(ChartLines.ID,ChartLines.ID), "·")</f>
        <v>2</v>
      </c>
      <c r="F320">
        <f t="shared" ref="F320" si="1011"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f t="shared" ref="H320" si="1012" xml:space="preserve"> IF(LEN(ChartLines.Hex6)=6, HEX2DEC(LEFT(ChartLines.Hex6, 2)), "·")</f>
        <v>0</v>
      </c>
      <c r="I320">
        <f t="shared" ref="I320" si="1013" xml:space="preserve"> IF(LEN(ChartLines.Hex6)=6, HEX2DEC(MID(ChartLines.Hex6, 3, 2)), "·")</f>
        <v>0</v>
      </c>
      <c r="J320">
        <f t="shared" ref="J320" si="1014" xml:space="preserve"> IF(LEN(ChartLines.Hex6)=6, HEX2DEC(RIGHT(ChartLines.Hex6, 2)), "·")</f>
        <v>0</v>
      </c>
      <c r="K320" cm="1">
        <f t="array" ref="K320" xml:space="preserve"> 1 + ROW() - _xlfn.SINGLE(ROW(ChartLines.RowNum))</f>
        <v>318</v>
      </c>
    </row>
    <row r="321" spans="2:11">
      <c r="B321" t="s">
        <v>106</v>
      </c>
      <c r="C321" t="str">
        <f xml:space="preserve"> "039355"</f>
        <v>039355</v>
      </c>
      <c r="E321">
        <f t="shared" ref="E321:E323" si="1015" xml:space="preserve"> IF(AND(LEN(ChartLines.ID)&gt;0,"Unused"&lt;&gt;ChartLines.ID), COUNTIFS(ChartLines.ID,ChartLines.ID), "·")</f>
        <v>2</v>
      </c>
      <c r="F321">
        <f t="shared" ref="F321:F323" si="1016"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f t="shared" ref="H321:H323" si="1017" xml:space="preserve"> IF(LEN(ChartLines.Hex6)=6, HEX2DEC(LEFT(ChartLines.Hex6, 2)), "·")</f>
        <v>3</v>
      </c>
      <c r="I321">
        <f t="shared" ref="I321:I323" si="1018" xml:space="preserve"> IF(LEN(ChartLines.Hex6)=6, HEX2DEC(MID(ChartLines.Hex6, 3, 2)), "·")</f>
        <v>147</v>
      </c>
      <c r="J321">
        <f t="shared" ref="J321:J323" si="1019" xml:space="preserve"> IF(LEN(ChartLines.Hex6)=6, HEX2DEC(RIGHT(ChartLines.Hex6, 2)), "·")</f>
        <v>85</v>
      </c>
      <c r="K321" cm="1">
        <f t="array" ref="K321" xml:space="preserve"> 1 + ROW() - _xlfn.SINGLE(ROW(ChartLines.RowNum))</f>
        <v>319</v>
      </c>
    </row>
    <row r="322" spans="2:11">
      <c r="B322" t="s">
        <v>2043</v>
      </c>
      <c r="C322" t="s">
        <v>2044</v>
      </c>
      <c r="E322">
        <f t="shared" si="1015"/>
        <v>2</v>
      </c>
      <c r="F322">
        <f t="shared" si="1016"/>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f t="shared" si="1017"/>
        <v>25</v>
      </c>
      <c r="I322">
        <f t="shared" si="1018"/>
        <v>141</v>
      </c>
      <c r="J322">
        <f t="shared" si="1019"/>
        <v>102</v>
      </c>
      <c r="K322" cm="1">
        <f t="array" ref="K322" xml:space="preserve"> 1 + ROW() - _xlfn.SINGLE(ROW(ChartLines.RowNum))</f>
        <v>320</v>
      </c>
    </row>
    <row r="323" spans="2:11">
      <c r="B323" t="s">
        <v>2043</v>
      </c>
      <c r="C323" t="s">
        <v>2045</v>
      </c>
      <c r="E323">
        <f t="shared" si="1015"/>
        <v>2</v>
      </c>
      <c r="F323">
        <f t="shared" si="1016"/>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f t="shared" si="1017"/>
        <v>252</v>
      </c>
      <c r="I323">
        <f t="shared" si="1018"/>
        <v>185</v>
      </c>
      <c r="J323">
        <f t="shared" si="1019"/>
        <v>14</v>
      </c>
      <c r="K323" cm="1">
        <f t="array" ref="K323" xml:space="preserve"> 1 + ROW() - _xlfn.SINGLE(ROW(ChartLines.RowNum))</f>
        <v>321</v>
      </c>
    </row>
    <row r="324" spans="2:11">
      <c r="B324" t="s">
        <v>992</v>
      </c>
      <c r="C324" t="str">
        <f xml:space="preserve"> "005073"</f>
        <v>005073</v>
      </c>
      <c r="E324">
        <f t="shared" ref="E324" si="1020" xml:space="preserve"> IF(AND(LEN(ChartLines.ID)&gt;0,"Unused"&lt;&gt;ChartLines.ID), COUNTIFS(ChartLines.ID,ChartLines.ID), "·")</f>
        <v>2</v>
      </c>
      <c r="F324">
        <f t="shared" ref="F324" si="102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f t="shared" ref="H324" si="1022" xml:space="preserve"> IF(LEN(ChartLines.Hex6)=6, HEX2DEC(LEFT(ChartLines.Hex6, 2)), "·")</f>
        <v>0</v>
      </c>
      <c r="I324">
        <f t="shared" ref="I324" si="1023" xml:space="preserve"> IF(LEN(ChartLines.Hex6)=6, HEX2DEC(MID(ChartLines.Hex6, 3, 2)), "·")</f>
        <v>80</v>
      </c>
      <c r="J324">
        <f t="shared" ref="J324" si="1024" xml:space="preserve"> IF(LEN(ChartLines.Hex6)=6, HEX2DEC(RIGHT(ChartLines.Hex6, 2)), "·")</f>
        <v>115</v>
      </c>
      <c r="K324" cm="1">
        <f t="array" ref="K324" xml:space="preserve"> 1 + ROW() - _xlfn.SINGLE(ROW(ChartLines.RowNum))</f>
        <v>322</v>
      </c>
    </row>
    <row r="325" spans="2:11">
      <c r="B325" t="s">
        <v>992</v>
      </c>
      <c r="C325" t="s">
        <v>1840</v>
      </c>
      <c r="E325">
        <f t="shared" ref="E325:E329" si="1025" xml:space="preserve"> IF(AND(LEN(ChartLines.ID)&gt;0,"Unused"&lt;&gt;ChartLines.ID), COUNTIFS(ChartLines.ID,ChartLines.ID), "·")</f>
        <v>2</v>
      </c>
      <c r="F325">
        <f t="shared" ref="F325:F329" si="1026"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f t="shared" ref="H325:H329" si="1027" xml:space="preserve"> IF(LEN(ChartLines.Hex6)=6, HEX2DEC(LEFT(ChartLines.Hex6, 2)), "·")</f>
        <v>255</v>
      </c>
      <c r="I325">
        <f t="shared" ref="I325:I329" si="1028" xml:space="preserve"> IF(LEN(ChartLines.Hex6)=6, HEX2DEC(MID(ChartLines.Hex6, 3, 2)), "·")</f>
        <v>255</v>
      </c>
      <c r="J325">
        <f t="shared" ref="J325:J329" si="1029" xml:space="preserve"> IF(LEN(ChartLines.Hex6)=6, HEX2DEC(RIGHT(ChartLines.Hex6, 2)), "·")</f>
        <v>255</v>
      </c>
      <c r="K325" cm="1">
        <f t="array" ref="K325" xml:space="preserve"> 1 + ROW() - _xlfn.SINGLE(ROW(ChartLines.RowNum))</f>
        <v>323</v>
      </c>
    </row>
    <row r="326" spans="2:11">
      <c r="B326" t="s">
        <v>2033</v>
      </c>
      <c r="C326" t="s">
        <v>2036</v>
      </c>
      <c r="E326">
        <f t="shared" si="1025"/>
        <v>2</v>
      </c>
      <c r="F326">
        <f t="shared" si="1026"/>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si="1027"/>
        <v>43</v>
      </c>
      <c r="I326">
        <f t="shared" si="1028"/>
        <v>206</v>
      </c>
      <c r="J326">
        <f t="shared" si="1029"/>
        <v>117</v>
      </c>
      <c r="K326" cm="1">
        <f t="array" ref="K326" xml:space="preserve"> 1 + ROW() - _xlfn.SINGLE(ROW(ChartLines.RowNum))</f>
        <v>324</v>
      </c>
    </row>
    <row r="327" spans="2:11">
      <c r="B327" t="s">
        <v>2033</v>
      </c>
      <c r="C327" t="s">
        <v>2037</v>
      </c>
      <c r="E327">
        <f t="shared" si="1025"/>
        <v>2</v>
      </c>
      <c r="F327">
        <f t="shared" si="1026"/>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si="1027"/>
        <v>0</v>
      </c>
      <c r="I327">
        <f t="shared" si="1028"/>
        <v>70</v>
      </c>
      <c r="J327">
        <f t="shared" si="1029"/>
        <v>194</v>
      </c>
      <c r="K327" cm="1">
        <f t="array" ref="K327" xml:space="preserve"> 1 + ROW() - _xlfn.SINGLE(ROW(ChartLines.RowNum))</f>
        <v>325</v>
      </c>
    </row>
    <row r="328" spans="2:11">
      <c r="B328" t="s">
        <v>2038</v>
      </c>
      <c r="C328" t="s">
        <v>2041</v>
      </c>
      <c r="E328">
        <f t="shared" si="1025"/>
        <v>2</v>
      </c>
      <c r="F328">
        <f t="shared" si="1026"/>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si="1027"/>
        <v>239</v>
      </c>
      <c r="I328">
        <f t="shared" si="1028"/>
        <v>190</v>
      </c>
      <c r="J328">
        <f t="shared" si="1029"/>
        <v>32</v>
      </c>
      <c r="K328" cm="1">
        <f t="array" ref="K328" xml:space="preserve"> 1 + ROW() - _xlfn.SINGLE(ROW(ChartLines.RowNum))</f>
        <v>326</v>
      </c>
    </row>
    <row r="329" spans="2:11">
      <c r="B329" t="s">
        <v>2038</v>
      </c>
      <c r="C329" t="s">
        <v>2042</v>
      </c>
      <c r="E329">
        <f t="shared" si="1025"/>
        <v>2</v>
      </c>
      <c r="F329">
        <f t="shared" si="1026"/>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si="1027"/>
        <v>11</v>
      </c>
      <c r="I329">
        <f t="shared" si="1028"/>
        <v>92</v>
      </c>
      <c r="J329">
        <f t="shared" si="1029"/>
        <v>174</v>
      </c>
      <c r="K329" cm="1">
        <f t="array" ref="K329" xml:space="preserve"> 1 + ROW() - _xlfn.SINGLE(ROW(ChartLines.RowNum))</f>
        <v>327</v>
      </c>
    </row>
    <row r="330" spans="2:11">
      <c r="B330" t="s">
        <v>1050</v>
      </c>
      <c r="C330" t="str">
        <f xml:space="preserve"> "056839"</f>
        <v>056839</v>
      </c>
      <c r="E330">
        <f t="shared" ref="E330" si="1030" xml:space="preserve"> IF(AND(LEN(ChartLines.ID)&gt;0,"Unused"&lt;&gt;ChartLines.ID), COUNTIFS(ChartLines.ID,ChartLines.ID), "·")</f>
        <v>2</v>
      </c>
      <c r="F330">
        <f t="shared" ref="F330" si="103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32" xml:space="preserve"> IF(LEN(ChartLines.Hex6)=6, HEX2DEC(LEFT(ChartLines.Hex6, 2)), "·")</f>
        <v>5</v>
      </c>
      <c r="I330">
        <f t="shared" ref="I330" si="1033" xml:space="preserve"> IF(LEN(ChartLines.Hex6)=6, HEX2DEC(MID(ChartLines.Hex6, 3, 2)), "·")</f>
        <v>104</v>
      </c>
      <c r="J330">
        <f t="shared" ref="J330" si="1034" xml:space="preserve"> IF(LEN(ChartLines.Hex6)=6, HEX2DEC(RIGHT(ChartLines.Hex6, 2)), "·")</f>
        <v>57</v>
      </c>
      <c r="K330" cm="1">
        <f t="array" ref="K330" xml:space="preserve"> 1 + ROW() - _xlfn.SINGLE(ROW(ChartLines.RowNum))</f>
        <v>328</v>
      </c>
    </row>
    <row r="331" spans="2:11">
      <c r="B331" t="s">
        <v>1050</v>
      </c>
      <c r="C331" t="s">
        <v>1946</v>
      </c>
      <c r="E331">
        <f t="shared" ref="E331" si="1035" xml:space="preserve"> IF(AND(LEN(ChartLines.ID)&gt;0,"Unused"&lt;&gt;ChartLines.ID), COUNTIFS(ChartLines.ID,ChartLines.ID), "·")</f>
        <v>2</v>
      </c>
      <c r="F331">
        <f t="shared" ref="F331" si="103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 si="1037" xml:space="preserve"> IF(LEN(ChartLines.Hex6)=6, HEX2DEC(LEFT(ChartLines.Hex6, 2)), "·")</f>
        <v>190</v>
      </c>
      <c r="I331">
        <f t="shared" ref="I331" si="1038" xml:space="preserve"> IF(LEN(ChartLines.Hex6)=6, HEX2DEC(MID(ChartLines.Hex6, 3, 2)), "·")</f>
        <v>214</v>
      </c>
      <c r="J331">
        <f t="shared" ref="J331" si="1039" xml:space="preserve"> IF(LEN(ChartLines.Hex6)=6, HEX2DEC(RIGHT(ChartLines.Hex6, 2)), "·")</f>
        <v>47</v>
      </c>
      <c r="K331" cm="1">
        <f t="array" ref="K331" xml:space="preserve"> 1 + ROW() - _xlfn.SINGLE(ROW(ChartLines.RowNum))</f>
        <v>329</v>
      </c>
    </row>
    <row r="332" spans="2:11">
      <c r="B332" t="s">
        <v>1947</v>
      </c>
      <c r="C332" t="str">
        <f xml:space="preserve"> "000000"</f>
        <v>000000</v>
      </c>
      <c r="E332">
        <f t="shared" ref="E332" si="1040" xml:space="preserve"> IF(AND(LEN(ChartLines.ID)&gt;0,"Unused"&lt;&gt;ChartLines.ID), COUNTIFS(ChartLines.ID,ChartLines.ID), "·")</f>
        <v>2</v>
      </c>
      <c r="F332">
        <f t="shared" ref="F332" si="1041"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ref="H332" si="1042" xml:space="preserve"> IF(LEN(ChartLines.Hex6)=6, HEX2DEC(LEFT(ChartLines.Hex6, 2)), "·")</f>
        <v>0</v>
      </c>
      <c r="I332">
        <f t="shared" ref="I332" si="1043" xml:space="preserve"> IF(LEN(ChartLines.Hex6)=6, HEX2DEC(MID(ChartLines.Hex6, 3, 2)), "·")</f>
        <v>0</v>
      </c>
      <c r="J332">
        <f t="shared" ref="J332" si="1044" xml:space="preserve"> IF(LEN(ChartLines.Hex6)=6, HEX2DEC(RIGHT(ChartLines.Hex6, 2)), "·")</f>
        <v>0</v>
      </c>
      <c r="K332" cm="1">
        <f t="array" ref="K332" xml:space="preserve"> 1 + ROW() - _xlfn.SINGLE(ROW(ChartLines.RowNum))</f>
        <v>330</v>
      </c>
    </row>
    <row r="333" spans="2:11">
      <c r="B333" t="s">
        <v>1947</v>
      </c>
      <c r="C333" t="s">
        <v>1840</v>
      </c>
      <c r="E333">
        <f t="shared" ref="E333" si="1045" xml:space="preserve"> IF(AND(LEN(ChartLines.ID)&gt;0,"Unused"&lt;&gt;ChartLines.ID), COUNTIFS(ChartLines.ID,ChartLines.ID), "·")</f>
        <v>2</v>
      </c>
      <c r="F333">
        <f t="shared" ref="F333" si="1046"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ref="H333" si="1047" xml:space="preserve"> IF(LEN(ChartLines.Hex6)=6, HEX2DEC(LEFT(ChartLines.Hex6, 2)), "·")</f>
        <v>255</v>
      </c>
      <c r="I333">
        <f t="shared" ref="I333" si="1048" xml:space="preserve"> IF(LEN(ChartLines.Hex6)=6, HEX2DEC(MID(ChartLines.Hex6, 3, 2)), "·")</f>
        <v>255</v>
      </c>
      <c r="J333">
        <f t="shared" ref="J333" si="1049" xml:space="preserve"> IF(LEN(ChartLines.Hex6)=6, HEX2DEC(RIGHT(ChartLines.Hex6, 2)), "·")</f>
        <v>255</v>
      </c>
      <c r="K333" cm="1">
        <f t="array" ref="K333" xml:space="preserve"> 1 + ROW() - _xlfn.SINGLE(ROW(ChartLines.RowNum))</f>
        <v>331</v>
      </c>
    </row>
    <row r="334" spans="2:11">
      <c r="B334" t="s">
        <v>1948</v>
      </c>
      <c r="C334" t="s">
        <v>1949</v>
      </c>
      <c r="E334">
        <f t="shared" ref="E334" si="1050" xml:space="preserve"> IF(AND(LEN(ChartLines.ID)&gt;0,"Unused"&lt;&gt;ChartLines.ID), COUNTIFS(ChartLines.ID,ChartLines.ID), "·")</f>
        <v>1</v>
      </c>
      <c r="F334">
        <f t="shared" ref="F334" si="105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f t="shared" ref="H334" si="1052" xml:space="preserve"> IF(LEN(ChartLines.Hex6)=6, HEX2DEC(LEFT(ChartLines.Hex6, 2)), "·")</f>
        <v>0</v>
      </c>
      <c r="I334">
        <f t="shared" ref="I334" si="1053" xml:space="preserve"> IF(LEN(ChartLines.Hex6)=6, HEX2DEC(MID(ChartLines.Hex6, 3, 2)), "·")</f>
        <v>76</v>
      </c>
      <c r="J334">
        <f t="shared" ref="J334" si="1054" xml:space="preserve"> IF(LEN(ChartLines.Hex6)=6, HEX2DEC(RIGHT(ChartLines.Hex6, 2)), "·")</f>
        <v>151</v>
      </c>
      <c r="K334" cm="1">
        <f t="array" ref="K334" xml:space="preserve"> 1 + ROW() - _xlfn.SINGLE(ROW(ChartLines.RowNum))</f>
        <v>332</v>
      </c>
    </row>
    <row r="335" spans="2:11">
      <c r="B335" t="s">
        <v>1836</v>
      </c>
      <c r="E335" t="str">
        <f t="shared" ref="E335" si="1055" xml:space="preserve"> IF(AND(LEN(ChartLines.ID)&gt;0,"Unused"&lt;&gt;ChartLines.ID), COUNTIFS(ChartLines.ID,ChartLines.ID), "·")</f>
        <v>·</v>
      </c>
      <c r="F335" t="str">
        <f t="shared" ref="F335" si="1056"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f t="shared" ref="H335" si="1057" xml:space="preserve"> IF(LEN(ChartLines.Hex6)=6, HEX2DEC(LEFT(ChartLines.Hex6, 2)), "·")</f>
        <v>·</v>
      </c>
      <c r="I335" t="str">
        <f t="shared" ref="I335" si="1058" xml:space="preserve"> IF(LEN(ChartLines.Hex6)=6, HEX2DEC(MID(ChartLines.Hex6, 3, 2)), "·")</f>
        <v>·</v>
      </c>
      <c r="J335" t="str">
        <f t="shared" ref="J335" si="1059" xml:space="preserve"> IF(LEN(ChartLines.Hex6)=6, HEX2DEC(RIGHT(ChartLines.Hex6, 2)), "·")</f>
        <v>·</v>
      </c>
      <c r="K335" cm="1">
        <f t="array" ref="K335" xml:space="preserve"> 1 + ROW() - _xlfn.SINGLE(ROW(ChartLines.RowNum))</f>
        <v>333</v>
      </c>
    </row>
    <row r="336" spans="2:11">
      <c r="E336" t="str">
        <f t="shared" ref="E336" si="1060" xml:space="preserve"> IF(AND(LEN(ChartLines.ID)&gt;0,"Unused"&lt;&gt;ChartLines.ID), COUNTIFS(ChartLines.ID,ChartLines.ID), "·")</f>
        <v>·</v>
      </c>
      <c r="F336" t="str">
        <f t="shared" ref="F336" si="1061" xml:space="preserve"> IF(AND(LEN(ChartLines.ID)&gt;0,"Unused"&lt;&gt;ChartLines.ID), COUNTIFS(ChartLines.ID,ChartLines.ID,   ChartLines.RowNum,"&lt;="&amp;ChartLines.RowNum), "·")</f>
        <v>·</v>
      </c>
      <c r="G336" t="str" cm="1">
        <f t="array" ref="G336" xml:space="preserve"> _xlfn.IFS(OR(LEN(_xlfn.SINGLE(ChartLines.ID))=0,"Unused"=_xlfn.SINGLE(ChartLines.ID)), "·",   1=_xlfn.SINGLE(ChartLines.NumInstances), IF("USD"=_xlfn.SINGLE(ChartLines.ID), "SoleBig", "SoleOrdinary"),   1=_xlfn.SINGLE(ChartLines.InstanceNum), "Outer",   TRUE, "Inner")</f>
        <v>·</v>
      </c>
      <c r="H336" t="str">
        <f t="shared" ref="H336" si="1062" xml:space="preserve"> IF(LEN(ChartLines.Hex6)=6, HEX2DEC(LEFT(ChartLines.Hex6, 2)), "·")</f>
        <v>·</v>
      </c>
      <c r="I336" t="str">
        <f t="shared" ref="I336" si="1063" xml:space="preserve"> IF(LEN(ChartLines.Hex6)=6, HEX2DEC(MID(ChartLines.Hex6, 3, 2)), "·")</f>
        <v>·</v>
      </c>
      <c r="J336" t="str">
        <f t="shared" ref="J336" si="1064" xml:space="preserve"> IF(LEN(ChartLines.Hex6)=6, HEX2DEC(RIGHT(ChartLines.Hex6, 2)), "·")</f>
        <v>·</v>
      </c>
      <c r="K336" cm="1">
        <f t="array" ref="K336" xml:space="preserve"> 1 + ROW() - _xlfn.SINGLE(ROW(ChartLines.RowNum))</f>
        <v>334</v>
      </c>
    </row>
    <row r="337" spans="2:11">
      <c r="B337" t="s">
        <v>1950</v>
      </c>
      <c r="C337" t="str">
        <f xml:space="preserve"> "996515"</f>
        <v>996515</v>
      </c>
      <c r="E337">
        <f t="shared" ref="E337" si="1065" xml:space="preserve"> IF(AND(LEN(ChartLines.ID)&gt;0,"Unused"&lt;&gt;ChartLines.ID), COUNTIFS(ChartLines.ID,ChartLines.ID), "·")</f>
        <v>2</v>
      </c>
      <c r="F337">
        <f t="shared" ref="F337" si="1066" xml:space="preserve"> IF(AND(LEN(ChartLines.ID)&gt;0,"Unused"&lt;&gt;ChartLines.ID), COUNTIFS(ChartLines.ID,ChartLines.ID,   ChartLines.RowNum,"&lt;="&amp;ChartLines.RowNum), "·")</f>
        <v>1</v>
      </c>
      <c r="G337" t="str" cm="1">
        <f t="array" ref="G337" xml:space="preserve"> _xlfn.IFS(OR(LEN(_xlfn.SINGLE(ChartLines.ID))=0,"Unused"=_xlfn.SINGLE(ChartLines.ID)), "·",   1=_xlfn.SINGLE(ChartLines.NumInstances), IF("USD"=_xlfn.SINGLE(ChartLines.ID), "SoleBig", "SoleOrdinary"),   1=_xlfn.SINGLE(ChartLines.InstanceNum), "Outer",   TRUE, "Inner")</f>
        <v>Outer</v>
      </c>
      <c r="H337">
        <f t="shared" ref="H337" si="1067" xml:space="preserve"> IF(LEN(ChartLines.Hex6)=6, HEX2DEC(LEFT(ChartLines.Hex6, 2)), "·")</f>
        <v>153</v>
      </c>
      <c r="I337">
        <f t="shared" ref="I337" si="1068" xml:space="preserve"> IF(LEN(ChartLines.Hex6)=6, HEX2DEC(MID(ChartLines.Hex6, 3, 2)), "·")</f>
        <v>101</v>
      </c>
      <c r="J337">
        <f t="shared" ref="J337" si="1069" xml:space="preserve"> IF(LEN(ChartLines.Hex6)=6, HEX2DEC(RIGHT(ChartLines.Hex6, 2)), "·")</f>
        <v>21</v>
      </c>
      <c r="K337" cm="1">
        <f t="array" ref="K337" xml:space="preserve"> 1 + ROW() - _xlfn.SINGLE(ROW(ChartLines.RowNum))</f>
        <v>335</v>
      </c>
    </row>
    <row r="338" spans="2:11">
      <c r="B338" t="s">
        <v>1950</v>
      </c>
      <c r="C338" t="str">
        <f xml:space="preserve"> "D4AF37"</f>
        <v>D4AF37</v>
      </c>
      <c r="E338">
        <f t="shared" ref="E338" si="1070" xml:space="preserve"> IF(AND(LEN(ChartLines.ID)&gt;0,"Unused"&lt;&gt;ChartLines.ID), COUNTIFS(ChartLines.ID,ChartLines.ID), "·")</f>
        <v>2</v>
      </c>
      <c r="F338">
        <f t="shared" ref="F338" si="1071" xml:space="preserve"> IF(AND(LEN(ChartLines.ID)&gt;0,"Unused"&lt;&gt;ChartLines.ID), COUNTIFS(ChartLines.ID,ChartLines.ID,   ChartLines.RowNum,"&lt;="&amp;ChartLines.RowNum), "·")</f>
        <v>2</v>
      </c>
      <c r="G338" t="str" cm="1">
        <f t="array" ref="G338" xml:space="preserve"> _xlfn.IFS(OR(LEN(_xlfn.SINGLE(ChartLines.ID))=0,"Unused"=_xlfn.SINGLE(ChartLines.ID)), "·",   1=_xlfn.SINGLE(ChartLines.NumInstances), IF("USD"=_xlfn.SINGLE(ChartLines.ID), "SoleBig", "SoleOrdinary"),   1=_xlfn.SINGLE(ChartLines.InstanceNum), "Outer",   TRUE, "Inner")</f>
        <v>Inner</v>
      </c>
      <c r="H338">
        <f t="shared" ref="H338" si="1072" xml:space="preserve"> IF(LEN(ChartLines.Hex6)=6, HEX2DEC(LEFT(ChartLines.Hex6, 2)), "·")</f>
        <v>212</v>
      </c>
      <c r="I338">
        <f t="shared" ref="I338" si="1073" xml:space="preserve"> IF(LEN(ChartLines.Hex6)=6, HEX2DEC(MID(ChartLines.Hex6, 3, 2)), "·")</f>
        <v>175</v>
      </c>
      <c r="J338">
        <f t="shared" ref="J338" si="1074" xml:space="preserve"> IF(LEN(ChartLines.Hex6)=6, HEX2DEC(RIGHT(ChartLines.Hex6, 2)), "·")</f>
        <v>55</v>
      </c>
      <c r="K338" cm="1">
        <f t="array" ref="K338" xml:space="preserve"> 1 + ROW() - _xlfn.SINGLE(ROW(ChartLines.RowNum))</f>
        <v>336</v>
      </c>
    </row>
    <row r="339" spans="2:11">
      <c r="B339" t="s">
        <v>1951</v>
      </c>
      <c r="C339" t="s">
        <v>1952</v>
      </c>
      <c r="E339">
        <f t="shared" ref="E339" si="1075" xml:space="preserve"> IF(AND(LEN(ChartLines.ID)&gt;0,"Unused"&lt;&gt;ChartLines.ID), COUNTIFS(ChartLines.ID,ChartLines.ID), "·")</f>
        <v>2</v>
      </c>
      <c r="F339">
        <f t="shared" ref="F339" si="1076" xml:space="preserve"> IF(AND(LEN(ChartLines.ID)&gt;0,"Unused"&lt;&gt;ChartLines.ID), COUNTIFS(ChartLines.ID,ChartLines.ID,   ChartLines.RowNum,"&lt;="&amp;ChartLines.RowNum), "·")</f>
        <v>1</v>
      </c>
      <c r="G339" t="str" cm="1">
        <f t="array" ref="G339" xml:space="preserve"> _xlfn.IFS(OR(LEN(_xlfn.SINGLE(ChartLines.ID))=0,"Unused"=_xlfn.SINGLE(ChartLines.ID)), "·",   1=_xlfn.SINGLE(ChartLines.NumInstances), IF("USD"=_xlfn.SINGLE(ChartLines.ID), "SoleBig", "SoleOrdinary"),   1=_xlfn.SINGLE(ChartLines.InstanceNum), "Outer",   TRUE, "Inner")</f>
        <v>Outer</v>
      </c>
      <c r="H339">
        <f t="shared" ref="H339" si="1077" xml:space="preserve"> IF(LEN(ChartLines.Hex6)=6, HEX2DEC(LEFT(ChartLines.Hex6, 2)), "·")</f>
        <v>92</v>
      </c>
      <c r="I339">
        <f t="shared" ref="I339" si="1078" xml:space="preserve"> IF(LEN(ChartLines.Hex6)=6, HEX2DEC(MID(ChartLines.Hex6, 3, 2)), "·")</f>
        <v>92</v>
      </c>
      <c r="J339">
        <f t="shared" ref="J339" si="1079" xml:space="preserve"> IF(LEN(ChartLines.Hex6)=6, HEX2DEC(RIGHT(ChartLines.Hex6, 2)), "·")</f>
        <v>92</v>
      </c>
      <c r="K339" cm="1">
        <f t="array" ref="K339" xml:space="preserve"> 1 + ROW() - _xlfn.SINGLE(ROW(ChartLines.RowNum))</f>
        <v>337</v>
      </c>
    </row>
    <row r="340" spans="2:11">
      <c r="B340" t="s">
        <v>1951</v>
      </c>
      <c r="C340" t="str">
        <f xml:space="preserve"> "C0C0C0"</f>
        <v>C0C0C0</v>
      </c>
      <c r="E340">
        <f t="shared" ref="E340" si="1080" xml:space="preserve"> IF(AND(LEN(ChartLines.ID)&gt;0,"Unused"&lt;&gt;ChartLines.ID), COUNTIFS(ChartLines.ID,ChartLines.ID), "·")</f>
        <v>2</v>
      </c>
      <c r="F340">
        <f t="shared" ref="F340" si="1081" xml:space="preserve"> IF(AND(LEN(ChartLines.ID)&gt;0,"Unused"&lt;&gt;ChartLines.ID), COUNTIFS(ChartLines.ID,ChartLines.ID,   ChartLines.RowNum,"&lt;="&amp;ChartLines.RowNum), "·")</f>
        <v>2</v>
      </c>
      <c r="G340" t="str" cm="1">
        <f t="array" ref="G340" xml:space="preserve"> _xlfn.IFS(OR(LEN(_xlfn.SINGLE(ChartLines.ID))=0,"Unused"=_xlfn.SINGLE(ChartLines.ID)), "·",   1=_xlfn.SINGLE(ChartLines.NumInstances), IF("USD"=_xlfn.SINGLE(ChartLines.ID), "SoleBig", "SoleOrdinary"),   1=_xlfn.SINGLE(ChartLines.InstanceNum), "Outer",   TRUE, "Inner")</f>
        <v>Inner</v>
      </c>
      <c r="H340">
        <f t="shared" ref="H340" si="1082" xml:space="preserve"> IF(LEN(ChartLines.Hex6)=6, HEX2DEC(LEFT(ChartLines.Hex6, 2)), "·")</f>
        <v>192</v>
      </c>
      <c r="I340">
        <f t="shared" ref="I340" si="1083" xml:space="preserve"> IF(LEN(ChartLines.Hex6)=6, HEX2DEC(MID(ChartLines.Hex6, 3, 2)), "·")</f>
        <v>192</v>
      </c>
      <c r="J340">
        <f t="shared" ref="J340" si="1084" xml:space="preserve"> IF(LEN(ChartLines.Hex6)=6, HEX2DEC(RIGHT(ChartLines.Hex6, 2)), "·")</f>
        <v>192</v>
      </c>
      <c r="K340" cm="1">
        <f t="array" ref="K340" xml:space="preserve"> 1 + ROW() - _xlfn.SINGLE(ROW(ChartLines.RowNum))</f>
        <v>338</v>
      </c>
    </row>
    <row r="341" spans="2:11">
      <c r="B341" t="s">
        <v>929</v>
      </c>
      <c r="C341" t="s">
        <v>1953</v>
      </c>
      <c r="E341">
        <f t="shared" ref="E341" si="1085" xml:space="preserve"> IF(AND(LEN(ChartLines.ID)&gt;0,"Unused"&lt;&gt;ChartLines.ID), COUNTIFS(ChartLines.ID,ChartLines.ID), "·")</f>
        <v>2</v>
      </c>
      <c r="F341">
        <f t="shared" ref="F341" si="1086" xml:space="preserve"> IF(AND(LEN(ChartLines.ID)&gt;0,"Unused"&lt;&gt;ChartLines.ID), COUNTIFS(ChartLines.ID,ChartLines.ID,   ChartLines.RowNum,"&lt;="&amp;ChartLines.RowNum), "·")</f>
        <v>1</v>
      </c>
      <c r="G341" t="str" cm="1">
        <f t="array" ref="G341" xml:space="preserve"> _xlfn.IFS(OR(LEN(_xlfn.SINGLE(ChartLines.ID))=0,"Unused"=_xlfn.SINGLE(ChartLines.ID)), "·",   1=_xlfn.SINGLE(ChartLines.NumInstances), IF("USD"=_xlfn.SINGLE(ChartLines.ID), "SoleBig", "SoleOrdinary"),   1=_xlfn.SINGLE(ChartLines.InstanceNum), "Outer",   TRUE, "Inner")</f>
        <v>Outer</v>
      </c>
      <c r="H341">
        <f t="shared" ref="H341" si="1087" xml:space="preserve"> IF(LEN(ChartLines.Hex6)=6, HEX2DEC(LEFT(ChartLines.Hex6, 2)), "·")</f>
        <v>217</v>
      </c>
      <c r="I341">
        <f t="shared" ref="I341" si="1088" xml:space="preserve"> IF(LEN(ChartLines.Hex6)=6, HEX2DEC(MID(ChartLines.Hex6, 3, 2)), "·")</f>
        <v>91</v>
      </c>
      <c r="J341">
        <f t="shared" ref="J341" si="1089" xml:space="preserve"> IF(LEN(ChartLines.Hex6)=6, HEX2DEC(RIGHT(ChartLines.Hex6, 2)), "·")</f>
        <v>20</v>
      </c>
      <c r="K341" cm="1">
        <f t="array" ref="K341" xml:space="preserve"> 1 + ROW() - _xlfn.SINGLE(ROW(ChartLines.RowNum))</f>
        <v>339</v>
      </c>
    </row>
    <row r="342" spans="2:11">
      <c r="B342" t="s">
        <v>929</v>
      </c>
      <c r="C342" t="s">
        <v>1954</v>
      </c>
      <c r="E342">
        <f t="shared" ref="E342:E344" si="1090" xml:space="preserve"> IF(AND(LEN(ChartLines.ID)&gt;0,"Unused"&lt;&gt;ChartLines.ID), COUNTIFS(ChartLines.ID,ChartLines.ID), "·")</f>
        <v>2</v>
      </c>
      <c r="F342">
        <f t="shared" ref="F342:F344" si="1091" xml:space="preserve"> IF(AND(LEN(ChartLines.ID)&gt;0,"Unused"&lt;&gt;ChartLines.ID), COUNTIFS(ChartLines.ID,ChartLines.ID,   ChartLines.RowNum,"&lt;="&amp;ChartLines.RowNum), "·")</f>
        <v>2</v>
      </c>
      <c r="G342" t="str" cm="1">
        <f t="array" ref="G342" xml:space="preserve"> _xlfn.IFS(OR(LEN(_xlfn.SINGLE(ChartLines.ID))=0,"Unused"=_xlfn.SINGLE(ChartLines.ID)), "·",   1=_xlfn.SINGLE(ChartLines.NumInstances), IF("USD"=_xlfn.SINGLE(ChartLines.ID), "SoleBig", "SoleOrdinary"),   1=_xlfn.SINGLE(ChartLines.InstanceNum), "Outer",   TRUE, "Inner")</f>
        <v>Inner</v>
      </c>
      <c r="H342">
        <f t="shared" ref="H342:H344" si="1092" xml:space="preserve"> IF(LEN(ChartLines.Hex6)=6, HEX2DEC(LEFT(ChartLines.Hex6, 2)), "·")</f>
        <v>199</v>
      </c>
      <c r="I342">
        <f t="shared" ref="I342:I344" si="1093" xml:space="preserve"> IF(LEN(ChartLines.Hex6)=6, HEX2DEC(MID(ChartLines.Hex6, 3, 2)), "·")</f>
        <v>199</v>
      </c>
      <c r="J342">
        <f t="shared" ref="J342:J344" si="1094" xml:space="preserve"> IF(LEN(ChartLines.Hex6)=6, HEX2DEC(RIGHT(ChartLines.Hex6, 2)), "·")</f>
        <v>199</v>
      </c>
      <c r="K342" cm="1">
        <f t="array" ref="K342" xml:space="preserve"> 1 + ROW() - _xlfn.SINGLE(ROW(ChartLines.RowNum))</f>
        <v>340</v>
      </c>
    </row>
    <row r="344" spans="2:11">
      <c r="B344" t="s">
        <v>2620</v>
      </c>
      <c r="C344" t="s">
        <v>2620</v>
      </c>
      <c r="E344">
        <f t="shared" si="1090"/>
        <v>1</v>
      </c>
      <c r="F344">
        <f t="shared" si="1091"/>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t="str">
        <f t="shared" si="1092"/>
        <v>·</v>
      </c>
      <c r="I344" t="str">
        <f t="shared" si="1093"/>
        <v>·</v>
      </c>
      <c r="J344" t="str">
        <f t="shared" si="1094"/>
        <v>·</v>
      </c>
      <c r="K344" cm="1">
        <f t="array" ref="K344" xml:space="preserve"> 1 + ROW() - _xlfn.SINGLE(ROW(ChartLines.RowNum))</f>
        <v>342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2"/>
  <sheetViews>
    <sheetView tabSelected="1" workbookViewId="0">
      <pane ySplit="5" topLeftCell="A7" activePane="bottomLeft" state="frozenSplit"/>
      <selection pane="bottomLeft"/>
    </sheetView>
  </sheetViews>
  <sheetFormatPr baseColWidth="10" defaultRowHeight="16"/>
  <cols>
    <col min="2" max="2" width="10.83203125" style="5"/>
    <col min="3" max="5" width="40.83203125" customWidth="1"/>
  </cols>
  <sheetData>
    <row r="5" spans="2:5" ht="17" thickBot="1">
      <c r="B5" s="35" t="s">
        <v>2448</v>
      </c>
      <c r="C5" s="3" t="s">
        <v>2449</v>
      </c>
      <c r="D5" s="3" t="s">
        <v>2450</v>
      </c>
      <c r="E5" s="3" t="s">
        <v>2451</v>
      </c>
    </row>
    <row r="7" spans="2:5">
      <c r="B7" s="5" t="s">
        <v>2</v>
      </c>
      <c r="C7" t="s">
        <v>2643</v>
      </c>
      <c r="E7" t="s">
        <v>2644</v>
      </c>
    </row>
    <row r="8" spans="2:5">
      <c r="B8" s="5" t="s">
        <v>405</v>
      </c>
      <c r="C8" t="s">
        <v>2452</v>
      </c>
    </row>
    <row r="9" spans="2:5">
      <c r="B9" s="5" t="s">
        <v>0</v>
      </c>
      <c r="C9" t="s">
        <v>2453</v>
      </c>
      <c r="D9" t="s">
        <v>2454</v>
      </c>
    </row>
    <row r="10" spans="2:5">
      <c r="B10" s="5" t="s">
        <v>2257</v>
      </c>
      <c r="C10" t="s">
        <v>2455</v>
      </c>
    </row>
    <row r="11" spans="2:5">
      <c r="B11" s="5" t="s">
        <v>2255</v>
      </c>
      <c r="C11" t="s">
        <v>2456</v>
      </c>
    </row>
    <row r="12" spans="2:5">
      <c r="B12" s="5" t="s">
        <v>2258</v>
      </c>
      <c r="C12" t="s">
        <v>2457</v>
      </c>
    </row>
    <row r="13" spans="2:5">
      <c r="B13" s="5" t="s">
        <v>2256</v>
      </c>
      <c r="C13" t="s">
        <v>2458</v>
      </c>
    </row>
    <row r="14" spans="2:5">
      <c r="B14" s="5" t="s">
        <v>2259</v>
      </c>
      <c r="C14" t="s">
        <v>2459</v>
      </c>
      <c r="D14" t="s">
        <v>2629</v>
      </c>
    </row>
    <row r="15" spans="2:5">
      <c r="B15" s="5" t="s">
        <v>7</v>
      </c>
      <c r="C15" t="s">
        <v>2460</v>
      </c>
    </row>
    <row r="16" spans="2:5">
      <c r="B16" s="5" t="s">
        <v>1539</v>
      </c>
      <c r="C16" t="s">
        <v>2461</v>
      </c>
      <c r="D16" t="s">
        <v>2462</v>
      </c>
    </row>
    <row r="17" spans="2:5">
      <c r="B17" s="5" t="s">
        <v>2282</v>
      </c>
      <c r="C17" t="s">
        <v>2463</v>
      </c>
      <c r="D17" t="s">
        <v>2464</v>
      </c>
    </row>
    <row r="18" spans="2:5">
      <c r="B18" s="5" t="s">
        <v>1841</v>
      </c>
      <c r="C18" t="s">
        <v>2465</v>
      </c>
      <c r="D18" t="s">
        <v>2466</v>
      </c>
    </row>
    <row r="19" spans="2:5">
      <c r="B19" s="5" t="s">
        <v>2300</v>
      </c>
      <c r="C19" t="s">
        <v>2467</v>
      </c>
      <c r="D19" t="s">
        <v>2468</v>
      </c>
    </row>
    <row r="20" spans="2:5">
      <c r="B20" s="5" t="s">
        <v>1842</v>
      </c>
      <c r="C20" t="s">
        <v>2469</v>
      </c>
    </row>
    <row r="21" spans="2:5">
      <c r="B21" s="5" t="s">
        <v>122</v>
      </c>
      <c r="C21" t="s">
        <v>2470</v>
      </c>
    </row>
    <row r="22" spans="2:5">
      <c r="B22" s="5" t="s">
        <v>126</v>
      </c>
      <c r="C22" t="s">
        <v>2471</v>
      </c>
    </row>
    <row r="23" spans="2:5">
      <c r="B23" s="5" t="s">
        <v>128</v>
      </c>
      <c r="C23" t="s">
        <v>2472</v>
      </c>
    </row>
    <row r="24" spans="2:5">
      <c r="B24" s="5" t="s">
        <v>133</v>
      </c>
      <c r="C24" t="s">
        <v>2473</v>
      </c>
    </row>
    <row r="25" spans="2:5">
      <c r="B25" s="5" t="s">
        <v>1885</v>
      </c>
      <c r="C25" t="s">
        <v>2474</v>
      </c>
    </row>
    <row r="26" spans="2:5">
      <c r="B26" s="5" t="s">
        <v>203</v>
      </c>
      <c r="C26" t="s">
        <v>2475</v>
      </c>
    </row>
    <row r="27" spans="2:5">
      <c r="B27" s="5" t="s">
        <v>1887</v>
      </c>
      <c r="C27" t="s">
        <v>2633</v>
      </c>
      <c r="E27" t="s">
        <v>2634</v>
      </c>
    </row>
    <row r="28" spans="2:5">
      <c r="B28" s="5" t="s">
        <v>136</v>
      </c>
      <c r="C28" t="s">
        <v>2476</v>
      </c>
    </row>
    <row r="29" spans="2:5">
      <c r="B29" s="5" t="s">
        <v>235</v>
      </c>
      <c r="C29" t="s">
        <v>2635</v>
      </c>
      <c r="E29" t="s">
        <v>2636</v>
      </c>
    </row>
    <row r="30" spans="2:5">
      <c r="B30" s="5" t="s">
        <v>162</v>
      </c>
      <c r="C30" t="s">
        <v>2477</v>
      </c>
    </row>
    <row r="31" spans="2:5">
      <c r="B31" s="5" t="s">
        <v>163</v>
      </c>
      <c r="C31" t="s">
        <v>2478</v>
      </c>
    </row>
    <row r="32" spans="2:5">
      <c r="B32" s="5" t="s">
        <v>2380</v>
      </c>
      <c r="C32" t="s">
        <v>2479</v>
      </c>
    </row>
    <row r="33" spans="2:3">
      <c r="B33" s="5" t="s">
        <v>248</v>
      </c>
      <c r="C33" t="s">
        <v>2480</v>
      </c>
    </row>
    <row r="34" spans="2:3">
      <c r="B34" s="5" t="s">
        <v>261</v>
      </c>
      <c r="C34" t="s">
        <v>2481</v>
      </c>
    </row>
    <row r="35" spans="2:3">
      <c r="B35" s="5" t="s">
        <v>296</v>
      </c>
      <c r="C35" t="s">
        <v>2482</v>
      </c>
    </row>
    <row r="36" spans="2:3">
      <c r="B36" s="5" t="s">
        <v>135</v>
      </c>
      <c r="C36" t="s">
        <v>2483</v>
      </c>
    </row>
    <row r="37" spans="2:3">
      <c r="B37" s="5" t="s">
        <v>97</v>
      </c>
      <c r="C37" t="s">
        <v>2484</v>
      </c>
    </row>
    <row r="38" spans="2:3">
      <c r="B38" s="5" t="s">
        <v>164</v>
      </c>
      <c r="C38" t="s">
        <v>2485</v>
      </c>
    </row>
    <row r="39" spans="2:3">
      <c r="B39" s="5" t="s">
        <v>2421</v>
      </c>
      <c r="C39" t="s">
        <v>2628</v>
      </c>
    </row>
    <row r="40" spans="2:3">
      <c r="B40" s="5" t="s">
        <v>1901</v>
      </c>
      <c r="C40" t="s">
        <v>2486</v>
      </c>
    </row>
    <row r="41" spans="2:3">
      <c r="B41" s="5" t="s">
        <v>2312</v>
      </c>
      <c r="C41" t="s">
        <v>2487</v>
      </c>
    </row>
    <row r="42" spans="2:3">
      <c r="B42" s="5" t="s">
        <v>2410</v>
      </c>
      <c r="C42" t="s">
        <v>2488</v>
      </c>
    </row>
    <row r="43" spans="2:3">
      <c r="B43" s="5" t="s">
        <v>1614</v>
      </c>
      <c r="C43" t="s">
        <v>2489</v>
      </c>
    </row>
    <row r="44" spans="2:3">
      <c r="B44" s="5" t="s">
        <v>2269</v>
      </c>
      <c r="C44" t="s">
        <v>2490</v>
      </c>
    </row>
    <row r="45" spans="2:3">
      <c r="B45" s="5" t="s">
        <v>132</v>
      </c>
      <c r="C45" t="s">
        <v>2491</v>
      </c>
    </row>
    <row r="46" spans="2:3">
      <c r="B46" s="5" t="s">
        <v>1540</v>
      </c>
      <c r="C46" t="s">
        <v>2492</v>
      </c>
    </row>
    <row r="47" spans="2:3">
      <c r="B47" s="5" t="s">
        <v>326</v>
      </c>
      <c r="C47" t="s">
        <v>2493</v>
      </c>
    </row>
    <row r="48" spans="2:3">
      <c r="B48" s="5" t="s">
        <v>372</v>
      </c>
      <c r="C48" t="s">
        <v>2494</v>
      </c>
    </row>
    <row r="49" spans="2:5">
      <c r="B49" s="5" t="s">
        <v>357</v>
      </c>
      <c r="C49" t="s">
        <v>2641</v>
      </c>
    </row>
    <row r="50" spans="2:5">
      <c r="B50" s="5" t="s">
        <v>376</v>
      </c>
      <c r="C50" t="s">
        <v>2495</v>
      </c>
    </row>
    <row r="51" spans="2:5">
      <c r="B51" s="5" t="s">
        <v>393</v>
      </c>
      <c r="C51" t="s">
        <v>2496</v>
      </c>
    </row>
    <row r="52" spans="2:5">
      <c r="B52" s="5" t="s">
        <v>879</v>
      </c>
      <c r="C52" t="s">
        <v>2497</v>
      </c>
    </row>
    <row r="53" spans="2:5">
      <c r="B53" s="5" t="s">
        <v>394</v>
      </c>
      <c r="C53" t="s">
        <v>2498</v>
      </c>
    </row>
    <row r="54" spans="2:5">
      <c r="B54" s="5" t="s">
        <v>406</v>
      </c>
      <c r="C54" t="s">
        <v>2499</v>
      </c>
    </row>
    <row r="55" spans="2:5">
      <c r="B55" s="5" t="s">
        <v>1670</v>
      </c>
      <c r="C55" t="s">
        <v>2500</v>
      </c>
    </row>
    <row r="56" spans="2:5">
      <c r="B56" s="5" t="s">
        <v>165</v>
      </c>
      <c r="C56" t="s">
        <v>2501</v>
      </c>
    </row>
    <row r="57" spans="2:5">
      <c r="B57" s="5" t="s">
        <v>1913</v>
      </c>
      <c r="C57" t="s">
        <v>2502</v>
      </c>
      <c r="E57" t="s">
        <v>2503</v>
      </c>
    </row>
    <row r="58" spans="2:5">
      <c r="B58" s="5" t="s">
        <v>2415</v>
      </c>
      <c r="C58" t="s">
        <v>2504</v>
      </c>
    </row>
    <row r="59" spans="2:5">
      <c r="B59" s="5" t="s">
        <v>2416</v>
      </c>
      <c r="C59" t="s">
        <v>2505</v>
      </c>
    </row>
    <row r="60" spans="2:5">
      <c r="B60" s="5" t="s">
        <v>2155</v>
      </c>
      <c r="C60" t="s">
        <v>2506</v>
      </c>
    </row>
    <row r="61" spans="2:5">
      <c r="B61" s="5" t="s">
        <v>407</v>
      </c>
      <c r="C61" t="s">
        <v>2637</v>
      </c>
      <c r="E61" t="s">
        <v>2638</v>
      </c>
    </row>
    <row r="62" spans="2:5">
      <c r="B62" s="5" t="s">
        <v>134</v>
      </c>
      <c r="C62" t="s">
        <v>2645</v>
      </c>
    </row>
    <row r="63" spans="2:5">
      <c r="B63" s="5" t="s">
        <v>166</v>
      </c>
      <c r="C63" t="s">
        <v>2507</v>
      </c>
    </row>
    <row r="64" spans="2:5">
      <c r="B64" s="5" t="s">
        <v>459</v>
      </c>
      <c r="C64" t="s">
        <v>2508</v>
      </c>
    </row>
    <row r="65" spans="2:5">
      <c r="B65" s="5" t="s">
        <v>1979</v>
      </c>
      <c r="C65" t="s">
        <v>2509</v>
      </c>
    </row>
    <row r="66" spans="2:5">
      <c r="B66" s="5" t="s">
        <v>473</v>
      </c>
      <c r="C66" t="s">
        <v>2510</v>
      </c>
    </row>
    <row r="67" spans="2:5">
      <c r="B67" s="5" t="s">
        <v>2414</v>
      </c>
      <c r="C67" t="s">
        <v>2511</v>
      </c>
    </row>
    <row r="68" spans="2:5">
      <c r="B68" s="5" t="s">
        <v>1917</v>
      </c>
      <c r="C68" t="s">
        <v>2512</v>
      </c>
    </row>
    <row r="69" spans="2:5">
      <c r="B69" s="5" t="s">
        <v>2027</v>
      </c>
      <c r="C69" t="s">
        <v>2513</v>
      </c>
    </row>
    <row r="70" spans="2:5">
      <c r="B70" s="5" t="s">
        <v>491</v>
      </c>
      <c r="C70" t="s">
        <v>2514</v>
      </c>
    </row>
    <row r="71" spans="2:5">
      <c r="B71" s="5" t="s">
        <v>167</v>
      </c>
      <c r="C71" t="s">
        <v>2515</v>
      </c>
    </row>
    <row r="72" spans="2:5">
      <c r="B72" s="5" t="s">
        <v>2311</v>
      </c>
      <c r="C72" t="s">
        <v>2647</v>
      </c>
    </row>
    <row r="73" spans="2:5">
      <c r="B73" s="5" t="s">
        <v>2307</v>
      </c>
      <c r="C73" t="s">
        <v>2516</v>
      </c>
    </row>
    <row r="74" spans="2:5">
      <c r="B74" s="5" t="s">
        <v>1919</v>
      </c>
      <c r="C74" t="s">
        <v>2517</v>
      </c>
    </row>
    <row r="75" spans="2:5">
      <c r="B75" s="5" t="s">
        <v>137</v>
      </c>
      <c r="C75" t="s">
        <v>2518</v>
      </c>
    </row>
    <row r="76" spans="2:5">
      <c r="B76" s="5" t="s">
        <v>138</v>
      </c>
      <c r="C76" t="s">
        <v>2519</v>
      </c>
    </row>
    <row r="77" spans="2:5">
      <c r="B77" s="5" t="s">
        <v>1624</v>
      </c>
      <c r="C77" t="s">
        <v>2520</v>
      </c>
      <c r="E77" t="s">
        <v>2646</v>
      </c>
    </row>
    <row r="78" spans="2:5">
      <c r="B78" s="5" t="s">
        <v>492</v>
      </c>
      <c r="C78" t="s">
        <v>2521</v>
      </c>
    </row>
    <row r="79" spans="2:5">
      <c r="B79" s="5" t="s">
        <v>900</v>
      </c>
      <c r="C79" t="s">
        <v>2522</v>
      </c>
    </row>
    <row r="80" spans="2:5">
      <c r="B80" s="5" t="s">
        <v>510</v>
      </c>
      <c r="C80" t="s">
        <v>2631</v>
      </c>
      <c r="E80" t="s">
        <v>2632</v>
      </c>
    </row>
    <row r="81" spans="2:3">
      <c r="B81" s="5" t="s">
        <v>433</v>
      </c>
      <c r="C81" t="s">
        <v>2523</v>
      </c>
    </row>
    <row r="82" spans="2:3">
      <c r="B82" s="5" t="s">
        <v>168</v>
      </c>
      <c r="C82" t="s">
        <v>2524</v>
      </c>
    </row>
    <row r="83" spans="2:3">
      <c r="B83" s="5" t="s">
        <v>1617</v>
      </c>
      <c r="C83" t="s">
        <v>2525</v>
      </c>
    </row>
    <row r="84" spans="2:3">
      <c r="B84" s="5" t="s">
        <v>2006</v>
      </c>
      <c r="C84" t="s">
        <v>2526</v>
      </c>
    </row>
    <row r="85" spans="2:3">
      <c r="B85" s="5" t="s">
        <v>1627</v>
      </c>
      <c r="C85" t="s">
        <v>2527</v>
      </c>
    </row>
    <row r="86" spans="2:3">
      <c r="B86" s="5" t="s">
        <v>1623</v>
      </c>
      <c r="C86" t="s">
        <v>2528</v>
      </c>
    </row>
    <row r="87" spans="2:3">
      <c r="B87" s="5" t="s">
        <v>1637</v>
      </c>
      <c r="C87" t="s">
        <v>2529</v>
      </c>
    </row>
    <row r="88" spans="2:3">
      <c r="B88" s="5" t="s">
        <v>1620</v>
      </c>
      <c r="C88" t="s">
        <v>2530</v>
      </c>
    </row>
    <row r="89" spans="2:3">
      <c r="B89" s="5" t="s">
        <v>1960</v>
      </c>
      <c r="C89" t="s">
        <v>2531</v>
      </c>
    </row>
    <row r="90" spans="2:3">
      <c r="B90" s="5" t="s">
        <v>139</v>
      </c>
      <c r="C90" t="s">
        <v>2532</v>
      </c>
    </row>
    <row r="91" spans="2:3">
      <c r="B91" s="5" t="s">
        <v>99</v>
      </c>
      <c r="C91" t="s">
        <v>2533</v>
      </c>
    </row>
    <row r="92" spans="2:3">
      <c r="B92" s="5" t="s">
        <v>98</v>
      </c>
      <c r="C92" t="s">
        <v>2534</v>
      </c>
    </row>
    <row r="93" spans="2:3">
      <c r="B93" s="5" t="s">
        <v>2419</v>
      </c>
      <c r="C93" t="s">
        <v>2535</v>
      </c>
    </row>
    <row r="94" spans="2:3">
      <c r="B94" s="5" t="s">
        <v>2152</v>
      </c>
      <c r="C94" t="s">
        <v>2536</v>
      </c>
    </row>
    <row r="95" spans="2:3">
      <c r="B95" s="5" t="s">
        <v>526</v>
      </c>
      <c r="C95" t="s">
        <v>2537</v>
      </c>
    </row>
    <row r="96" spans="2:3">
      <c r="B96" s="5" t="s">
        <v>528</v>
      </c>
      <c r="C96" t="s">
        <v>2538</v>
      </c>
    </row>
    <row r="97" spans="2:5">
      <c r="B97" s="5" t="s">
        <v>140</v>
      </c>
      <c r="C97" t="s">
        <v>2539</v>
      </c>
      <c r="E97" t="s">
        <v>2540</v>
      </c>
    </row>
    <row r="98" spans="2:5">
      <c r="B98" s="5" t="s">
        <v>100</v>
      </c>
      <c r="C98" t="s">
        <v>2541</v>
      </c>
    </row>
    <row r="99" spans="2:5">
      <c r="B99" s="5" t="s">
        <v>101</v>
      </c>
      <c r="C99" t="s">
        <v>2542</v>
      </c>
    </row>
    <row r="100" spans="2:5">
      <c r="B100" s="5" t="s">
        <v>544</v>
      </c>
      <c r="C100" t="s">
        <v>2543</v>
      </c>
    </row>
    <row r="101" spans="2:5">
      <c r="B101" s="5" t="s">
        <v>102</v>
      </c>
      <c r="C101" t="s">
        <v>2544</v>
      </c>
    </row>
    <row r="102" spans="2:5">
      <c r="B102" s="5" t="s">
        <v>1937</v>
      </c>
      <c r="C102" t="s">
        <v>2545</v>
      </c>
    </row>
    <row r="103" spans="2:5">
      <c r="B103" s="5" t="s">
        <v>560</v>
      </c>
      <c r="C103" t="s">
        <v>2546</v>
      </c>
    </row>
    <row r="104" spans="2:5">
      <c r="B104" s="5" t="s">
        <v>563</v>
      </c>
      <c r="C104" t="s">
        <v>2547</v>
      </c>
    </row>
    <row r="105" spans="2:5">
      <c r="B105" s="5" t="s">
        <v>2315</v>
      </c>
      <c r="C105" t="s">
        <v>2548</v>
      </c>
    </row>
    <row r="106" spans="2:5">
      <c r="B106" s="5" t="s">
        <v>2310</v>
      </c>
      <c r="C106" t="s">
        <v>2549</v>
      </c>
    </row>
    <row r="107" spans="2:5">
      <c r="B107" s="5" t="s">
        <v>169</v>
      </c>
      <c r="C107" t="s">
        <v>2550</v>
      </c>
    </row>
    <row r="108" spans="2:5">
      <c r="B108" s="5" t="s">
        <v>2358</v>
      </c>
      <c r="C108" t="s">
        <v>2551</v>
      </c>
    </row>
    <row r="109" spans="2:5">
      <c r="B109" s="5" t="s">
        <v>2378</v>
      </c>
      <c r="C109" t="s">
        <v>2552</v>
      </c>
    </row>
    <row r="110" spans="2:5">
      <c r="B110" s="5" t="s">
        <v>1708</v>
      </c>
      <c r="C110" t="s">
        <v>2553</v>
      </c>
      <c r="E110" t="s">
        <v>2540</v>
      </c>
    </row>
    <row r="111" spans="2:5">
      <c r="B111" s="5" t="s">
        <v>578</v>
      </c>
      <c r="C111" t="s">
        <v>2554</v>
      </c>
    </row>
    <row r="112" spans="2:5">
      <c r="B112" s="5" t="s">
        <v>579</v>
      </c>
      <c r="C112" t="s">
        <v>2555</v>
      </c>
    </row>
    <row r="113" spans="2:4">
      <c r="B113" s="5" t="s">
        <v>580</v>
      </c>
      <c r="C113" t="s">
        <v>2556</v>
      </c>
    </row>
    <row r="114" spans="2:4">
      <c r="B114" s="5" t="s">
        <v>1777</v>
      </c>
      <c r="C114" t="s">
        <v>2557</v>
      </c>
    </row>
    <row r="115" spans="2:4">
      <c r="B115" s="5" t="s">
        <v>794</v>
      </c>
      <c r="C115" t="s">
        <v>2558</v>
      </c>
    </row>
    <row r="116" spans="2:4">
      <c r="B116" s="5" t="s">
        <v>796</v>
      </c>
      <c r="C116" t="s">
        <v>2559</v>
      </c>
    </row>
    <row r="117" spans="2:4">
      <c r="B117" s="5" t="s">
        <v>581</v>
      </c>
      <c r="C117" t="s">
        <v>2560</v>
      </c>
      <c r="D117" t="s">
        <v>2561</v>
      </c>
    </row>
    <row r="118" spans="2:4">
      <c r="B118" s="5" t="str">
        <f xml:space="preserve"> B117&amp;"_2"</f>
        <v>DE_2</v>
      </c>
      <c r="C118" t="str">
        <f xml:space="preserve"> "Shape from `" &amp; $B117 &amp; "` marker; red replacing white."</f>
        <v>Shape from `DE` marker; red replacing white.</v>
      </c>
      <c r="D118" t="s">
        <v>2562</v>
      </c>
    </row>
    <row r="119" spans="2:4">
      <c r="B119" s="5" t="s">
        <v>598</v>
      </c>
      <c r="C119" t="s">
        <v>2563</v>
      </c>
      <c r="D119" t="s">
        <v>2564</v>
      </c>
    </row>
    <row r="120" spans="2:4">
      <c r="B120" s="5" t="str">
        <f xml:space="preserve"> B119&amp;"_2"</f>
        <v>FR_2</v>
      </c>
      <c r="C120" t="str">
        <f xml:space="preserve"> "Shape from `" &amp; $B119 &amp; "` marker; colours re-ordereed and black replacing white."</f>
        <v>Shape from `FR` marker; colours re-ordereed and black replacing white.</v>
      </c>
      <c r="D120" t="s">
        <v>2627</v>
      </c>
    </row>
    <row r="121" spans="2:4">
      <c r="B121" s="5" t="s">
        <v>635</v>
      </c>
      <c r="C121" t="s">
        <v>2565</v>
      </c>
      <c r="D121" t="s">
        <v>2566</v>
      </c>
    </row>
    <row r="122" spans="2:4">
      <c r="B122" s="5" t="str">
        <f xml:space="preserve"> B121&amp;"_2"</f>
        <v>IT_2</v>
      </c>
      <c r="C122" t="str">
        <f xml:space="preserve"> "Shape from `" &amp; $B121 &amp; "` marker; black replacing white."</f>
        <v>Shape from `IT` marker; black replacing white.</v>
      </c>
      <c r="D122" t="s">
        <v>2567</v>
      </c>
    </row>
    <row r="123" spans="2:4">
      <c r="B123" s="5" t="s">
        <v>170</v>
      </c>
      <c r="C123" t="s">
        <v>2568</v>
      </c>
      <c r="D123" t="s">
        <v>2642</v>
      </c>
    </row>
    <row r="124" spans="2:4">
      <c r="B124" s="5" t="str">
        <f xml:space="preserve"> B123&amp;"_2"</f>
        <v>ES_2</v>
      </c>
      <c r="C124" t="str">
        <f xml:space="preserve"> "Shape from `" &amp; $B123 &amp; "` marker; green replacing gold."</f>
        <v>Shape from `ES` marker; green replacing gold.</v>
      </c>
      <c r="D124" t="s">
        <v>2569</v>
      </c>
    </row>
    <row r="125" spans="2:4">
      <c r="B125" s="5" t="s">
        <v>636</v>
      </c>
      <c r="C125" t="s">
        <v>2570</v>
      </c>
      <c r="D125" t="s">
        <v>2571</v>
      </c>
    </row>
    <row r="126" spans="2:4">
      <c r="B126" s="5" t="str">
        <f xml:space="preserve"> B125&amp;"_2"</f>
        <v>NL_2</v>
      </c>
      <c r="C126" t="str">
        <f xml:space="preserve"> "Shape from `" &amp; $B125 &amp; "` marker; the colours switched."</f>
        <v>Shape from `NL` marker; the colours switched.</v>
      </c>
      <c r="D126" t="s">
        <v>2572</v>
      </c>
    </row>
    <row r="127" spans="2:4">
      <c r="B127" s="5" t="s">
        <v>655</v>
      </c>
      <c r="C127" t="s">
        <v>2573</v>
      </c>
      <c r="D127" t="s">
        <v>2621</v>
      </c>
    </row>
    <row r="128" spans="2:4">
      <c r="B128" s="5" t="str">
        <f xml:space="preserve"> B127&amp;"_2"</f>
        <v>BE_2</v>
      </c>
      <c r="C128" t="str">
        <f xml:space="preserve"> "Shape from `" &amp; $B127 &amp; "` marker; the colours switched."</f>
        <v>Shape from `BE` marker; the colours switched.</v>
      </c>
      <c r="D128" t="s">
        <v>2574</v>
      </c>
    </row>
    <row r="129" spans="2:5">
      <c r="B129" s="5" t="s">
        <v>656</v>
      </c>
      <c r="C129" t="s">
        <v>2575</v>
      </c>
      <c r="D129" t="s">
        <v>2576</v>
      </c>
    </row>
    <row r="130" spans="2:5">
      <c r="B130" s="5" t="str">
        <f xml:space="preserve"> B129&amp;"_2"</f>
        <v>AT_2</v>
      </c>
      <c r="C130" t="str">
        <f xml:space="preserve"> "Shape from `" &amp; $B129 &amp; "` marker; black replacing white."</f>
        <v>Shape from `AT` marker; black replacing white.</v>
      </c>
      <c r="D130" t="s">
        <v>2577</v>
      </c>
    </row>
    <row r="131" spans="2:5">
      <c r="B131" s="5" t="s">
        <v>103</v>
      </c>
      <c r="C131" t="s">
        <v>2578</v>
      </c>
      <c r="D131" t="s">
        <v>2579</v>
      </c>
    </row>
    <row r="132" spans="2:5">
      <c r="B132" s="5" t="str">
        <f xml:space="preserve"> B131&amp;"_2"</f>
        <v>PT_2</v>
      </c>
      <c r="C132" t="str">
        <f xml:space="preserve"> "Shape from `" &amp; $B131 &amp; "` marker; bright green replacing dark green."</f>
        <v>Shape from `PT` marker; bright green replacing dark green.</v>
      </c>
      <c r="D132" t="s">
        <v>2580</v>
      </c>
    </row>
    <row r="133" spans="2:5">
      <c r="B133" s="5" t="s">
        <v>171</v>
      </c>
      <c r="C133" t="s">
        <v>2581</v>
      </c>
      <c r="D133" t="s">
        <v>2582</v>
      </c>
    </row>
    <row r="134" spans="2:5">
      <c r="B134" s="5" t="str">
        <f xml:space="preserve"> B133&amp;"_2"</f>
        <v>GR_2</v>
      </c>
      <c r="C134" t="str">
        <f xml:space="preserve"> "Shape from `" &amp; $B133 &amp; "` marker; green replacing white."</f>
        <v>Shape from `GR` marker; green replacing white.</v>
      </c>
      <c r="D134" t="s">
        <v>2583</v>
      </c>
    </row>
    <row r="135" spans="2:5">
      <c r="B135" s="5" t="s">
        <v>675</v>
      </c>
      <c r="C135" t="s">
        <v>2630</v>
      </c>
      <c r="D135" t="s">
        <v>2584</v>
      </c>
    </row>
    <row r="136" spans="2:5">
      <c r="B136" s="5" t="str">
        <f xml:space="preserve"> B135&amp;"_2"</f>
        <v>IE_2</v>
      </c>
      <c r="C136" t="str">
        <f xml:space="preserve"> "Shape from `" &amp; $B135 &amp; "` marker; the colours switched."</f>
        <v>Shape from `IE` marker; the colours switched.</v>
      </c>
      <c r="D136" t="s">
        <v>2585</v>
      </c>
    </row>
    <row r="137" spans="2:5">
      <c r="B137" s="5" t="s">
        <v>657</v>
      </c>
      <c r="C137" t="s">
        <v>2586</v>
      </c>
      <c r="D137" t="s">
        <v>2587</v>
      </c>
    </row>
    <row r="138" spans="2:5">
      <c r="B138" s="5" t="str">
        <f xml:space="preserve"> B137&amp;"_2"</f>
        <v>FI_2</v>
      </c>
      <c r="C138" t="str">
        <f xml:space="preserve"> "Shape from `" &amp; $B137 &amp; "` marker; green replacing white."</f>
        <v>Shape from `FI` marker; green replacing white.</v>
      </c>
      <c r="D138" t="s">
        <v>2588</v>
      </c>
    </row>
    <row r="139" spans="2:5">
      <c r="B139" s="5" t="s">
        <v>358</v>
      </c>
      <c r="C139" t="s">
        <v>2589</v>
      </c>
      <c r="D139" t="s">
        <v>2590</v>
      </c>
    </row>
    <row r="140" spans="2:5">
      <c r="B140" s="5" t="str">
        <f xml:space="preserve"> B139&amp;"_2"</f>
        <v>SK_2</v>
      </c>
      <c r="C140" t="str">
        <f xml:space="preserve"> "Shape from `" &amp; $B139 &amp; "` marker; the colours switched."</f>
        <v>Shape from `SK` marker; the colours switched.</v>
      </c>
      <c r="D140" t="s">
        <v>2591</v>
      </c>
    </row>
    <row r="141" spans="2:5">
      <c r="B141" s="5" t="s">
        <v>1666</v>
      </c>
      <c r="C141" t="s">
        <v>2592</v>
      </c>
    </row>
    <row r="142" spans="2:5">
      <c r="B142" s="5" t="s">
        <v>359</v>
      </c>
      <c r="C142" t="s">
        <v>2593</v>
      </c>
    </row>
    <row r="143" spans="2:5">
      <c r="B143" s="5" t="s">
        <v>614</v>
      </c>
      <c r="C143" t="s">
        <v>2594</v>
      </c>
      <c r="E143" t="s">
        <v>2595</v>
      </c>
    </row>
    <row r="144" spans="2:5">
      <c r="B144" s="5" t="s">
        <v>676</v>
      </c>
      <c r="C144" t="s">
        <v>2596</v>
      </c>
    </row>
    <row r="145" spans="2:5">
      <c r="B145" s="5" t="s">
        <v>104</v>
      </c>
      <c r="C145" t="s">
        <v>2597</v>
      </c>
      <c r="E145" t="s">
        <v>2639</v>
      </c>
    </row>
    <row r="146" spans="2:5">
      <c r="B146" s="5" t="s">
        <v>105</v>
      </c>
      <c r="C146" t="s">
        <v>2598</v>
      </c>
    </row>
    <row r="147" spans="2:5">
      <c r="B147" s="5" t="s">
        <v>694</v>
      </c>
      <c r="C147" t="s">
        <v>2599</v>
      </c>
    </row>
    <row r="148" spans="2:5">
      <c r="B148" s="5" t="s">
        <v>714</v>
      </c>
      <c r="C148" t="s">
        <v>2600</v>
      </c>
    </row>
    <row r="149" spans="2:5">
      <c r="B149" s="5" t="s">
        <v>1705</v>
      </c>
      <c r="C149" t="s">
        <v>2601</v>
      </c>
      <c r="E149" t="s">
        <v>2602</v>
      </c>
    </row>
    <row r="150" spans="2:5">
      <c r="B150" s="5" t="s">
        <v>715</v>
      </c>
      <c r="C150" t="s">
        <v>2603</v>
      </c>
    </row>
    <row r="151" spans="2:5">
      <c r="B151" s="5" t="s">
        <v>795</v>
      </c>
      <c r="C151" t="s">
        <v>2604</v>
      </c>
    </row>
    <row r="152" spans="2:5">
      <c r="B152" s="5" t="s">
        <v>2132</v>
      </c>
      <c r="C152" t="s">
        <v>2640</v>
      </c>
    </row>
    <row r="153" spans="2:5">
      <c r="B153" s="5" t="s">
        <v>172</v>
      </c>
      <c r="C153" t="s">
        <v>2649</v>
      </c>
    </row>
    <row r="154" spans="2:5">
      <c r="B154" s="5" t="s">
        <v>971</v>
      </c>
      <c r="C154" t="s">
        <v>2605</v>
      </c>
    </row>
    <row r="155" spans="2:5">
      <c r="B155" s="5" t="s">
        <v>2247</v>
      </c>
      <c r="C155" t="s">
        <v>2606</v>
      </c>
    </row>
    <row r="156" spans="2:5">
      <c r="B156" s="5" t="s">
        <v>1942</v>
      </c>
      <c r="C156" t="s">
        <v>2607</v>
      </c>
    </row>
    <row r="157" spans="2:5">
      <c r="B157" s="5" t="s">
        <v>798</v>
      </c>
      <c r="C157" t="s">
        <v>2608</v>
      </c>
    </row>
    <row r="158" spans="2:5">
      <c r="B158" s="5" t="s">
        <v>2248</v>
      </c>
      <c r="C158" t="s">
        <v>2626</v>
      </c>
    </row>
    <row r="159" spans="2:5">
      <c r="B159" s="5" t="s">
        <v>173</v>
      </c>
      <c r="C159" t="s">
        <v>2609</v>
      </c>
    </row>
    <row r="160" spans="2:5">
      <c r="B160" s="5" t="s">
        <v>1944</v>
      </c>
      <c r="C160" t="s">
        <v>2610</v>
      </c>
    </row>
    <row r="161" spans="2:5">
      <c r="B161" s="5" t="s">
        <v>955</v>
      </c>
      <c r="C161" t="s">
        <v>2611</v>
      </c>
    </row>
    <row r="162" spans="2:5">
      <c r="B162" s="5" t="s">
        <v>106</v>
      </c>
      <c r="C162" t="s">
        <v>2612</v>
      </c>
    </row>
    <row r="163" spans="2:5">
      <c r="B163" s="5" t="s">
        <v>2043</v>
      </c>
      <c r="C163" t="s">
        <v>2648</v>
      </c>
    </row>
    <row r="164" spans="2:5">
      <c r="B164" s="5" t="s">
        <v>992</v>
      </c>
      <c r="C164" t="s">
        <v>2613</v>
      </c>
    </row>
    <row r="165" spans="2:5">
      <c r="B165" s="5" t="s">
        <v>2033</v>
      </c>
      <c r="C165" t="s">
        <v>2614</v>
      </c>
    </row>
    <row r="166" spans="2:5">
      <c r="B166" s="5" t="s">
        <v>2038</v>
      </c>
      <c r="C166" t="s">
        <v>2615</v>
      </c>
    </row>
    <row r="167" spans="2:5">
      <c r="B167" s="5" t="s">
        <v>1050</v>
      </c>
      <c r="C167" t="s">
        <v>2616</v>
      </c>
    </row>
    <row r="168" spans="2:5">
      <c r="B168" s="5" t="s">
        <v>1947</v>
      </c>
      <c r="C168" t="s">
        <v>2624</v>
      </c>
      <c r="E168" t="s">
        <v>2625</v>
      </c>
    </row>
    <row r="169" spans="2:5">
      <c r="B169" s="5" t="s">
        <v>1948</v>
      </c>
      <c r="C169" t="s">
        <v>2622</v>
      </c>
      <c r="D169" t="s">
        <v>2623</v>
      </c>
    </row>
    <row r="170" spans="2:5">
      <c r="B170" s="5" t="s">
        <v>1950</v>
      </c>
      <c r="C170" t="s">
        <v>2617</v>
      </c>
    </row>
    <row r="171" spans="2:5">
      <c r="B171" s="5" t="s">
        <v>1951</v>
      </c>
      <c r="C171" t="s">
        <v>2618</v>
      </c>
    </row>
    <row r="172" spans="2:5">
      <c r="B172" s="5" t="s">
        <v>929</v>
      </c>
      <c r="C172" t="s">
        <v>2619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workbookViewId="0">
      <pane ySplit="5" topLeftCell="A6" activePane="bottomLeft" state="frozenSplit"/>
      <selection pane="bottomLeft" activeCell="O46" sqref="O46"/>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2157</v>
      </c>
      <c r="AB2" s="3" t="s">
        <v>1824</v>
      </c>
      <c r="AD2" s="36" t="s">
        <v>96</v>
      </c>
    </row>
    <row r="3" spans="2:30">
      <c r="K3" cm="1">
        <f t="array" ref="K3" xml:space="preserve"> 1 + _xlfn.SINGLE(ROW()) - _xlfn.SINGLE(ROW(ExportSubstitutions.RowNum))</f>
        <v>-2</v>
      </c>
      <c r="L3" t="str">
        <f xml:space="preserve">  " -"</f>
        <v xml:space="preserve"> -</v>
      </c>
      <c r="M3" t="str">
        <f xml:space="preserve"> "-"</f>
        <v>-</v>
      </c>
      <c r="N3" t="s">
        <v>1715</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2303</v>
      </c>
      <c r="Y5" s="3" t="s">
        <v>2447</v>
      </c>
      <c r="Z5" s="3" t="s">
        <v>1955</v>
      </c>
      <c r="AA5" s="3" t="s">
        <v>2156</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1704</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45705.809911805554</v>
      </c>
      <c r="K7" cm="1">
        <f t="array" ref="K7" xml:space="preserve"> 1 + _xlfn.SINGLE(ROW()) - _xlfn.SINGLE(ROW(ExportSubstitutions.RowNum))</f>
        <v>2</v>
      </c>
      <c r="L7" t="s">
        <v>2128</v>
      </c>
      <c r="N7" t="s">
        <v>1704</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45705</v>
      </c>
      <c r="K8" cm="1">
        <f t="array" ref="K8" xml:space="preserve"> 1 + _xlfn.SINGLE(ROW()) - _xlfn.SINGLE(ROW(ExportSubstitutions.RowNum))</f>
        <v>3</v>
      </c>
      <c r="L8" t="s">
        <v>2129</v>
      </c>
      <c r="N8" t="s">
        <v>1704</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1711</v>
      </c>
      <c r="M9" t="str">
        <f xml:space="preserve"> REPT(" ", 1)</f>
        <v xml:space="preserve"> </v>
      </c>
      <c r="N9" t="s">
        <v>1712</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1713</v>
      </c>
      <c r="M10" t="str">
        <f xml:space="preserve"> REPT(" ", 1)</f>
        <v xml:space="preserve"> </v>
      </c>
      <c r="N10" t="s">
        <v>1712</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1714</v>
      </c>
      <c r="N11" t="s">
        <v>1712</v>
      </c>
      <c r="R11" cm="1">
        <f t="array" ref="R11" xml:space="preserve"> 1 + _xlfn.SINGLE(ROW()) - _xlfn.SINGLE(ROW(ExportSubstitutions_Within.RowNum))</f>
        <v>6</v>
      </c>
      <c r="S11" t="s">
        <v>1083</v>
      </c>
      <c r="T11" t="str">
        <f t="shared" si="2"/>
        <v>5A</v>
      </c>
    </row>
    <row r="12" spans="2:30">
      <c r="B12" s="4" t="s">
        <v>2158</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2160</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2159</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664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263769</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2443</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45395.848414351851</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2095</v>
      </c>
      <c r="M36" t="s">
        <v>2124</v>
      </c>
      <c r="N36" t="s">
        <v>2127</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2127</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2092</v>
      </c>
      <c r="M38" t="s">
        <v>2121</v>
      </c>
      <c r="N38" t="s">
        <v>2127</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2127</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2127</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2093</v>
      </c>
      <c r="M41" t="s">
        <v>2122</v>
      </c>
      <c r="N41" t="s">
        <v>2127</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2094</v>
      </c>
      <c r="M42" t="s">
        <v>2123</v>
      </c>
      <c r="N42" t="s">
        <v>2127</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2097</v>
      </c>
      <c r="M43" t="s">
        <v>2109</v>
      </c>
      <c r="N43" t="s">
        <v>2127</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2304</v>
      </c>
      <c r="M44" t="s">
        <v>2305</v>
      </c>
      <c r="N44" t="s">
        <v>2127</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2098</v>
      </c>
      <c r="M45" t="s">
        <v>2110</v>
      </c>
      <c r="N45" t="s">
        <v>2127</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2099</v>
      </c>
      <c r="M46" t="s">
        <v>2111</v>
      </c>
      <c r="N46" t="s">
        <v>2127</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2127</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2127</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2100</v>
      </c>
      <c r="M49" t="s">
        <v>2112</v>
      </c>
      <c r="N49" t="s">
        <v>2127</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2127</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2101</v>
      </c>
      <c r="M51" t="s">
        <v>2113</v>
      </c>
      <c r="N51" t="s">
        <v>2127</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2127</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2127</v>
      </c>
      <c r="R53" cm="1">
        <f t="array" ref="R53" xml:space="preserve"> 1 + _xlfn.SINGLE(ROW()) - _xlfn.SINGLE(ROW(ExportSubstitutions_Within.RowNum))</f>
        <v>48</v>
      </c>
      <c r="S53" t="s">
        <v>1121</v>
      </c>
      <c r="T53" t="str">
        <f t="shared" si="2"/>
        <v>3C</v>
      </c>
    </row>
    <row r="54" spans="2:20">
      <c r="K54" cm="1">
        <f t="array" ref="K54" xml:space="preserve"> 1 + _xlfn.SINGLE(ROW()) - _xlfn.SINGLE(ROW(ExportSubstitutions.RowNum))</f>
        <v>49</v>
      </c>
      <c r="L54" t="s">
        <v>2102</v>
      </c>
      <c r="M54" t="s">
        <v>2114</v>
      </c>
      <c r="N54" t="s">
        <v>2127</v>
      </c>
      <c r="R54" cm="1">
        <f t="array" ref="R54" xml:space="preserve"> 1 + _xlfn.SINGLE(ROW()) - _xlfn.SINGLE(ROW(ExportSubstitutions_Within.RowNum))</f>
        <v>49</v>
      </c>
      <c r="S54" t="s">
        <v>1122</v>
      </c>
      <c r="T54" t="str">
        <f t="shared" si="2"/>
        <v>4C</v>
      </c>
    </row>
    <row r="55" spans="2:20">
      <c r="K55" cm="1">
        <f t="array" ref="K55" xml:space="preserve"> 1 + _xlfn.SINGLE(ROW()) - _xlfn.SINGLE(ROW(ExportSubstitutions.RowNum))</f>
        <v>50</v>
      </c>
      <c r="L55" t="s">
        <v>55</v>
      </c>
      <c r="M55" t="s">
        <v>54</v>
      </c>
      <c r="N55" t="s">
        <v>2127</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2103</v>
      </c>
      <c r="M56" t="s">
        <v>2115</v>
      </c>
      <c r="N56" t="s">
        <v>2127</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2127</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2127</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2127</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2127</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2104</v>
      </c>
      <c r="M61" t="s">
        <v>2116</v>
      </c>
      <c r="N61" t="s">
        <v>2127</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2127</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2091</v>
      </c>
      <c r="M63" t="s">
        <v>2120</v>
      </c>
      <c r="N63" t="s">
        <v>2127</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2105</v>
      </c>
      <c r="M64" t="s">
        <v>2117</v>
      </c>
      <c r="N64" t="s">
        <v>2127</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2127</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2106</v>
      </c>
      <c r="M66" t="s">
        <v>2118</v>
      </c>
      <c r="N66" t="s">
        <v>2127</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2127</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2127</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2107</v>
      </c>
      <c r="M69" t="s">
        <v>2119</v>
      </c>
      <c r="N69" t="s">
        <v>2127</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2127</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2108</v>
      </c>
      <c r="M71" t="s">
        <v>2126</v>
      </c>
      <c r="N71" t="s">
        <v>2127</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2127</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2096</v>
      </c>
      <c r="M73" t="s">
        <v>2125</v>
      </c>
      <c r="N73" t="s">
        <v>2127</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2091</v>
      </c>
      <c r="T422" t="s">
        <v>2120</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2092</v>
      </c>
      <c r="T424" t="s">
        <v>2121</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2093</v>
      </c>
      <c r="T426" t="s">
        <v>2122</v>
      </c>
    </row>
    <row r="427" spans="18:20">
      <c r="R427" cm="1">
        <f t="array" ref="R427" xml:space="preserve"> 1 + _xlfn.SINGLE(ROW()) - _xlfn.SINGLE(ROW(ExportSubstitutions_Within.RowNum))</f>
        <v>422</v>
      </c>
      <c r="S427" t="s">
        <v>2094</v>
      </c>
      <c r="T427" t="s">
        <v>2123</v>
      </c>
    </row>
    <row r="428" spans="18:20">
      <c r="R428" cm="1">
        <f t="array" ref="R428" xml:space="preserve"> 1 + _xlfn.SINGLE(ROW()) - _xlfn.SINGLE(ROW(ExportSubstitutions_Within.RowNum))</f>
        <v>423</v>
      </c>
      <c r="S428" t="s">
        <v>2094</v>
      </c>
      <c r="T428" t="s">
        <v>2123</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2095</v>
      </c>
      <c r="T436" t="s">
        <v>2124</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2096</v>
      </c>
      <c r="T447" t="s">
        <v>2125</v>
      </c>
    </row>
    <row r="448" spans="18:20">
      <c r="R448" cm="1">
        <f t="array" ref="R448" xml:space="preserve"> 1 + _xlfn.SINGLE(ROW()) - _xlfn.SINGLE(ROW(ExportSubstitutions_Within.RowNum))</f>
        <v>443</v>
      </c>
      <c r="S448" t="s">
        <v>2097</v>
      </c>
      <c r="T448" t="s">
        <v>2109</v>
      </c>
    </row>
    <row r="449" spans="18:20">
      <c r="R449" cm="1">
        <f t="array" ref="R449" xml:space="preserve"> 1 + _xlfn.SINGLE(ROW()) - _xlfn.SINGLE(ROW(ExportSubstitutions_Within.RowNum))</f>
        <v>444</v>
      </c>
      <c r="S449" t="s">
        <v>2098</v>
      </c>
      <c r="T449" t="s">
        <v>2110</v>
      </c>
    </row>
    <row r="450" spans="18:20">
      <c r="R450" cm="1">
        <f t="array" ref="R450" xml:space="preserve"> 1 + _xlfn.SINGLE(ROW()) - _xlfn.SINGLE(ROW(ExportSubstitutions_Within.RowNum))</f>
        <v>445</v>
      </c>
      <c r="S450" t="s">
        <v>2099</v>
      </c>
      <c r="T450" t="s">
        <v>2111</v>
      </c>
    </row>
    <row r="451" spans="18:20">
      <c r="R451" cm="1">
        <f t="array" ref="R451" xml:space="preserve"> 1 + _xlfn.SINGLE(ROW()) - _xlfn.SINGLE(ROW(ExportSubstitutions_Within.RowNum))</f>
        <v>446</v>
      </c>
      <c r="S451" t="s">
        <v>2100</v>
      </c>
      <c r="T451" t="s">
        <v>2112</v>
      </c>
    </row>
    <row r="452" spans="18:20">
      <c r="R452" cm="1">
        <f t="array" ref="R452" xml:space="preserve"> 1 + _xlfn.SINGLE(ROW()) - _xlfn.SINGLE(ROW(ExportSubstitutions_Within.RowNum))</f>
        <v>447</v>
      </c>
      <c r="S452" t="s">
        <v>2101</v>
      </c>
      <c r="T452" t="s">
        <v>2113</v>
      </c>
    </row>
    <row r="453" spans="18:20">
      <c r="R453" cm="1">
        <f t="array" ref="R453" xml:space="preserve"> 1 + _xlfn.SINGLE(ROW()) - _xlfn.SINGLE(ROW(ExportSubstitutions_Within.RowNum))</f>
        <v>448</v>
      </c>
      <c r="S453" t="s">
        <v>2102</v>
      </c>
      <c r="T453" t="s">
        <v>2114</v>
      </c>
    </row>
    <row r="454" spans="18:20">
      <c r="R454" cm="1">
        <f t="array" ref="R454" xml:space="preserve"> 1 + _xlfn.SINGLE(ROW()) - _xlfn.SINGLE(ROW(ExportSubstitutions_Within.RowNum))</f>
        <v>449</v>
      </c>
      <c r="S454" t="s">
        <v>2103</v>
      </c>
      <c r="T454" t="s">
        <v>2115</v>
      </c>
    </row>
    <row r="455" spans="18:20">
      <c r="R455" cm="1">
        <f t="array" ref="R455" xml:space="preserve"> 1 + _xlfn.SINGLE(ROW()) - _xlfn.SINGLE(ROW(ExportSubstitutions_Within.RowNum))</f>
        <v>450</v>
      </c>
      <c r="S455" t="s">
        <v>2104</v>
      </c>
      <c r="T455" t="s">
        <v>2116</v>
      </c>
    </row>
    <row r="456" spans="18:20">
      <c r="R456" cm="1">
        <f t="array" ref="R456" xml:space="preserve"> 1 + _xlfn.SINGLE(ROW()) - _xlfn.SINGLE(ROW(ExportSubstitutions_Within.RowNum))</f>
        <v>451</v>
      </c>
      <c r="S456" t="s">
        <v>2105</v>
      </c>
      <c r="T456" t="s">
        <v>2117</v>
      </c>
    </row>
    <row r="457" spans="18:20">
      <c r="R457" cm="1">
        <f t="array" ref="R457" xml:space="preserve"> 1 + _xlfn.SINGLE(ROW()) - _xlfn.SINGLE(ROW(ExportSubstitutions_Within.RowNum))</f>
        <v>452</v>
      </c>
      <c r="S457" t="s">
        <v>2106</v>
      </c>
      <c r="T457" t="s">
        <v>2118</v>
      </c>
    </row>
    <row r="458" spans="18:20">
      <c r="R458" cm="1">
        <f t="array" ref="R458" xml:space="preserve"> 1 + _xlfn.SINGLE(ROW()) - _xlfn.SINGLE(ROW(ExportSubstitutions_Within.RowNum))</f>
        <v>453</v>
      </c>
      <c r="S458" t="s">
        <v>2107</v>
      </c>
      <c r="T458" t="s">
        <v>2119</v>
      </c>
    </row>
    <row r="459" spans="18:20">
      <c r="R459" cm="1">
        <f t="array" ref="R459" xml:space="preserve"> 1 + _xlfn.SINGLE(ROW()) - _xlfn.SINGLE(ROW(ExportSubstitutions_Within.RowNum))</f>
        <v>454</v>
      </c>
      <c r="S459" t="s">
        <v>2108</v>
      </c>
      <c r="T459" t="s">
        <v>2126</v>
      </c>
    </row>
  </sheetData>
  <sortState xmlns:xlrd2="http://schemas.microsoft.com/office/spreadsheetml/2017/richdata2" ref="L35:N73">
    <sortCondition ref="L35:L73"/>
  </sortState>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1331</vt:i4>
      </vt:variant>
    </vt:vector>
  </HeadingPairs>
  <TitlesOfParts>
    <vt:vector size="1393"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2025-02-17T19:26:37Z</dcterms:modified>
</cp:coreProperties>
</file>